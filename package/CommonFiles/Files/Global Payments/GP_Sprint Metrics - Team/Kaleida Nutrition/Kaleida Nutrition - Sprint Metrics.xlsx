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0152" documentId="11_6F53F23D9513E69773D7F3B66BD2F22090AA375B" xr6:coauthVersionLast="47" xr6:coauthVersionMax="47" xr10:uidLastSave="{D1C9E858-E364-451B-9586-9AE94E037591}"/>
  <bookViews>
    <workbookView xWindow="0" yWindow="0" windowWidth="0" windowHeight="0" firstSheet="3" activeTab="3" xr2:uid="{00000000-000D-0000-FFFF-FFFF00000000}"/>
  </bookViews>
  <sheets>
    <sheet name="Dashboard" sheetId="1" r:id="rId1"/>
    <sheet name="Unplanned Leaves" sheetId="134" r:id="rId2"/>
    <sheet name="2.5 KaleidaNutrition S24-Status" sheetId="147" r:id="rId3"/>
    <sheet name="2.5 KaleidaNutrition S23-Status" sheetId="145" r:id="rId4"/>
    <sheet name="2.5Kaleida Nutrition S23-Defect" sheetId="146" r:id="rId5"/>
    <sheet name="2.5 KaleidaNutrition S22-Status" sheetId="143" r:id="rId6"/>
    <sheet name="2.5Kaleida Nutrition S22-Defect" sheetId="144" r:id="rId7"/>
    <sheet name="2.5 KaleidaNutrition S21-Status" sheetId="141" r:id="rId8"/>
    <sheet name="2.5 KaleidaNutrition S20-Status" sheetId="139" r:id="rId9"/>
    <sheet name="2.5Kaleida Nutrition S21-Defect" sheetId="142" r:id="rId10"/>
    <sheet name="2.5Kaleida Nutrition S20-Defect" sheetId="140" r:id="rId11"/>
    <sheet name="2.5 KaleidaNutrition S19-Status" sheetId="138" r:id="rId12"/>
    <sheet name="2.5Kaleida Nutrition S18-Defect" sheetId="137" r:id="rId13"/>
    <sheet name="2.5 KaleidaNutrition S18-Status" sheetId="136" r:id="rId14"/>
    <sheet name="2.5 KaleidaNutrition S17-Status" sheetId="132" r:id="rId15"/>
    <sheet name="2.5Kaleida Nutrition S17-Defect" sheetId="135" r:id="rId16"/>
    <sheet name="2.5 KaleidaNutrition S16-Status" sheetId="131" r:id="rId17"/>
    <sheet name="2.5 KaleidaNutrition S15-Status" sheetId="130" r:id="rId18"/>
    <sheet name="2.5Kaleida Nutrition S14-Defect" sheetId="129" r:id="rId19"/>
    <sheet name="2.5 KaleidaNutrition S14-Status" sheetId="128" r:id="rId20"/>
    <sheet name="Defect-template" sheetId="64" r:id="rId21"/>
    <sheet name="2.5 KaleidaNutrition S13-Status" sheetId="126" r:id="rId22"/>
    <sheet name="2.5 KaleidaNutrition S12-Status" sheetId="124" r:id="rId23"/>
    <sheet name="2.5 KaleidaNutrition S11-Status" sheetId="121" r:id="rId24"/>
    <sheet name="2.5Kaleida Nutrition S13-D" sheetId="127" r:id="rId25"/>
    <sheet name="2.5Kaleida Nutrition S12-Defect" sheetId="125" r:id="rId26"/>
    <sheet name="2.5Kaleida Nutrition S11-Defect" sheetId="123" r:id="rId27"/>
    <sheet name="2.5 KaleidaNutrition S10-Status" sheetId="119" r:id="rId28"/>
    <sheet name="2.5 Kaleida Nutrition S9-Status" sheetId="116" r:id="rId29"/>
    <sheet name="2.5 Kaleida Nutrition S9-Defect" sheetId="117" r:id="rId30"/>
    <sheet name="2.5 Kaleida Nutrition S8-Status" sheetId="113" r:id="rId31"/>
    <sheet name="2.5 Kaleida Nutrition S8-Defect" sheetId="114" r:id="rId32"/>
    <sheet name="2.5 Kaleida Nutrition S7-Status" sheetId="110" r:id="rId33"/>
    <sheet name="2.5 Kaleida Nutrition S7-Defect" sheetId="111" r:id="rId34"/>
    <sheet name="2.5 Kaleida Nutrition S6-Status" sheetId="107" r:id="rId35"/>
    <sheet name="2.5 Kaleida Nutrition S6-Defect" sheetId="108" r:id="rId36"/>
    <sheet name="2.5 Kaleida Nutrition S5-Status" sheetId="104" r:id="rId37"/>
    <sheet name="2.5 Kaleida Nutrition S5-Defect" sheetId="105" r:id="rId38"/>
    <sheet name="2.5 Kaleida Nutrition S4-Status" sheetId="101" r:id="rId39"/>
    <sheet name="2.5 Kaleida Nutrition S4-Defect" sheetId="102" r:id="rId40"/>
    <sheet name="2.5 Kaleida Nutrition S3-Status" sheetId="98" r:id="rId41"/>
    <sheet name="2.5 Kaleida Nutrition S3-Defect" sheetId="99" r:id="rId42"/>
    <sheet name="2.5 Kaleida Nutrition S2-Status" sheetId="95" r:id="rId43"/>
    <sheet name="2.5 Kaleida Nutrition S2-Defect" sheetId="96" r:id="rId44"/>
    <sheet name="2.5 Kaleida Nutrition S1-Status" sheetId="92" r:id="rId45"/>
    <sheet name="2.5 Kaleida Nutrition S1-Defect" sheetId="93" r:id="rId46"/>
    <sheet name="2.4 Sprint 3-Status" sheetId="89" r:id="rId47"/>
    <sheet name="2.4 Sprint 3-Defect" sheetId="90" r:id="rId48"/>
    <sheet name="2.4 Sprint 2-Status" sheetId="86" r:id="rId49"/>
    <sheet name="2.4 Sprint 2-Defect" sheetId="87" r:id="rId50"/>
    <sheet name="2.4 Sprint 1-Status" sheetId="83" r:id="rId51"/>
    <sheet name="2.4 Sprint 1-Defect" sheetId="84" r:id="rId52"/>
    <sheet name="2.4 Sprint 0-Status" sheetId="80" r:id="rId53"/>
    <sheet name="2.4 Sprint 0-Defect" sheetId="81" r:id="rId54"/>
    <sheet name="2.3 Sprint 4-Status" sheetId="75" r:id="rId55"/>
    <sheet name="2.3 Sprint 4-Defect" sheetId="78" r:id="rId56"/>
    <sheet name="2.3 Sprint 3-Status" sheetId="72" r:id="rId57"/>
    <sheet name="2.3 Sprint 3-Defect" sheetId="73" r:id="rId58"/>
    <sheet name="2.3 Sprint 2-Status" sheetId="69" r:id="rId59"/>
    <sheet name="2.3 Sprint 1-Status" sheetId="66" r:id="rId60"/>
    <sheet name="2.3 Sprint 1-Defect" sheetId="67" r:id="rId61"/>
    <sheet name="2.2 Sprint 6-Status" sheetId="61" r:id="rId62"/>
    <sheet name="2.2 Sprint 6-Defect" sheetId="62" r:id="rId63"/>
    <sheet name="2.3 Sprint 2-Defect" sheetId="70" r:id="rId64"/>
    <sheet name="2.2 Sprint 5-Defect" sheetId="57" r:id="rId65"/>
    <sheet name="2.2 Sprint 4-Status" sheetId="53" r:id="rId66"/>
    <sheet name="2.2 Sprint 4-Defect" sheetId="54" r:id="rId67"/>
    <sheet name="2.2 Sprint 5-Status" sheetId="56" r:id="rId68"/>
    <sheet name="2.2 Sprint 3-Status" sheetId="50" r:id="rId69"/>
    <sheet name="2.2 Sprint 3-Defect" sheetId="51" r:id="rId70"/>
    <sheet name="2.2 - Sprint 2 - Status" sheetId="48" r:id="rId71"/>
    <sheet name="2.2 - Sprint 2 - Defect" sheetId="49" r:id="rId72"/>
    <sheet name="2.2 - Sprint 1 - Defect " sheetId="47" r:id="rId73"/>
    <sheet name="2.2 - Sprint 1 - Status" sheetId="46" r:id="rId74"/>
    <sheet name="2.2 - Sprint 0 - Status" sheetId="43" r:id="rId75"/>
    <sheet name="2.2 - Sprint 0 - Defect" sheetId="44" r:id="rId76"/>
    <sheet name="2.1 Sprint 6 Status" sheetId="42" r:id="rId77"/>
    <sheet name="2.1 - Sprint 6 -Defect" sheetId="41" r:id="rId78"/>
    <sheet name="2.1 Sprint 5 - CRC" sheetId="39" r:id="rId79"/>
    <sheet name="2.1 Sprint 5 - Defect" sheetId="40" r:id="rId80"/>
    <sheet name="2.1 Sprint 4 - CRC" sheetId="37" r:id="rId81"/>
    <sheet name="2.1 Sprint 4 - Defect" sheetId="38" r:id="rId82"/>
    <sheet name="2.1 Sprint 3 - CRC" sheetId="35" r:id="rId83"/>
    <sheet name="2.1 Sprint 3 - Defect" sheetId="36" r:id="rId84"/>
    <sheet name="2.1 Sprint 2 - CRC" sheetId="33" r:id="rId85"/>
    <sheet name="2.1 Sprint 2 - Defect" sheetId="34" r:id="rId86"/>
    <sheet name="2.1 Sprint 1 - CRC " sheetId="31" r:id="rId87"/>
    <sheet name="2.1 Sprint 1 - Defect" sheetId="32" r:id="rId88"/>
    <sheet name="2.0 Sprint 8 - CRC" sheetId="29" r:id="rId89"/>
    <sheet name="2.0 Sprint 8 - Defect" sheetId="30" r:id="rId90"/>
    <sheet name="2.0 Sprint 7 - CRC" sheetId="27" r:id="rId91"/>
    <sheet name="2.0 Sprint 7 - Defect" sheetId="28" r:id="rId92"/>
    <sheet name="2.0 Sprint 6 - CRC " sheetId="25" r:id="rId93"/>
    <sheet name="2.0 Sprint 6 - Defect " sheetId="26" r:id="rId94"/>
    <sheet name="2.0 Sprint 5 - CRC" sheetId="23" r:id="rId95"/>
    <sheet name="2.0 Sprint 5 - Defect" sheetId="24" r:id="rId96"/>
    <sheet name="2.0 Sprint 4 - CRC" sheetId="21" r:id="rId97"/>
    <sheet name="2.0 Sprint 4 - Defect" sheetId="22" r:id="rId98"/>
    <sheet name="2.0 Sprint 3 - CRC" sheetId="19" r:id="rId99"/>
    <sheet name="2.0 Sprint 3 - Defect" sheetId="20" r:id="rId100"/>
    <sheet name="2.0 Sprint 2 - CRC" sheetId="16" r:id="rId101"/>
    <sheet name="2.0 Sprint 2 - Defect" sheetId="17" r:id="rId102"/>
    <sheet name="2.0 Sprint 1 - Defect" sheetId="15" r:id="rId103"/>
    <sheet name="1.9 Spint 4 - CRC" sheetId="12" r:id="rId104"/>
    <sheet name="1.9 Sprint 4 - Defect" sheetId="13" r:id="rId105"/>
    <sheet name="1.9 Spint 3 - CRC" sheetId="10" r:id="rId106"/>
    <sheet name="1.9 Sprint 3 - Defect" sheetId="11" r:id="rId107"/>
    <sheet name="2.0 Sprint 1 - CRC" sheetId="14" r:id="rId108"/>
    <sheet name="1.9 Sprint 2 - CRC" sheetId="2" r:id="rId109"/>
    <sheet name="1.9 Sprint 2 - Defect" sheetId="3" r:id="rId110"/>
    <sheet name="1.9 Sprint 1 - CRC" sheetId="4" r:id="rId111"/>
    <sheet name="1.9 Sprint 1 - Defect" sheetId="5" r:id="rId112"/>
    <sheet name="1.8 Sprint 3 - CRC" sheetId="6" r:id="rId113"/>
    <sheet name="1.8 Sprint 3 - Defect" sheetId="7" r:id="rId114"/>
    <sheet name="Checklist" sheetId="8" r:id="rId115"/>
    <sheet name="Details" sheetId="9" r:id="rId116"/>
    <sheet name="Settings" sheetId="59" r:id="rId117"/>
    <sheet name="ExportData" sheetId="133" r:id="rId118"/>
  </sheets>
  <definedNames>
    <definedName name="_xlnm._FilterDatabase" localSheetId="96" hidden="1">'2.0 Sprint 4 - CRC'!$A$1:$X$12</definedName>
    <definedName name="_xlnm._FilterDatabase" localSheetId="94" hidden="1">'2.0 Sprint 5 - CRC'!$A$1:$X$12</definedName>
    <definedName name="_xlnm._FilterDatabase" localSheetId="92" hidden="1">'2.0 Sprint 6 - CRC '!$A$1:$X$12</definedName>
    <definedName name="_xlnm._FilterDatabase" localSheetId="90" hidden="1">'2.0 Sprint 7 - CRC'!$A$1:$X$4</definedName>
    <definedName name="_xlnm._FilterDatabase" localSheetId="88" hidden="1">'2.0 Sprint 8 - CRC'!$A$1:$X$2</definedName>
    <definedName name="_xlnm._FilterDatabase" localSheetId="86" hidden="1">'2.1 Sprint 1 - CRC '!$A$1:$X$2</definedName>
    <definedName name="_xlnm._FilterDatabase" localSheetId="84" hidden="1">'2.1 Sprint 2 - CRC'!$A$1:$Y$1</definedName>
    <definedName name="_xlnm._FilterDatabase" localSheetId="82" hidden="1">'2.1 Sprint 3 - CRC'!$A$1:$Y$1</definedName>
    <definedName name="_xlnm._FilterDatabase" localSheetId="80" hidden="1">'2.1 Sprint 4 - CRC'!$A$1:$Y$1</definedName>
    <definedName name="_xlnm._FilterDatabase" localSheetId="78" hidden="1">'2.1 Sprint 5 - CRC'!$A$1:$Y$1</definedName>
    <definedName name="_xlnm._FilterDatabase" localSheetId="76" hidden="1">'2.1 Sprint 6 Status'!$A$1:$Y$1</definedName>
    <definedName name="_xlnm._FilterDatabase" localSheetId="74" hidden="1">'2.2 - Sprint 0 - Status'!$A$1:$Y$1</definedName>
    <definedName name="_xlnm._FilterDatabase" localSheetId="73" hidden="1">'2.2 - Sprint 1 - Status'!$A$1:$Y$1</definedName>
    <definedName name="_xlnm._FilterDatabase" localSheetId="70" hidden="1">'2.2 - Sprint 2 - Status'!$A$1:$Y$1</definedName>
    <definedName name="_xlnm._FilterDatabase" localSheetId="68" hidden="1">'2.2 Sprint 3-Status'!$A$1:$Y$1</definedName>
    <definedName name="_xlnm._FilterDatabase" localSheetId="65" hidden="1">'2.2 Sprint 3-Status'!$A$1:$Y$1</definedName>
    <definedName name="_xlnm._FilterDatabase" localSheetId="67" hidden="1">'2.2 Sprint 3-Status'!$A$1:$Y$1</definedName>
    <definedName name="_xlnm._FilterDatabase" localSheetId="61" hidden="1">'2.2 Sprint 3-Status'!$A$1:$Y$1</definedName>
    <definedName name="_xlnm._FilterDatabase" localSheetId="59" hidden="1">'2.2 Sprint 3-Status'!$A$1:$Y$1</definedName>
    <definedName name="_xlnm._FilterDatabase" localSheetId="58" hidden="1">'2.2 Sprint 3-Status'!$A$1:$Y$1</definedName>
    <definedName name="_xlnm._FilterDatabase" localSheetId="56" hidden="1">'2.2 Sprint 3-Status'!$A$1:$Y$1</definedName>
    <definedName name="_xlnm._FilterDatabase" localSheetId="55" hidden="1">'2.3 Sprint 4-Defect'!$A$1:$N$1</definedName>
    <definedName name="_xlnm._FilterDatabase" localSheetId="54" hidden="1">'2.2 Sprint 3-Status'!$A$1:$Y$1</definedName>
    <definedName name="_xlnm._FilterDatabase" localSheetId="53" hidden="1">'2.4 Sprint 0-Defect'!$A$1:$N$1</definedName>
    <definedName name="_xlnm._FilterDatabase" localSheetId="52" hidden="1">'2.2 Sprint 3-Status'!$A$1:$Y$1</definedName>
    <definedName name="_xlnm._FilterDatabase" localSheetId="51" hidden="1">'2.4 Sprint 1-Defect'!$A$1:$N$1</definedName>
    <definedName name="_xlnm._FilterDatabase" localSheetId="50" hidden="1">'2.2 Sprint 3-Status'!$A$1:$Y$1</definedName>
    <definedName name="_xlnm._FilterDatabase" localSheetId="49" hidden="1">'2.4 Sprint 2-Defect'!$A$1:$N$1</definedName>
    <definedName name="_xlnm._FilterDatabase" localSheetId="48" hidden="1">'2.2 Sprint 3-Status'!$A$1:$Y$1</definedName>
    <definedName name="_xlnm._FilterDatabase" localSheetId="47" hidden="1">'2.4 Sprint 3-Defect'!$A$1:$N$1</definedName>
    <definedName name="_xlnm._FilterDatabase" localSheetId="46" hidden="1">'2.2 Sprint 3-Status'!$A$1:$Y$1</definedName>
    <definedName name="_xlnm._FilterDatabase" localSheetId="45" hidden="1">'2.5 Kaleida Nutrition S1-Defect'!$A$1:$N$1</definedName>
    <definedName name="_xlnm._FilterDatabase" localSheetId="44" hidden="1">'2.2 Sprint 3-Status'!$A$1:$Y$1</definedName>
    <definedName name="_xlnm._FilterDatabase" localSheetId="43" hidden="1">'2.5 Kaleida Nutrition S2-Defect'!$A$1:$N$1</definedName>
    <definedName name="_xlnm._FilterDatabase" localSheetId="42" hidden="1">'2.2 Sprint 3-Status'!$A$1:$Y$1</definedName>
    <definedName name="_xlnm._FilterDatabase" localSheetId="41" hidden="1">'2.5 Kaleida Nutrition S3-Defect'!$A$1:$N$1</definedName>
    <definedName name="_xlnm._FilterDatabase" localSheetId="40" hidden="1">'2.2 Sprint 3-Status'!$A$1:$Y$1</definedName>
    <definedName name="_xlnm._FilterDatabase" localSheetId="39" hidden="1">'2.5 Kaleida Nutrition S4-Defect'!$A$1:$N$1</definedName>
    <definedName name="_xlnm._FilterDatabase" localSheetId="38" hidden="1">'2.2 Sprint 3-Status'!$A$1:$Y$1</definedName>
    <definedName name="_xlnm._FilterDatabase" localSheetId="37" hidden="1">'2.5 Kaleida Nutrition S5-Defect'!$A$1:$N$1</definedName>
    <definedName name="_xlnm._FilterDatabase" localSheetId="36" hidden="1">'2.2 Sprint 3-Status'!$A$1:$Y$1</definedName>
    <definedName name="_xlnm._FilterDatabase" localSheetId="35" hidden="1">'2.5 Kaleida Nutrition S6-Defect'!$A$1:$N$1</definedName>
    <definedName name="_xlnm._FilterDatabase" localSheetId="34" hidden="1">'2.2 Sprint 3-Status'!$A$1:$Y$1</definedName>
    <definedName name="_xlnm._FilterDatabase" localSheetId="33" hidden="1">'2.5 Kaleida Nutrition S7-Defect'!$A$1:$N$1</definedName>
    <definedName name="_xlnm._FilterDatabase" localSheetId="32" hidden="1">'2.2 Sprint 3-Status'!$A$1:$Y$1</definedName>
    <definedName name="_xlnm._FilterDatabase" localSheetId="23" hidden="1">'2.5 KaleidaNutrition S11-Status'!$A$1:$AE$5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34" l="1"/>
  <c r="B1" i="1" a="1"/>
  <c r="B1" i="1"/>
  <c r="D1" i="1" s="1"/>
  <c r="B8" i="66"/>
  <c r="B7" i="66"/>
  <c r="B6" i="66"/>
  <c r="B5" i="66"/>
  <c r="B4" i="66"/>
  <c r="B3" i="66"/>
  <c r="B2" i="66"/>
  <c r="B12" i="61"/>
  <c r="B7" i="61"/>
  <c r="B3" i="61"/>
  <c r="B11" i="61"/>
  <c r="B10" i="61"/>
  <c r="B9" i="61"/>
  <c r="A51" i="1"/>
  <c r="B8" i="61"/>
  <c r="B6" i="61"/>
  <c r="B14" i="56"/>
  <c r="B5" i="61"/>
  <c r="B4" i="61"/>
  <c r="B2" i="61"/>
  <c r="B20" i="56"/>
  <c r="B19" i="56"/>
  <c r="B18" i="56"/>
  <c r="B17" i="56"/>
  <c r="B12" i="56"/>
  <c r="B2" i="56"/>
  <c r="B15" i="56"/>
  <c r="B13" i="56"/>
  <c r="B11" i="56"/>
  <c r="B10" i="56"/>
  <c r="B9" i="56"/>
  <c r="B8" i="56"/>
  <c r="B5" i="56"/>
  <c r="B4" i="56"/>
  <c r="B7" i="56"/>
  <c r="B6" i="56"/>
  <c r="B3" i="56"/>
  <c r="B14" i="53"/>
  <c r="B13" i="53"/>
  <c r="B11" i="53"/>
  <c r="A3" i="53"/>
  <c r="A4" i="53" s="1"/>
  <c r="A5" i="53" s="1"/>
  <c r="A6" i="53" s="1"/>
  <c r="A7" i="53" s="1"/>
  <c r="A8" i="53" s="1"/>
  <c r="A9" i="53" s="1"/>
  <c r="A10" i="53" s="1"/>
  <c r="A11" i="53" s="1"/>
  <c r="A12" i="53" s="1"/>
  <c r="A13" i="53" s="1"/>
  <c r="A14" i="53" s="1"/>
  <c r="B3" i="53"/>
  <c r="B2" i="53"/>
  <c r="B8" i="53"/>
  <c r="B4" i="53"/>
  <c r="B12" i="53"/>
  <c r="B9" i="53"/>
  <c r="B5" i="53"/>
  <c r="B6" i="53"/>
  <c r="B7" i="53"/>
  <c r="B10" i="53"/>
  <c r="A5" i="46"/>
  <c r="A3" i="46" s="1"/>
  <c r="A4" i="46" s="1"/>
  <c r="A7" i="46" s="1"/>
  <c r="A6" i="46" s="1"/>
  <c r="A8" i="46" s="1"/>
  <c r="A9" i="46" s="1"/>
  <c r="A4" i="42"/>
  <c r="A5" i="42"/>
  <c r="A6" i="42"/>
  <c r="A7" i="42"/>
  <c r="A8" i="42"/>
  <c r="A9" i="42"/>
  <c r="A10" i="42"/>
  <c r="A11" i="42"/>
  <c r="A12" i="42"/>
  <c r="A13" i="42"/>
  <c r="A14" i="42"/>
  <c r="A15" i="42"/>
  <c r="A16" i="42"/>
  <c r="A17" i="42"/>
  <c r="A18" i="42"/>
  <c r="A3" i="42"/>
  <c r="G11" i="37"/>
  <c r="F7" i="1"/>
  <c r="A64" i="1" l="1"/>
  <c r="A65" i="1"/>
  <c r="A62" i="1"/>
  <c r="A63" i="1"/>
  <c r="A60" i="1"/>
  <c r="A61" i="1"/>
  <c r="A58" i="1"/>
  <c r="A59" i="1"/>
  <c r="A56" i="1"/>
  <c r="A57" i="1"/>
  <c r="A54" i="1"/>
  <c r="A55" i="1"/>
  <c r="A52" i="1"/>
  <c r="A53" i="1"/>
  <c r="A49" i="1"/>
  <c r="A50" i="1"/>
  <c r="A47" i="1"/>
  <c r="A48" i="1"/>
  <c r="A45" i="1"/>
  <c r="A46" i="1"/>
  <c r="A43" i="1"/>
  <c r="A44" i="1"/>
  <c r="A40" i="1"/>
  <c r="A42" i="1"/>
  <c r="A38" i="1"/>
  <c r="A39" i="1"/>
  <c r="A35" i="1"/>
  <c r="A37" i="1"/>
  <c r="A34" i="1"/>
  <c r="A33" i="1"/>
  <c r="A32" i="1"/>
  <c r="A30" i="1"/>
  <c r="A3" i="1"/>
  <c r="H1" i="1"/>
  <c r="F1" i="1"/>
  <c r="C2" i="69" s="1"/>
  <c r="A29" i="1"/>
  <c r="A28" i="1"/>
  <c r="A27" i="1"/>
  <c r="A4" i="1"/>
  <c r="A5" i="1"/>
  <c r="A6" i="1"/>
  <c r="A7" i="1"/>
  <c r="A8" i="1"/>
  <c r="A9" i="1"/>
  <c r="A10" i="1"/>
  <c r="A11" i="1"/>
  <c r="A12" i="1"/>
  <c r="A13" i="1"/>
  <c r="A14" i="1"/>
  <c r="A15" i="1"/>
  <c r="A16" i="1"/>
  <c r="A17" i="1"/>
  <c r="A18" i="1"/>
  <c r="A19" i="1"/>
  <c r="A20" i="1"/>
  <c r="A21" i="1"/>
  <c r="A22" i="1"/>
  <c r="A23" i="1"/>
  <c r="A24" i="1"/>
  <c r="A25" i="1"/>
  <c r="A26" i="1"/>
  <c r="C3" i="69" l="1"/>
  <c r="C4" i="69"/>
  <c r="C5" i="69"/>
  <c r="C6" i="69"/>
  <c r="C7" i="69"/>
  <c r="C8" i="69"/>
  <c r="C9" i="69"/>
  <c r="C10" i="69"/>
  <c r="C11" i="69"/>
  <c r="D2" i="69"/>
  <c r="D3" i="69"/>
  <c r="D4" i="69"/>
  <c r="D5" i="69"/>
  <c r="D6" i="69"/>
  <c r="D7" i="69"/>
  <c r="D8" i="69"/>
  <c r="D9" i="69"/>
  <c r="D10" i="69"/>
  <c r="D11" i="69"/>
  <c r="C2" i="66"/>
  <c r="D8" i="66"/>
  <c r="D2" i="66"/>
  <c r="D3" i="66"/>
  <c r="C3" i="66"/>
  <c r="C8" i="66"/>
  <c r="C6" i="66"/>
  <c r="C7" i="66"/>
  <c r="D6" i="66"/>
  <c r="D7" i="66"/>
  <c r="C4" i="66"/>
  <c r="C5" i="66"/>
  <c r="D4" i="66"/>
  <c r="D5" i="66"/>
  <c r="C7" i="61"/>
  <c r="C12" i="61"/>
  <c r="D7" i="61"/>
  <c r="D12" i="61"/>
  <c r="C3" i="61"/>
  <c r="D3" i="61"/>
  <c r="C10" i="61"/>
  <c r="C11" i="61"/>
  <c r="C9" i="61"/>
  <c r="D9" i="61"/>
  <c r="C8" i="61"/>
  <c r="D8" i="61"/>
  <c r="C6" i="61"/>
  <c r="D6" i="61"/>
  <c r="C14" i="56"/>
  <c r="D14" i="56"/>
  <c r="C5" i="61"/>
  <c r="C4" i="61"/>
  <c r="C2" i="61"/>
  <c r="D5" i="61"/>
  <c r="D4" i="61"/>
  <c r="D2" i="61"/>
  <c r="C19" i="56"/>
  <c r="C20" i="56"/>
  <c r="D19" i="56"/>
  <c r="D20" i="56"/>
  <c r="C17" i="56"/>
  <c r="C18" i="56"/>
  <c r="D17" i="56"/>
  <c r="D18" i="56"/>
  <c r="C12" i="56"/>
  <c r="C16" i="56"/>
  <c r="D12" i="56"/>
  <c r="D16" i="56"/>
  <c r="C2" i="56"/>
  <c r="D2" i="56"/>
  <c r="C15" i="56"/>
  <c r="C13" i="56"/>
  <c r="C11" i="56"/>
  <c r="C10" i="56"/>
  <c r="C9" i="56"/>
  <c r="C8" i="56"/>
  <c r="C5" i="56"/>
  <c r="C4" i="56"/>
  <c r="C7" i="56"/>
  <c r="C6" i="56"/>
  <c r="C3" i="56"/>
  <c r="D15" i="56"/>
  <c r="D13" i="56"/>
  <c r="D11" i="56"/>
  <c r="D10" i="56"/>
  <c r="D9" i="56"/>
  <c r="D8" i="56"/>
  <c r="D5" i="56"/>
  <c r="D4" i="56"/>
  <c r="D7" i="56"/>
  <c r="D6" i="56"/>
  <c r="D3" i="56"/>
  <c r="C14" i="53"/>
  <c r="D13" i="53"/>
  <c r="D14" i="53"/>
  <c r="C13" i="53"/>
  <c r="C2" i="53"/>
  <c r="C11" i="53"/>
  <c r="D11" i="53"/>
  <c r="D2" i="53"/>
  <c r="D3" i="53"/>
  <c r="D8" i="53"/>
  <c r="D4" i="53"/>
  <c r="D12" i="53"/>
  <c r="D9" i="53"/>
  <c r="D5" i="53"/>
  <c r="D6" i="53"/>
  <c r="D7" i="53"/>
  <c r="D10" i="53"/>
  <c r="C3" i="53"/>
  <c r="C8" i="53"/>
  <c r="C4" i="53"/>
  <c r="C12" i="53"/>
  <c r="C9" i="53"/>
  <c r="C5" i="53"/>
  <c r="C6" i="53"/>
  <c r="C7" i="53"/>
  <c r="C10" i="5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<sst xmlns="http://schemas.openxmlformats.org/spreadsheetml/2006/main" count="10954" uniqueCount="1513">
  <si>
    <t>Current Sprint</t>
  </si>
  <si>
    <t>Current Sprint Sheet</t>
  </si>
  <si>
    <t>Sprint Start Date</t>
  </si>
  <si>
    <t>Sprint End Date</t>
  </si>
  <si>
    <t>Application Name</t>
  </si>
  <si>
    <t>Meal Order</t>
  </si>
  <si>
    <t>Users</t>
  </si>
  <si>
    <t>charu.sharma@relevantz.com;kiruthiga.ganapathi@relevantz.com;sudheer.dokku@relevantz.com;rubansanthosh.stephen@relevantz.com;karthikeyan.elumalai@relevantz.com;vidhya.subramaniam@relevantz.com;ganesh.veerannan@relevantz.com;shikha.p@relevantz.com;nathiya.palanisamy@relevantz.com</t>
  </si>
  <si>
    <t>Teams Name(GP -Meal Orders)</t>
  </si>
  <si>
    <t>19:33c225e109bb48d58dd1e9a89b0261a7@thread.v2</t>
  </si>
  <si>
    <t>Sprint Type</t>
  </si>
  <si>
    <t>Sprint #</t>
  </si>
  <si>
    <t>Assigned</t>
  </si>
  <si>
    <t>Completed</t>
  </si>
  <si>
    <t>Story points introduced/removed</t>
  </si>
  <si>
    <t>Sprint Summary</t>
  </si>
  <si>
    <t>Accomplishments</t>
  </si>
  <si>
    <t>Remarks</t>
  </si>
  <si>
    <t>Retro Points
(Internal &amp; External)</t>
  </si>
  <si>
    <t>Unplanned Leaves</t>
  </si>
  <si>
    <t>Data sanity
Audit Status</t>
  </si>
  <si>
    <t>AuditDate</t>
  </si>
  <si>
    <t>Backlog Health</t>
  </si>
  <si>
    <t>1.8 Sprint 3</t>
  </si>
  <si>
    <t>Regression Sprint -  Release 1/2/2024
In addition completed one stretch story (2 sp).</t>
  </si>
  <si>
    <t>Internal:
External:</t>
  </si>
  <si>
    <t>1.9 Sprint 1</t>
  </si>
  <si>
    <t>New Version 1.9 - One Story from Stretch and Two defects from the Stretch was completed
One Story was carry-forward due to additional AC after completing the story</t>
  </si>
  <si>
    <t>1.9 Sprint 2</t>
  </si>
  <si>
    <t>Ruban will be unavailable for the next three weeks, Compensating the 8sp with a 9sp from stretch (since the 8sp couldn't be completed as it involves more effort). 
Refer to story number 40282 for more info</t>
  </si>
  <si>
    <t>1.9 Sprint 3</t>
  </si>
  <si>
    <t>Ruban will be unavailable for the first half of the Sprint.
Addition to this, development completed for 2 stretch stories and testing is in progress.</t>
  </si>
  <si>
    <t>1.9 Sprint 4</t>
  </si>
  <si>
    <t>Regression Sprint -- Release Targeted on March 20, 21 (Cert, Prod)</t>
  </si>
  <si>
    <t>2.0 Sprint 1</t>
  </si>
  <si>
    <t>18SP</t>
  </si>
  <si>
    <t>New Version - Commit has Two Project Unite Discovery Stories for Clients (13+13)
Relevantz has 4 Defects and 1 Story in the Commit</t>
  </si>
  <si>
    <t>2.0 Sprint 2</t>
  </si>
  <si>
    <t>21SP</t>
  </si>
  <si>
    <t>Relevantz has 2 Stories and 1 Defects in the Commit.
Relevantz completed 2 Commit Stories, 1 Commit Defect and 4 Stretch Stories</t>
  </si>
  <si>
    <t>2.0 Sprint 3</t>
  </si>
  <si>
    <t>10SP</t>
  </si>
  <si>
    <t>Due to scope change one main commit story spilled over.ST #44162</t>
  </si>
  <si>
    <t>2.0 Sprint 4</t>
  </si>
  <si>
    <t>12SP</t>
  </si>
  <si>
    <t>Completed more than committed
Completed - 2 Commit Stories and 4 Stretch Stories and 3 Stories are Code Completed and in PR</t>
  </si>
  <si>
    <t>2.0 Sprint 5</t>
  </si>
  <si>
    <t>4SP</t>
  </si>
  <si>
    <t xml:space="preserve">We had additional requirements, requests and enhancements from the Client after the POV (New AC)
Completed Dev in a short period targeting release and release goal
Found one Critical issue in the Prod and gave fix on the same day and had release on the next day </t>
  </si>
  <si>
    <t>2.0 Sprint 6</t>
  </si>
  <si>
    <t>Introduced - 18SP
Removed - 9SP</t>
  </si>
  <si>
    <t>Release Goal have been changed. So new requirement has been captured and the team is currently working on that.
Reason - A New Schedule Printer is needed. On going Progress
Hot-fix for Order Price Mismatch</t>
  </si>
  <si>
    <t>2.0 Sprint 7</t>
  </si>
  <si>
    <t>The Stories commited are new requirment which is different from the release goal. 
Completed two reports fully. The Third report is in progress (UI Completed)</t>
  </si>
  <si>
    <t>2.0 Sprint 8</t>
  </si>
  <si>
    <t>Regression Sprint
Order Receipts was carry forwarded (Dev Completed)</t>
  </si>
  <si>
    <t>2.1 Sprint 1</t>
  </si>
  <si>
    <t>The Release was in mid sprint, the team started to work on Prod Defects and Stock Management by Sarath. 
Ruban and Kiruthiga are working on finding solution for Cloud Print (Automatic Receipt Scheduler)</t>
  </si>
  <si>
    <t>2.1 Sprint 2</t>
  </si>
  <si>
    <t>Receipt Scheduler will be on hold until we find a feasible approach. Will be moving to 2.2 Release.</t>
  </si>
  <si>
    <t>2.1 Sprint 3</t>
  </si>
  <si>
    <t>Targeting Stock Management, NSLP and Defect Clean up</t>
  </si>
  <si>
    <t>2.1 Sprint 4</t>
  </si>
  <si>
    <t>Removed - 13</t>
  </si>
  <si>
    <t xml:space="preserve">The Stories are carry forwarded for Admin Integration with Individual and Teacher Ordering </t>
  </si>
  <si>
    <t>2.1 Sprint 5</t>
  </si>
  <si>
    <t>Removed - 21</t>
  </si>
  <si>
    <t>Regression Sprint 
There was a scope creep for Stock Management, rather than regression was on-going. We found few issues that the team is fixing related to Site and Site groups.</t>
  </si>
  <si>
    <t xml:space="preserve">Internal:
External: Team Collaboration </t>
  </si>
  <si>
    <t>2.1 Sprint 6</t>
  </si>
  <si>
    <t>Introduced - 21</t>
  </si>
  <si>
    <t>Regression Sprint
Ruban and Sudheer were involved in Regression Testing 
Ruban was involved in Escalation
Internal CRC - 0, External CRC - 0, QA Defects - 11, Escaped Defects - 0</t>
  </si>
  <si>
    <t>2.2 Sprint 0</t>
  </si>
  <si>
    <t>Introduced - 5</t>
  </si>
  <si>
    <t>Performance Optimization in Cart for Individual and Teacher Ordering</t>
  </si>
  <si>
    <t>Internal CRC - 0
External CRC - 0 
QA Defects - 4
Escaped Defects - 0</t>
  </si>
  <si>
    <t>2.2 Sprint 1</t>
  </si>
  <si>
    <t>Carry Forwarded - 3</t>
  </si>
  <si>
    <t>Adding First Name, Last Name and Copy Email to the Order Details</t>
  </si>
  <si>
    <t xml:space="preserve">Due to Build Issues and ChromeDriver Issue one Regression Automation Story was carry forwarded
Internal CRC - 0
External CRC - 0
QA Defects - 2
Escaped Defects - 0 </t>
  </si>
  <si>
    <t>2.2 Sprint 2</t>
  </si>
  <si>
    <t>Stock Management UI Changes for Admin and Soft Refresh of Stock Items in End User</t>
  </si>
  <si>
    <t xml:space="preserve">Internal CRC - 0
External CRC - 0
QA Defects - 3
Escaped Defects - 0 </t>
  </si>
  <si>
    <t>2.2 Sprint 3</t>
  </si>
  <si>
    <t>Stock Management Complete Changes, Stock Report, Regression Automation</t>
  </si>
  <si>
    <t>4 - Weeks Sprint
Internal CRC - 0
External CRC - 0
QA Defects - 5
Escaped Defects - 0</t>
  </si>
  <si>
    <t>2.2 Sprint 4</t>
  </si>
  <si>
    <t>Stock Management Complete Changes, Stock Report</t>
  </si>
  <si>
    <t>4 Weeks Sprint. 
Two stories were Carry Forwarded - Development is completed, Testing is in Progress. End - End Testing is required for this EPIC Feature
Internal CRC - 0
External CRC - 0
QA Defects - 4
Escaped Defects - 0</t>
  </si>
  <si>
    <t>2.2 Sprint 5</t>
  </si>
  <si>
    <t>Regression Sprint - Stock Management Complete Changes, Stock Report</t>
  </si>
  <si>
    <t>Will be carry forwarded to continue other reports. We have 13 reports with run reports and schedule reports with report inbox. 
Sentral had a new PR for CSV Format, so we will re running the tests
We have completed Order Management, Menu Item, Menu Template, Menu Calendar, Settings Module. We have Stock Management Module inprogress for regression.
Internal CRC - 0
External CRC - 0
QA Defects - 4
Escaped Defects - 9</t>
  </si>
  <si>
    <t>External - Rachel appreciated Preethi, Ruban for their extensive support in the absence of Tino</t>
  </si>
  <si>
    <t>2.2 Sprint 6</t>
  </si>
  <si>
    <t xml:space="preserve">Regression Sprint - Stock Management Complete Changes, Stock Report and Analysis on Bulk Order Cancellation/Open, Menu Template Report and Student Fullfillment Enhancement </t>
  </si>
  <si>
    <t>Internal CRC - 0
External CRC - 0
QA Defects - 3
Escaped Defects - 1</t>
  </si>
  <si>
    <t>External - Received appreciation mail from Tino, Director/PM for our commitment, coordination and attitude. Ruban has been assigned as  an PR approver to merge PR</t>
  </si>
  <si>
    <t>2.3 Sprint 1</t>
  </si>
  <si>
    <t xml:space="preserve">Analysis on Bulk Order Cancellation/Open, Menu Template Report and Student Fullfillment Enhancement </t>
  </si>
  <si>
    <t>Internal CRC - 0
External CRC - 0
QA Defects - 1
Escaped Defects - 1</t>
  </si>
  <si>
    <t xml:space="preserve">External - Received appreciation on the overall team work &amp; Ruban has been appreciated for the support provided to Rachel. </t>
  </si>
  <si>
    <t>2.3 Sprint 2</t>
  </si>
  <si>
    <t>Bulk order open/cancellation, Menu Template Report &amp; Student fulfillment enhancement, Report Headers</t>
  </si>
  <si>
    <t>Internal CRC - 0
External CRC - 0
QA Defects - 6
Escaped Defects - 0</t>
  </si>
  <si>
    <t>External: Rachel, Tino and other Clients appreciated Ruban for his commitment towards Sentral and Heartland</t>
  </si>
  <si>
    <t>2.3 Sprint 3</t>
  </si>
  <si>
    <t>Enhancement to Report Headers,Customer Count Report, Student Fulfillmen report &amp; Stock Management code refactoring</t>
  </si>
  <si>
    <t>Internal CRC - 0
External CRC - 0
Bouncebacks-2
QA Defects - 2
Escaped Defects - 1</t>
  </si>
  <si>
    <t>Team was appreciated for the overall work &amp; co-ordination.</t>
  </si>
  <si>
    <t>2.3 Sprint 4</t>
  </si>
  <si>
    <t>Regression - Stock Management, Report Enhancements, Order management changes, Complete Teacher, Parent &amp; Admin. Student Product Sales Report changes</t>
  </si>
  <si>
    <t>Internal CRC - 0
External CRC - 0
Bouncebacks- 0
QA Defects - 9
Escaped Defects - 0</t>
  </si>
  <si>
    <t>Entire team was commended for their work &amp; efforts during the regression.</t>
  </si>
  <si>
    <t>2.4 Sprint 0</t>
  </si>
  <si>
    <t>Tech Debt work [Added API settings to the tenant cache, Job added for item type update, Unsplash update to use thumbnail URL] &amp; Multiple defect fixes</t>
  </si>
  <si>
    <t>Internal CRC - 0
External CRC - 0
Bouncebacks- 0
QA Defects - 7
Escaped Defects - 0</t>
  </si>
  <si>
    <t>2.4 Sprint 1</t>
  </si>
  <si>
    <t>User information display on order cancellation, Menu items export, Regression automation fixes &amp; defect fixes</t>
  </si>
  <si>
    <t>Internal CRC - 0
External CRC - 0
Bouncebacks- 0
QA Defects - 1
Escaped Defects - 1</t>
  </si>
  <si>
    <t>Good team effort in completing the stories .</t>
  </si>
  <si>
    <t>2.4 Sprint 2</t>
  </si>
  <si>
    <t>Carry forwarded - 6</t>
  </si>
  <si>
    <t xml:space="preserve">Import config settings, Nutritional unit update, sample script for item type [automation], Timeboxed Discovery for Localization Language Translation	
</t>
  </si>
  <si>
    <t>Internal CRC - 0
External CRC - 0
Bouncebacks- 0
QA Defects - 1
Escaped Defects - 0</t>
  </si>
  <si>
    <t>Owen appreciated Sudheer for his work regarding the newly automated framework.</t>
  </si>
  <si>
    <t>2.4 Sprint 3</t>
  </si>
  <si>
    <t>Carry forwarded - 2</t>
  </si>
  <si>
    <t>Regression</t>
  </si>
  <si>
    <t>Internal CRC - 0
External CRC - 0
Bouncebacks- 0
QA Defects - 2
Escaped Defects - 0</t>
  </si>
  <si>
    <t>1. Ken appreciated Sudheer for his efforts in Regression testing. 2. Hunter appreciated Charu in helping him align the requirements &amp; documentation. 3. Ruban was appreciated by the client team for his prompt and effective handling of the escalation.</t>
  </si>
  <si>
    <t>2.5 Kaleida Nutrition S1</t>
  </si>
  <si>
    <t xml:space="preserve">Import functionality work in Progress, FOH &amp; BOH Kaleida setup,  Auto Cart update for orderable day restriction, Automation (Admin settings)	</t>
  </si>
  <si>
    <t>2.5 Kaleida Nutrition S2</t>
  </si>
  <si>
    <t>Completed Import functionality,  Auto cart fix and Kaleida footer update for MealOrders and Mosaic Point of Sale.</t>
  </si>
  <si>
    <t>Internal CRC - 0
External CRC - 0
Bouncebacks- 0
QA Defects - 2
Escaped Defects - 1</t>
  </si>
  <si>
    <t>2.5 Kaleida Nutrition S3</t>
  </si>
  <si>
    <t>Updated Footer for BOH Kaleida work, Completed Admin side District messages, Export changes to text qualifier, completed automation for admin settings.</t>
  </si>
  <si>
    <t>Internal CRC - 0
External CRC - 0
Bouncebacks- 3
QA Defects - 0
Escaped Defects - 0</t>
  </si>
  <si>
    <t>- The communication efforts demonstrated by the entire team - both across teams and internally- were highly appreciated, contributing significantly to our ability to stay aligned.
- Ken appreciated Ruban's efforts in helping the stories completion in time</t>
  </si>
  <si>
    <t>2.5 Kaleida Nutrition S4</t>
  </si>
  <si>
    <t>Regression Sprint</t>
  </si>
  <si>
    <t>Internal CRC - 0
External CRC - 0
Bouncebacks- 0
QA Defects - 0
Escaped Defects - 0</t>
  </si>
  <si>
    <t>Offshore team was appreciated for their efforts in completing Regression in time. Offhore DM suggested all the team members to enable their cameras during team meeting</t>
  </si>
  <si>
    <t>2.5 Kaleida Nutrition S5</t>
  </si>
  <si>
    <t xml:space="preserve">
- FOH Side Nav Loading/Flickering issues resolved
- Updated BOH Breadcrumbs
- Fixed BOH Side Nav loading/flickering issues 
- MSA Discovery &amp; setup</t>
  </si>
  <si>
    <t>Kaleida work updates for FOH &amp; defect fix for close of receipt printing</t>
  </si>
  <si>
    <r>
      <rPr>
        <b/>
        <sz val="10"/>
        <color rgb="FF000000"/>
        <rFont val="Arial"/>
        <scheme val="minor"/>
      </rPr>
      <t>What went well :</t>
    </r>
    <r>
      <rPr>
        <sz val="10"/>
        <color rgb="FF000000"/>
        <rFont val="Arial"/>
        <scheme val="minor"/>
      </rPr>
      <t xml:space="preserve"> Team was commended by the client for the excellent work, co-ordination &amp; communication. 
</t>
    </r>
    <r>
      <rPr>
        <b/>
        <sz val="10"/>
        <color rgb="FF000000"/>
        <rFont val="Arial"/>
        <scheme val="minor"/>
      </rPr>
      <t>What didn't go so well :</t>
    </r>
    <r>
      <rPr>
        <sz val="10"/>
        <color rgb="FF000000"/>
        <rFont val="Arial"/>
        <scheme val="minor"/>
      </rPr>
      <t xml:space="preserve"> Issues with MSA setup.
Improvements going forward : N/A</t>
    </r>
  </si>
  <si>
    <t>2.5 Kaleida Nutrition S6</t>
  </si>
  <si>
    <t xml:space="preserve">1. FOH Breadcrumb &amp; Navigation issue fixes 
2. Completed Header Dashboard icon updates 
3. Introduce district selector dropdown in Header
4. Updated automation scripts for old framework
5. Mosaic BOH - Completed update to Filter window background color
6. Mosaic BOH - Completed breadcrumb issue fixes &amp; ellipsis fixes to district dropdown </t>
  </si>
  <si>
    <t>FOH Dashboard UI &amp; breadcrumb issue fixes</t>
  </si>
  <si>
    <t>Internal CRC - 2
External CRC - 0
Bouncebacks- 1
QA Defects - 0
Escaped Defects - 0</t>
  </si>
  <si>
    <r>
      <rPr>
        <b/>
        <sz val="10"/>
        <color rgb="FF000000"/>
        <rFont val="Arial"/>
        <scheme val="minor"/>
      </rPr>
      <t>What went well :</t>
    </r>
    <r>
      <rPr>
        <sz val="10"/>
        <color rgb="FF000000"/>
        <rFont val="Arial"/>
        <scheme val="minor"/>
      </rPr>
      <t xml:space="preserve"> Very good progress, completed good amount of work. 
</t>
    </r>
    <r>
      <rPr>
        <b/>
        <sz val="10"/>
        <color rgb="FF000000"/>
        <rFont val="Arial"/>
        <scheme val="minor"/>
      </rPr>
      <t>What didn't go so well :</t>
    </r>
    <r>
      <rPr>
        <sz val="10"/>
        <color rgb="FF000000"/>
        <rFont val="Arial"/>
        <scheme val="minor"/>
      </rPr>
      <t xml:space="preserve"> FOH Deployment pipeline,seems to break after every deployment.
Improvements going forward : N/A
</t>
    </r>
  </si>
  <si>
    <t xml:space="preserve">              </t>
  </si>
  <si>
    <t>2.5 Kaleida Nutrition S7</t>
  </si>
  <si>
    <t>1. FOH Header dashboard icon &amp; Dropdown menu fixes
2. Meal Orders Springfield new role creation completed   
3. BOH - Breadcrumb issue fixes 
4. MSA Kaleida - Breadcrumbs updates</t>
  </si>
  <si>
    <t xml:space="preserve">Kaleida work progress has been excellent. </t>
  </si>
  <si>
    <t>Internal CRC - 0
External CRC - 1
Bouncebacks- 1
QA Defects - 0
Escaped Defects - 0</t>
  </si>
  <si>
    <r>
      <rPr>
        <b/>
        <sz val="10"/>
        <color rgb="FF000000"/>
        <rFont val="Arial"/>
        <scheme val="minor"/>
      </rPr>
      <t xml:space="preserve">What went well : 
</t>
    </r>
    <r>
      <rPr>
        <sz val="10"/>
        <color rgb="FF000000"/>
        <rFont val="Arial"/>
        <scheme val="minor"/>
      </rPr>
      <t xml:space="preserve">- Team was applauded for the good work, ability to juggle multiple applications at a time. 
- QA work around test cases &amp; automation scripts was appreciated by Ken.
</t>
    </r>
    <r>
      <rPr>
        <b/>
        <sz val="10"/>
        <color rgb="FF000000"/>
        <rFont val="Arial"/>
        <scheme val="minor"/>
      </rPr>
      <t xml:space="preserve">What didn't go well :
</t>
    </r>
    <r>
      <rPr>
        <sz val="10"/>
        <color rgb="FF000000"/>
        <rFont val="Arial"/>
        <scheme val="minor"/>
      </rPr>
      <t>- FOH Dashboard issues</t>
    </r>
  </si>
  <si>
    <t>2.5 Kaleida Nutrition S8</t>
  </si>
  <si>
    <t>1. FOH - Login screen Kaleida updates
2. Stock Management Update
3. Defect Fixes
4. Automation</t>
  </si>
  <si>
    <t>Internal CRC - 0
External CRC - 0
Bouncebacks- 2
QA Defects - 0
Escaped Defects - 0</t>
  </si>
  <si>
    <r>
      <rPr>
        <b/>
        <sz val="10"/>
        <color rgb="FF000000"/>
        <rFont val="Arial"/>
        <scheme val="minor"/>
      </rPr>
      <t xml:space="preserve">What went well : 
</t>
    </r>
    <r>
      <rPr>
        <sz val="10"/>
        <color rgb="FF000000"/>
        <rFont val="Arial"/>
        <scheme val="minor"/>
      </rPr>
      <t xml:space="preserve">- MSA Recorded POV's
- Great overall team work &amp; progress
</t>
    </r>
    <r>
      <rPr>
        <b/>
        <sz val="10"/>
        <color rgb="FF000000"/>
        <rFont val="Arial"/>
        <scheme val="minor"/>
      </rPr>
      <t xml:space="preserve">What didn't go well :
</t>
    </r>
    <r>
      <rPr>
        <sz val="10"/>
        <color rgb="FF000000"/>
        <rFont val="Arial"/>
        <scheme val="minor"/>
      </rPr>
      <t>- Switching between all the s/w programs being worked on [Challenging for team] 
- Mosaic login screens UI, multiple UI scenerios which are not covered in Figma</t>
    </r>
  </si>
  <si>
    <t>2.5 Kaleida Nutrition S9</t>
  </si>
  <si>
    <t>1. Interim Release preperation
2. FOH issue fixes
3. Meal Orders defect fixes
4. MSA Header updates
5. MSA sitemap implementation
6. Automation</t>
  </si>
  <si>
    <t>Interim Release fixes</t>
  </si>
  <si>
    <r>
      <rPr>
        <b/>
        <sz val="10"/>
        <color rgb="FF000000"/>
        <rFont val="Arial"/>
        <scheme val="minor"/>
      </rPr>
      <t xml:space="preserve">What went well </t>
    </r>
    <r>
      <rPr>
        <sz val="10"/>
        <color rgb="FF000000"/>
        <rFont val="Arial"/>
        <scheme val="minor"/>
      </rPr>
      <t xml:space="preserve">: 
- Interim Release 
- Good Work progress
</t>
    </r>
    <r>
      <rPr>
        <b/>
        <sz val="10"/>
        <color rgb="FF000000"/>
        <rFont val="Arial"/>
        <scheme val="minor"/>
      </rPr>
      <t xml:space="preserve">What didn't go well :
</t>
    </r>
    <r>
      <rPr>
        <sz val="10"/>
        <color rgb="FF000000"/>
        <rFont val="Arial"/>
        <scheme val="minor"/>
      </rPr>
      <t xml:space="preserve">- UI changes for FOH Login screens. </t>
    </r>
  </si>
  <si>
    <t>2.5 KaleidaNutrition S10</t>
  </si>
  <si>
    <t>1. Mosaic FOH Kaleida performance fixes
2. Automation completion for specififc modules new framework 
3. FOH Login screen footer changes completion
4. BOH Login screen updates completion
5. MSA - left navigation updates</t>
  </si>
  <si>
    <t>Kalieda work progress.</t>
  </si>
  <si>
    <r>
      <rPr>
        <b/>
        <sz val="10"/>
        <color rgb="FF000000"/>
        <rFont val="Arial"/>
        <scheme val="minor"/>
      </rPr>
      <t xml:space="preserve">What went well </t>
    </r>
    <r>
      <rPr>
        <sz val="10"/>
        <color rgb="FF000000"/>
        <rFont val="Arial"/>
        <scheme val="minor"/>
      </rPr>
      <t xml:space="preserve">: 
- Good work progress overall 
</t>
    </r>
    <r>
      <rPr>
        <b/>
        <sz val="10"/>
        <color rgb="FF000000"/>
        <rFont val="Arial"/>
        <scheme val="minor"/>
      </rPr>
      <t xml:space="preserve">What didn't go well :
</t>
    </r>
    <r>
      <rPr>
        <sz val="10"/>
        <color rgb="FF000000"/>
        <rFont val="Arial"/>
        <scheme val="minor"/>
      </rPr>
      <t>- NA</t>
    </r>
  </si>
  <si>
    <t>2.5 KaleidaNutrition S11</t>
  </si>
  <si>
    <t>1. Mosaic FOH Login screen Pending updates.
2. Automation data cleanup
3. Mosaic FOH Kaleida - Manage Catering Orders from Results Table screen completion</t>
  </si>
  <si>
    <t xml:space="preserve">Kaleida work progress has been going great.  </t>
  </si>
  <si>
    <t>Internal CRC - 0
External CRC - 0
Bouncebacks- 1
QA Defects - 0
Escaped Defects - 0</t>
  </si>
  <si>
    <r>
      <rPr>
        <b/>
        <sz val="10"/>
        <color rgb="FF000000"/>
        <rFont val="Arial"/>
        <scheme val="minor"/>
      </rPr>
      <t xml:space="preserve">What went well : 
</t>
    </r>
    <r>
      <rPr>
        <sz val="10"/>
        <color rgb="FF000000"/>
        <rFont val="Arial"/>
        <scheme val="minor"/>
      </rPr>
      <t xml:space="preserve">- Team was applauded for the good work, ability to juggle multiple applications at a time. 
- QA work around test cases &amp; automation scripts was appreciated by Ken.
</t>
    </r>
    <r>
      <rPr>
        <b/>
        <sz val="10"/>
        <color rgb="FF000000"/>
        <rFont val="Arial"/>
        <scheme val="minor"/>
      </rPr>
      <t xml:space="preserve">What didn't go well :
</t>
    </r>
    <r>
      <rPr>
        <sz val="10"/>
        <color rgb="FF000000"/>
        <rFont val="Arial"/>
        <scheme val="minor"/>
      </rPr>
      <t>- Vega component limitations</t>
    </r>
  </si>
  <si>
    <t>2.5 KaleidaNutrition S12</t>
  </si>
  <si>
    <t>1.  Mosaic FOH Kaleida - Interior Pages update - Record Training, Catering &amp; add/edit order screens completion
2. Meal Orders enhancement - District selector 
3. Discovery on Report controls</t>
  </si>
  <si>
    <t>Kalieda work progress - multiple screens completed.</t>
  </si>
  <si>
    <r>
      <rPr>
        <b/>
        <sz val="10"/>
        <color rgb="FF000000"/>
        <rFont val="Arial"/>
        <scheme val="minor"/>
      </rPr>
      <t xml:space="preserve">What went well : 
</t>
    </r>
    <r>
      <rPr>
        <sz val="10"/>
        <color rgb="FF000000"/>
        <rFont val="Arial"/>
        <scheme val="minor"/>
      </rPr>
      <t xml:space="preserve">- Team was applauded for the good work
- Vega updates work progress
</t>
    </r>
    <r>
      <rPr>
        <b/>
        <sz val="10"/>
        <color rgb="FF000000"/>
        <rFont val="Arial"/>
        <scheme val="minor"/>
      </rPr>
      <t xml:space="preserve">
What didn't go well :
</t>
    </r>
    <r>
      <rPr>
        <sz val="10"/>
        <color rgb="FF000000"/>
        <rFont val="Arial"/>
        <scheme val="minor"/>
      </rPr>
      <t xml:space="preserve">- POV's at times could not be completed due to limitations in client availability which eventually delayed testing.
</t>
    </r>
  </si>
  <si>
    <t>2.5 KaleidaNutrition S13</t>
  </si>
  <si>
    <t xml:space="preserve">1. Mosaic FOH Kaleida - SSO Login screen &amp; server side validation error UI completed
2. Multiple interior pages completion - FOH Kaleida
3. Display of Title on Pages Without Breadcrumb-Level Navigation completed
4. Fixed left navigation highlight issues
5. MSB Accounting [setup/Discovery] completion
</t>
  </si>
  <si>
    <t>1. Kalieda work progress
2. MSB Accouting Setup completion to further start kaleida changes for the application</t>
  </si>
  <si>
    <r>
      <rPr>
        <b/>
        <sz val="10"/>
        <color rgb="FF000000"/>
        <rFont val="Arial"/>
        <scheme val="minor"/>
      </rPr>
      <t xml:space="preserve">What went well : 
</t>
    </r>
    <r>
      <rPr>
        <sz val="10"/>
        <color rgb="FF000000"/>
        <rFont val="Arial"/>
        <scheme val="minor"/>
      </rPr>
      <t xml:space="preserve">- Team was applauded for the good work
- Vega updates work progress
</t>
    </r>
    <r>
      <rPr>
        <b/>
        <sz val="10"/>
        <color rgb="FF000000"/>
        <rFont val="Arial"/>
        <scheme val="minor"/>
      </rPr>
      <t xml:space="preserve">What didn't go well :
</t>
    </r>
    <r>
      <rPr>
        <sz val="10"/>
        <color rgb="FF000000"/>
        <rFont val="Arial"/>
        <scheme val="minor"/>
      </rPr>
      <t xml:space="preserve">- N/A.
</t>
    </r>
  </si>
  <si>
    <t>2.5 KaleidaNutrition S14</t>
  </si>
  <si>
    <t>1. App switcher Implemenation for FOH
2. Scheduler task implemenation for FOH
3. MSB Accoutning Footer implementation 
4. Interior Pages - Annual setup implementation for FOH
5. Meal Orders - Automation Regression in progress</t>
  </si>
  <si>
    <t>App switcher implementation for FOH</t>
  </si>
  <si>
    <r>
      <rPr>
        <b/>
        <sz val="10"/>
        <color rgb="FF000000"/>
        <rFont val="Arial"/>
        <scheme val="minor"/>
      </rPr>
      <t xml:space="preserve">What went well : 
</t>
    </r>
    <r>
      <rPr>
        <sz val="10"/>
        <color rgb="FF000000"/>
        <rFont val="Arial"/>
        <scheme val="minor"/>
      </rPr>
      <t xml:space="preserve">- Teamwork - Work was shared and managed well during holidays.
- FOH App switcher implementation
</t>
    </r>
    <r>
      <rPr>
        <b/>
        <sz val="10"/>
        <color rgb="FF000000"/>
        <rFont val="Arial"/>
        <scheme val="minor"/>
      </rPr>
      <t xml:space="preserve">What didn't go well :
</t>
    </r>
    <r>
      <rPr>
        <sz val="10"/>
        <color rgb="FF000000"/>
        <rFont val="Arial"/>
        <scheme val="minor"/>
      </rPr>
      <t xml:space="preserve">- FOH issues
- Close day report - underestimated
- Laptop issues
</t>
    </r>
  </si>
  <si>
    <t>2.5 KaleidaNutrition S15</t>
  </si>
  <si>
    <t>1. App switcher implementation for BOH
2. MSB Accounting - Header updation to Vega
3. Automation Regression for Serving periods</t>
  </si>
  <si>
    <t>1. App switcher implementation for BOH
2. MSB Accouting Header updates</t>
  </si>
  <si>
    <r>
      <rPr>
        <b/>
        <sz val="10"/>
        <color rgb="FF000000"/>
        <rFont val="Arial"/>
        <scheme val="minor"/>
      </rPr>
      <t xml:space="preserve">
What went well : 
</t>
    </r>
    <r>
      <rPr>
        <sz val="10"/>
        <color rgb="FF000000"/>
        <rFont val="Arial"/>
        <scheme val="minor"/>
      </rPr>
      <t xml:space="preserve">- BOH  app switcher implementation
- MSB Accounting Header updates
</t>
    </r>
    <r>
      <rPr>
        <b/>
        <sz val="10"/>
        <color rgb="FF000000"/>
        <rFont val="Arial"/>
        <scheme val="minor"/>
      </rPr>
      <t xml:space="preserve">What didn't go well :
</t>
    </r>
    <r>
      <rPr>
        <sz val="10"/>
        <color rgb="FF000000"/>
        <rFont val="Arial"/>
        <scheme val="minor"/>
      </rPr>
      <t xml:space="preserve">- N/A
</t>
    </r>
  </si>
  <si>
    <t>2.5 KaleidaNutrition S16</t>
  </si>
  <si>
    <t>1. App switcher implementation for Meal Orders
2. MSB Accounting - Kaleida Updates to Login screen
3. Completion of close day module in FOH interior pages</t>
  </si>
  <si>
    <t xml:space="preserve">App switcher implementation for Meal Orders
</t>
  </si>
  <si>
    <r>
      <rPr>
        <b/>
        <sz val="10"/>
        <color rgb="FF000000"/>
        <rFont val="Arial"/>
        <scheme val="minor"/>
      </rPr>
      <t xml:space="preserve">What went well :
</t>
    </r>
    <r>
      <rPr>
        <sz val="10"/>
        <color rgb="FF000000"/>
        <rFont val="Arial"/>
        <scheme val="minor"/>
      </rPr>
      <t xml:space="preserve">- Teams ability to Pivot
- Meal Orders App switcher completion
</t>
    </r>
    <r>
      <rPr>
        <b/>
        <sz val="10"/>
        <color rgb="FF000000"/>
        <rFont val="Arial"/>
        <scheme val="minor"/>
      </rPr>
      <t xml:space="preserve">What did't go so well :
</t>
    </r>
    <r>
      <rPr>
        <sz val="10"/>
        <color rgb="FF000000"/>
        <rFont val="Arial"/>
        <scheme val="minor"/>
      </rPr>
      <t>- Rework on completed screens due to delayed feedback.</t>
    </r>
  </si>
  <si>
    <t>2.5 KaleidaNutrition S17</t>
  </si>
  <si>
    <t>1. App switcher defects fixes
2. Search functionality implemenation for Meal Orders District selector
3. Multiple BOH interior pages updated to Kaleida
4. App switcher installation on MSA
5. FOH - Root Menus updation to Kaleida</t>
  </si>
  <si>
    <t>1. Search functionality implemenation for Meal Orders District selector
2. Multiple BOH interior pages updated to Kaleida</t>
  </si>
  <si>
    <r>
      <rPr>
        <b/>
        <sz val="10"/>
        <color rgb="FF000000"/>
        <rFont val="Arial"/>
        <scheme val="minor"/>
      </rPr>
      <t xml:space="preserve">What went well :
</t>
    </r>
    <r>
      <rPr>
        <sz val="10"/>
        <color rgb="FF000000"/>
        <rFont val="Arial"/>
        <scheme val="minor"/>
      </rPr>
      <t xml:space="preserve">- Teams ability to Pivot
- Completed more than forecasted
- QA support
</t>
    </r>
    <r>
      <rPr>
        <b/>
        <sz val="10"/>
        <color rgb="FF000000"/>
        <rFont val="Arial"/>
        <scheme val="minor"/>
      </rPr>
      <t xml:space="preserve">What did't go so well :
</t>
    </r>
    <r>
      <rPr>
        <sz val="10"/>
        <color rgb="FF000000"/>
        <rFont val="Arial"/>
        <scheme val="minor"/>
      </rPr>
      <t>- N/A</t>
    </r>
  </si>
  <si>
    <t>2.5 KaleidaNutrition S18</t>
  </si>
  <si>
    <t>1. Mosaic BOH - Root Menu updates
2. Mosaic BOH - Interior Pages update - Ingredients allergens list</t>
  </si>
  <si>
    <t>Mosaic BOH Kaleida updates</t>
  </si>
  <si>
    <r>
      <rPr>
        <b/>
        <sz val="10"/>
        <color rgb="FF000000"/>
        <rFont val="Arial"/>
        <scheme val="minor"/>
      </rPr>
      <t xml:space="preserve">What went well :
</t>
    </r>
    <r>
      <rPr>
        <sz val="10"/>
        <color rgb="FF000000"/>
        <rFont val="Arial"/>
        <scheme val="minor"/>
      </rPr>
      <t xml:space="preserve">- Kaleida work progress
</t>
    </r>
    <r>
      <rPr>
        <b/>
        <sz val="10"/>
        <color rgb="FF000000"/>
        <rFont val="Arial"/>
        <scheme val="minor"/>
      </rPr>
      <t xml:space="preserve">What did't go so well :
</t>
    </r>
    <r>
      <rPr>
        <sz val="10"/>
        <color rgb="FF000000"/>
        <rFont val="Arial"/>
        <scheme val="minor"/>
      </rPr>
      <t>- BOH Testing environment issues
- Root pages complications</t>
    </r>
  </si>
  <si>
    <t>2.5 KaleidaNutrition S19</t>
  </si>
  <si>
    <t>1. Mosaic BOH - Root Menu updates &amp; interior pages updates
2. Mosaic BOH - defect fixes
3. Meal Orders Regression completion</t>
  </si>
  <si>
    <t>Meal Orders Regression completion
Mosaic BOH defect fixes</t>
  </si>
  <si>
    <r>
      <rPr>
        <b/>
        <sz val="10"/>
        <color rgb="FF000000"/>
        <rFont val="Arial"/>
        <scheme val="minor"/>
      </rPr>
      <t xml:space="preserve">What went well :
</t>
    </r>
    <r>
      <rPr>
        <sz val="10"/>
        <color rgb="FF000000"/>
        <rFont val="Arial"/>
        <scheme val="minor"/>
      </rPr>
      <t xml:space="preserve">- Client appreciated the team’s responsiveness in quickly addressing the BOH defects and ensuring they were resolved in a timely manner.
</t>
    </r>
    <r>
      <rPr>
        <b/>
        <sz val="10"/>
        <color rgb="FF000000"/>
        <rFont val="Arial"/>
        <scheme val="minor"/>
      </rPr>
      <t xml:space="preserve">What did't go so well :
</t>
    </r>
    <r>
      <rPr>
        <sz val="10"/>
        <color rgb="FF000000"/>
        <rFont val="Arial"/>
        <scheme val="minor"/>
      </rPr>
      <t>- None</t>
    </r>
  </si>
  <si>
    <t>2.5 KN Sprint 20</t>
  </si>
  <si>
    <t>1. BOH Interior Pages Updates
2. FOH Root Menu updates
3. BOH Search enhancements</t>
  </si>
  <si>
    <t>Internal CRC - 1
External CRC - 0
Bouncebacks- 1
QA Defects - 0
Escaped Defects - 0</t>
  </si>
  <si>
    <r>
      <rPr>
        <b/>
        <sz val="10"/>
        <color rgb="FF000000"/>
        <rFont val="Arial"/>
        <scheme val="minor"/>
      </rPr>
      <t xml:space="preserve">What went well :
</t>
    </r>
    <r>
      <rPr>
        <sz val="10"/>
        <color rgb="FF000000"/>
        <rFont val="Arial"/>
        <scheme val="minor"/>
      </rPr>
      <t xml:space="preserve">- Lot of work completed during Regression
- Demos received client appreciation 
- BOH regression issue fixes
- Timely delivered work 
</t>
    </r>
    <r>
      <rPr>
        <b/>
        <sz val="10"/>
        <color rgb="FF000000"/>
        <rFont val="Arial"/>
        <scheme val="minor"/>
      </rPr>
      <t xml:space="preserve">What did't go so well :
</t>
    </r>
    <r>
      <rPr>
        <sz val="10"/>
        <color rgb="FF000000"/>
        <rFont val="Arial"/>
        <scheme val="minor"/>
      </rPr>
      <t>- None</t>
    </r>
  </si>
  <si>
    <t>2.5 KaleidaNutrition S21</t>
  </si>
  <si>
    <t>1. BOH Interior Pages Updates
2. Multiple Defect fixes</t>
  </si>
  <si>
    <r>
      <rPr>
        <b/>
        <sz val="10"/>
        <color rgb="FF000000"/>
        <rFont val="Arial"/>
        <scheme val="minor"/>
      </rPr>
      <t xml:space="preserve">What went well :
</t>
    </r>
    <r>
      <rPr>
        <sz val="10"/>
        <color rgb="FF000000"/>
        <rFont val="Arial"/>
        <scheme val="minor"/>
      </rPr>
      <t xml:space="preserve">- Lot of work completed [Sprint &amp; Stretch]
- Client appreciated the refinement sessions
- Good teamwork
</t>
    </r>
    <r>
      <rPr>
        <b/>
        <sz val="10"/>
        <color rgb="FF000000"/>
        <rFont val="Arial"/>
        <scheme val="minor"/>
      </rPr>
      <t xml:space="preserve">What did't go so well :
</t>
    </r>
    <r>
      <rPr>
        <sz val="10"/>
        <color rgb="FF000000"/>
        <rFont val="Arial"/>
        <scheme val="minor"/>
      </rPr>
      <t>- Vega table performance [issues with larger datasets]</t>
    </r>
  </si>
  <si>
    <t>2.5 KaleidaNutrition S22</t>
  </si>
  <si>
    <t xml:space="preserve">1. BOH Interior Pages updates to Kaleida - Multiple pages completed.
2. Accessibility defect fixes
</t>
  </si>
  <si>
    <r>
      <rPr>
        <b/>
        <sz val="10"/>
        <color rgb="FF000000"/>
        <rFont val="Arial"/>
        <scheme val="minor"/>
      </rPr>
      <t xml:space="preserve">What went well :
</t>
    </r>
    <r>
      <rPr>
        <sz val="10"/>
        <color rgb="FF000000"/>
        <rFont val="Arial"/>
        <scheme val="minor"/>
      </rPr>
      <t xml:space="preserve">- Lot of work completed [Sprint &amp; Stretch]
- Client appreciated the team's responsiveness
</t>
    </r>
    <r>
      <rPr>
        <b/>
        <sz val="10"/>
        <color rgb="FF000000"/>
        <rFont val="Arial"/>
        <scheme val="minor"/>
      </rPr>
      <t xml:space="preserve">What did't go so well :
</t>
    </r>
    <r>
      <rPr>
        <sz val="10"/>
        <color rgb="FF000000"/>
        <rFont val="Arial"/>
        <scheme val="minor"/>
      </rPr>
      <t>- N/A.</t>
    </r>
  </si>
  <si>
    <t>2.5 KaleidaNutrition S23</t>
  </si>
  <si>
    <t xml:space="preserve">1. FOH &amp; BOH interior Pages Vega updates
</t>
  </si>
  <si>
    <t>Good work progress on Kaleida updates</t>
  </si>
  <si>
    <r>
      <rPr>
        <b/>
        <sz val="10"/>
        <color rgb="FF000000"/>
        <rFont val="Arial"/>
        <scheme val="minor"/>
      </rPr>
      <t xml:space="preserve">What went well :
</t>
    </r>
    <r>
      <rPr>
        <sz val="10"/>
        <color rgb="FF000000"/>
        <rFont val="Arial"/>
        <scheme val="minor"/>
      </rPr>
      <t xml:space="preserve">Although Vega-related impediments posed some challenges, the team maintained good momentum
</t>
    </r>
    <r>
      <rPr>
        <b/>
        <sz val="10"/>
        <color rgb="FF000000"/>
        <rFont val="Arial"/>
        <scheme val="minor"/>
      </rPr>
      <t xml:space="preserve">What didn't go so well : 
</t>
    </r>
    <r>
      <rPr>
        <sz val="10"/>
        <color rgb="FF000000"/>
        <rFont val="Arial"/>
        <scheme val="minor"/>
      </rPr>
      <t xml:space="preserve">Vega related impediments </t>
    </r>
  </si>
  <si>
    <t>2.5 KaleidaNutrition S24</t>
  </si>
  <si>
    <t xml:space="preserve">                                     </t>
  </si>
  <si>
    <t>Total Leaves</t>
  </si>
  <si>
    <t>Resource Name</t>
  </si>
  <si>
    <t>Sprint</t>
  </si>
  <si>
    <t>Rupan Santhosh</t>
  </si>
  <si>
    <t>Kiruthiga Ganapathi</t>
  </si>
  <si>
    <t>Sudheer Dokku</t>
  </si>
  <si>
    <t>Charu Sharma</t>
  </si>
  <si>
    <t>Nathiya</t>
  </si>
  <si>
    <t>Kathikeyan Elumalai</t>
  </si>
  <si>
    <t>Ganesh Veerannan</t>
  </si>
  <si>
    <t>Shikha Pradhan</t>
  </si>
  <si>
    <t>Vidhaya Subramaniam</t>
  </si>
  <si>
    <t>Total</t>
  </si>
  <si>
    <t xml:space="preserve"> Sprint 17 (6-Feb-2026 to 19-Feb-2026)</t>
  </si>
  <si>
    <t xml:space="preserve"> Sprint 18 (20-Feb-2026 to 5-Mar-2026)</t>
  </si>
  <si>
    <t xml:space="preserve"> Sprint 19 (6Mar-2026 to 19-Mar-2026)</t>
  </si>
  <si>
    <t xml:space="preserve"> Sprint 20 (20Mar-2026 to 2-Apr-2026)</t>
  </si>
  <si>
    <t xml:space="preserve"> Sprint 21 (3-Apr-2026 to 16-Apr-2026)</t>
  </si>
  <si>
    <t xml:space="preserve"> Sprint 22 (17-Apr-2026 to 30-Apr-2026)</t>
  </si>
  <si>
    <t xml:space="preserve"> Sprint 23 (1-May-2026 to 14-May-2026)</t>
  </si>
  <si>
    <t>S.No</t>
  </si>
  <si>
    <t xml:space="preserve">Sprint </t>
  </si>
  <si>
    <t>Developer</t>
  </si>
  <si>
    <t>Story ID/Defect ID</t>
  </si>
  <si>
    <t>Description</t>
  </si>
  <si>
    <t>Status</t>
  </si>
  <si>
    <t>Estimated(sp)</t>
  </si>
  <si>
    <t>Actual(sp)</t>
  </si>
  <si>
    <t>Actual Hours Worklog</t>
  </si>
  <si>
    <t>Dev Start Date</t>
  </si>
  <si>
    <t>Dev End Date</t>
  </si>
  <si>
    <t>Unit testing</t>
  </si>
  <si>
    <t>Peer Tested By</t>
  </si>
  <si>
    <t>Peer Tested Defects, if any</t>
  </si>
  <si>
    <t>Peer Reviewed By</t>
  </si>
  <si>
    <t>Peer Code Review Comments, if any</t>
  </si>
  <si>
    <t>PR Number/Link</t>
  </si>
  <si>
    <t>PR Created Date</t>
  </si>
  <si>
    <t>PR Approved Date</t>
  </si>
  <si>
    <t>Reviewer 1</t>
  </si>
  <si>
    <t>Code Review Comments, if any</t>
  </si>
  <si>
    <t>Reviewer 2</t>
  </si>
  <si>
    <t>Approved Date</t>
  </si>
  <si>
    <t>Code Review Comments, if any2</t>
  </si>
  <si>
    <t>Internal PO -POV Comments</t>
  </si>
  <si>
    <t>Client PO -POV Comments</t>
  </si>
  <si>
    <t>Comments</t>
  </si>
  <si>
    <t>Does this story meets expectations</t>
  </si>
  <si>
    <t xml:space="preserve">2.5 KaleidaNutrition S24
Stretch </t>
  </si>
  <si>
    <t>Sudheer</t>
  </si>
  <si>
    <t>Meal Orders - Automation - Settings - Meal Pricing Template</t>
  </si>
  <si>
    <t>Story Being Developed</t>
  </si>
  <si>
    <t>Kiruthiga</t>
  </si>
  <si>
    <t>[WAVE] Mosaic FOH - Update to login behavior</t>
  </si>
  <si>
    <t>[WAVE] Mosaic BOH Kaleida - Interior Pages Update - Reports - Ingredients List/print</t>
  </si>
  <si>
    <t xml:space="preserve">2.5 KaleidaNutrition S23
Stretch </t>
  </si>
  <si>
    <t>Meal Orders - Automation - Settings - Taxes Test Cases</t>
  </si>
  <si>
    <t>Story Completed</t>
  </si>
  <si>
    <t>None</t>
  </si>
  <si>
    <t>https://dev.azure.com/heartlandschools/Meal%20Orders/_git/MealOrdersAutomation/pullrequest/48688</t>
  </si>
  <si>
    <t>Owen</t>
  </si>
  <si>
    <t>Meets Expectations</t>
  </si>
  <si>
    <t xml:space="preserve">	[WAVE] Mosaic Boh Kaleida - Interior Pages Updates - Recipes Component List</t>
  </si>
  <si>
    <t>https://dev.azure.com/heartlandschools/Mosaic/_git/BOH/pullrequest/48933</t>
  </si>
  <si>
    <t>Ruban</t>
  </si>
  <si>
    <t>Charles</t>
  </si>
  <si>
    <t>[WAVE] MOsaic BOH Kaleida - Interior Pages Update - Reports - Recipes - Recipe Allergen list</t>
  </si>
  <si>
    <t>https://dev.azure.com/heartlandschools/Mosaic/_git/BOH/pullrequest/48968</t>
  </si>
  <si>
    <t>Kaleida Mosaic BOH - Allergen Search Screen(Move Status Toggle to Edit Screen)</t>
  </si>
  <si>
    <t xml:space="preserve">Ken </t>
  </si>
  <si>
    <t>https://dev.azure.com/heartlandschools/Mosaic/_git/BOH/pullrequest/48758</t>
  </si>
  <si>
    <t xml:space="preserve">	[WAVE] Mosaic FOH (LogIn Screen) - Label must be correctly associated with a form control</t>
  </si>
  <si>
    <t>Defect Fixed</t>
  </si>
  <si>
    <t>https://dev.azure.com/heartlandschools/Mosaic/_git/FOH/pullrequest/49025</t>
  </si>
  <si>
    <t>Story/Defect ID</t>
  </si>
  <si>
    <t>Parent Story</t>
  </si>
  <si>
    <t>Issue Type</t>
  </si>
  <si>
    <t xml:space="preserve">Issue Description </t>
  </si>
  <si>
    <t>Priority</t>
  </si>
  <si>
    <t>Defect Source</t>
  </si>
  <si>
    <t>Type</t>
  </si>
  <si>
    <t>Found By</t>
  </si>
  <si>
    <t>Root Cause Category</t>
  </si>
  <si>
    <t>RCA Comment *</t>
  </si>
  <si>
    <t>Minor</t>
  </si>
  <si>
    <t>Numeric Range Start and End fields unable to be edited after inputting 6 characters</t>
  </si>
  <si>
    <t>low</t>
  </si>
  <si>
    <t>Gap in unit testing</t>
  </si>
  <si>
    <t>External</t>
  </si>
  <si>
    <t>Onsite QA</t>
  </si>
  <si>
    <t>New Issue</t>
  </si>
  <si>
    <t>It an edge case not a blocker or harmful one. Missed it to notice in unit testing</t>
  </si>
  <si>
    <t xml:space="preserve">2.5 KaleidaNutrition S22
</t>
  </si>
  <si>
    <t xml:space="preserve">	[WAVE] Mosaic BOH - Interior pages update - Setup - Sites Search</t>
  </si>
  <si>
    <t>https://dev.azure.com/heartlandschools/Mosaic/_git/BOH/pullrequest/48694</t>
  </si>
  <si>
    <t>28th Apr : Client POV is completed. But there is a finding on unit testing, Once it is fixed branch will be shared for testing around 3PM (28th Apr)</t>
  </si>
  <si>
    <t xml:space="preserve">2.5 KaleidaNutrition S22
Stretch </t>
  </si>
  <si>
    <t>[WAVE] Mosaic BOH Kaleida - Interior Pages Update - Setup - Users add/edit</t>
  </si>
  <si>
    <t>https://dev.azure.com/heartlandschools/Mosaic/_git/BOH/pullrequest/48730</t>
  </si>
  <si>
    <t>Richard</t>
  </si>
  <si>
    <t>Suggestion to remove the Edit icon in User Maintenance page and show the Actions column only when delete action applicable.</t>
  </si>
  <si>
    <t>04/28 : Client POV completed. 
04/29 : Shared branch for peer testing.</t>
  </si>
  <si>
    <t>sudheer</t>
  </si>
  <si>
    <t xml:space="preserve">That is a Pendo guide that was added by the Pendo team. We didn't add it ourselves but yes, it is expected to be there. We need to update the scripts </t>
  </si>
  <si>
    <t xml:space="preserve">2.5 KaleidaNutrition S22
Stretch 
</t>
  </si>
  <si>
    <t xml:space="preserve"> [WAVE] Mosaic BOH Kaleida - Interior Pages Update - Setup- Import/Export execute</t>
  </si>
  <si>
    <t>Vidhya</t>
  </si>
  <si>
    <t>https://dev.azure.com/heartlandschools/Mosaic/_git/BOH/pullrequest/48674</t>
  </si>
  <si>
    <t xml:space="preserve">	WAVE] Mosaic FOH - Image must have alternative text</t>
  </si>
  <si>
    <t>Shikha</t>
  </si>
  <si>
    <t>https://dev.azure.com/heartlandschools/Mosaic/_git/FOH/pullrequest/48724</t>
  </si>
  <si>
    <t>Linking to a POS Menu Product not always successful in QA. Console error received</t>
  </si>
  <si>
    <t>Medium</t>
  </si>
  <si>
    <t>Manual</t>
  </si>
  <si>
    <t>Ken</t>
  </si>
  <si>
    <t xml:space="preserve">Completed </t>
  </si>
  <si>
    <t>The issue reported in 52419. The root cause of this issue - In changes for 52621 - User Add/Edit, there was an bunding issue due to which we get the console errors. We fixed and closed the issue.</t>
  </si>
  <si>
    <t xml:space="preserve">2.5 KaleidaNutrition S21
</t>
  </si>
  <si>
    <t>[WAVE] Mosaic BOH Kaleida - Interior Pages Update - Setup - System Settings</t>
  </si>
  <si>
    <t>Done</t>
  </si>
  <si>
    <t>https://dev.azure.com/heartlandschools/Mosaic/_git/BOH/pullrequest/48407</t>
  </si>
  <si>
    <t>Suggested to remove search feture from the drop down</t>
  </si>
  <si>
    <t>[WAVE] Mosaic BOH Kaleida - Interior Pages Update - Setup - Mealviewer Display Groups</t>
  </si>
  <si>
    <t>https://dev.azure.com/heartlandschools/Mosaic/_git/BOH/pullrequest/48383</t>
  </si>
  <si>
    <t>Deactivate and Activate button should be grouped along with the other buttons.</t>
  </si>
  <si>
    <t>[WAVE] Mosaic FOH - Updating the Apply Filters with a Search button on Vega updated screens</t>
  </si>
  <si>
    <t>https://dev.azure.com/heartlandschools/Mosaic/_git/FOH/pullrequest/48362</t>
  </si>
  <si>
    <t xml:space="preserve">2.5 KaleidaNutrition S21
Stretch </t>
  </si>
  <si>
    <t>2.5 KaleidaNutrition S21
Stretch</t>
  </si>
  <si>
    <t>[WAVE] Mosaic BOH - Blank option missing in some dropdowns</t>
  </si>
  <si>
    <t>https://dev.azure.com/heartlandschools/Mosaic/_git/BOH/pullrequest/48432</t>
  </si>
  <si>
    <t>[WAVE] Mosaic BOH Kaleida - Update the date picker implementation</t>
  </si>
  <si>
    <t>https://dev.azure.com/heartlandschools/Mosaic/_git/BOH/pullrequest/48431</t>
  </si>
  <si>
    <t xml:space="preserve">2.5 KaleidaNutrition S20
</t>
  </si>
  <si>
    <t xml:space="preserve">	[WAVE] Mosaic BOH Kaleida - Interior Pages Update - Reports - Price Lists Report</t>
  </si>
  <si>
    <t>https://dev.azure.com/heartlandschools/Mosaic/_git/BOH/pullrequest/48101</t>
  </si>
  <si>
    <t>[WAVE] Mosaic BOH Kaleida - Interior Pages Update - Reports - Product Notes Report</t>
  </si>
  <si>
    <t>Move Navigation logic to common file</t>
  </si>
  <si>
    <t>https://dev.azure.com/heartlandschools/Mosaic/_git/BOH/pullrequest/48030</t>
  </si>
  <si>
    <t xml:space="preserve">2.5 KaleidaNutrition S20 
</t>
  </si>
  <si>
    <t>[WAVE] Mosaic BOH - Kaleida - Interior Pages Update - Import/Export Search</t>
  </si>
  <si>
    <t>https://dev.azure.com/heartlandschools/Mosaic/_git/BOH/pullrequest/48072</t>
  </si>
  <si>
    <t xml:space="preserve">[WAVE] Mosaic BOH Kaleida - Interior Pages Update - Setup- Import/Export </t>
  </si>
  <si>
    <t>https://dev.azure.com/heartlandschools/Mosaic/_git/BOH/pullrequest/48116</t>
  </si>
  <si>
    <t xml:space="preserve">2.5 KaleidaNutrition S20 Stretch
</t>
  </si>
  <si>
    <t>[WAVE] Mosaic BOH - Updating the Apply Filters with a Search button on Vega updated screens</t>
  </si>
  <si>
    <t>https://dev.azure.com/heartlandschools/Mosaic/_git/BOH/pullrequest/47977?_a=files</t>
  </si>
  <si>
    <t>.Breadcrumb (“Setup &gt; System Settings”) sits slightly left of the page title container, while the title is padded inside a white card.</t>
  </si>
  <si>
    <t>Internal</t>
  </si>
  <si>
    <t>The misalignment occurred because both the page content container and the Vega tab were using white backgrounds. This created an unnecessary extra background layer that did not align properly with the breadcrumb. To resolve this, we applied CSS changes to ensure proper alignment.</t>
  </si>
  <si>
    <t xml:space="preserve">52553	</t>
  </si>
  <si>
    <t xml:space="preserve">Ruban	</t>
  </si>
  <si>
    <t>Bounceback</t>
  </si>
  <si>
    <t>After deleting the grid data, I received a success message. Subsequently, when I opened another data set, an additional success message was displayed.</t>
  </si>
  <si>
    <t>Not Fixed</t>
  </si>
  <si>
    <t>Based on my earlier observations, I did not see this behavior before. Previously, after deleting the grid data, I would only receive the single expected success message, and opening another data set did not trigger an additional success notification.
The extra success message is something I noticed only recently.</t>
  </si>
  <si>
    <t xml:space="preserve">Meal Order </t>
  </si>
  <si>
    <t xml:space="preserve">2.5 KaleidaNutrition S19 Stretch
</t>
  </si>
  <si>
    <t>Story Being Tested</t>
  </si>
  <si>
    <t>Meal Orders - Automation - Settings - Item Type Test Cases</t>
  </si>
  <si>
    <t>https://dev.azure.com/heartlandschools/Meal%20Orders/_git/MealOrdersAutomation/pullrequest/47595</t>
  </si>
  <si>
    <t>owen</t>
  </si>
  <si>
    <t xml:space="preserve">2.5 KaleidaNutrition S19
</t>
  </si>
  <si>
    <t>Meal Orders - Regression - Admin Mode</t>
  </si>
  <si>
    <t xml:space="preserve">Regression story </t>
  </si>
  <si>
    <t>Meal Orders(26.3) - Regression - Reports</t>
  </si>
  <si>
    <t>[WAVE] Mosaic BOH Kaleida - Interior Pages - HACCP - Categories</t>
  </si>
  <si>
    <t>https://dev.azure.com/heartlandschools/Mosaic/_git/BOH/pullrequest/47828</t>
  </si>
  <si>
    <t>The Ingredients module is displaying an incorrect page name. The main Maintenance section name has unexpectedly changed to “Search,” resulting in inconsistent menu labeling compared to previous versions and other related modules.</t>
  </si>
  <si>
    <t>When navigating through the application, the labels displayed in the Ingredients and Products menu tiles do not match the expected configuration. In the Slack screenshot, the UI shows two cards labeled “Ingredients” and “Products,” each containing buttons such as Maintenance, Ingredient Search, and Bulk Fulfillment. However, the conversation indicates that the name of the main Maintenance section has unexpectedly changed to “Search.” This behavior suggests that the page title is being replaced incorrectly, resulting in inconsistent UI naming across the module.</t>
  </si>
  <si>
    <t>Allergen dropdown flickering &amp; Table Container Overlapping Header and Double Scroll Appearing Across All BOH Screens</t>
  </si>
  <si>
    <t>A UI issue is observed in all BOH (Back of House) screens where a double scroll bar appears. When this double scroll is present, the table container shifts upward and overlaps or hides the page header.
This behavior disrupts the layout structure and impacts readability and navigation across all implemented BOH screens.</t>
  </si>
  <si>
    <t xml:space="preserve">2.5 KaleidaNutrition S18
</t>
  </si>
  <si>
    <t>[WAVE] - Mosaic BOH Kaleida - Left Navigation - Update Root Menus - Ingredients, Menus, Recipes, Products, Inventory, Ordering</t>
  </si>
  <si>
    <t>https://dev.azure.com/heartlandschools/Mosaic/_git/BOH/pullrequest/47555?_a=files</t>
  </si>
  <si>
    <t>BOH - App switcher - App tray underline issues</t>
  </si>
  <si>
    <t>https://dev.azure.com/heartlandschools/Mosaic/_git/BOH/pullrequest/47367</t>
  </si>
  <si>
    <t>FOH - App switcher - App tray underline issues</t>
  </si>
  <si>
    <t>https://dev.azure.com/heartlandschools/Mosaic/_git/FOH/pullrequest/47362</t>
  </si>
  <si>
    <t>[WAVE] - Mosaic BOH Kaleida - Interior Pages Update - Reports - Ingredients Allergens List</t>
  </si>
  <si>
    <t>Code optimization to have a common function to set/get element values.</t>
  </si>
  <si>
    <t>https://dev.azure.com/heartlandschools/Mosaic/_git/BOH/pullrequest/47586</t>
  </si>
  <si>
    <t>Use Vega Combo box instead of Vega Input Select</t>
  </si>
  <si>
    <t>We included additional functionalities - Retain filters on page refresh which required additional efforts</t>
  </si>
  <si>
    <t>2.5 KaleidaNutrition S18
Stretch</t>
  </si>
  <si>
    <t xml:space="preserve">Sudheer </t>
  </si>
  <si>
    <t xml:space="preserve">Owen </t>
  </si>
  <si>
    <t xml:space="preserve">Few validations are missing , after creating the test data </t>
  </si>
  <si>
    <t xml:space="preserve">2.5 KaleidaNutrition S17
</t>
  </si>
  <si>
    <t>Mosaic FOH- App switcher issues with item availability</t>
  </si>
  <si>
    <t>https://dev.azure.com/heartlandschools/Mosaic/_git/FOH/pullrequest/47117?_a=files</t>
  </si>
  <si>
    <t>Steven</t>
  </si>
  <si>
    <t>Mosaic BOH- App switcher issues with item availability</t>
  </si>
  <si>
    <t>https://dev.azure.com/heartlandschools/Mosaic/_git/BOH/pullrequest/47124?_a=files</t>
  </si>
  <si>
    <t>Dhivyalakshmi</t>
  </si>
  <si>
    <t>[WAVE] - BOH Kaleida - Interior Pages Update - Setup - Inventory Adjustment Reasons</t>
  </si>
  <si>
    <t xml:space="preserve"> Completed</t>
  </si>
  <si>
    <t>Vidya</t>
  </si>
  <si>
    <t>https://dev.azure.com/heartlandschools/Mosaic/_git/BOH/pullrequest/47204</t>
  </si>
  <si>
    <t>[WAVE] - Meal Orders - Add Search Functionality to the District selector</t>
  </si>
  <si>
    <t>https://dev.azure.com/heartlandschools/Meal%20Orders/_git/Meal%20Orders/pullrequest/47226</t>
  </si>
  <si>
    <t>2.5 KaleidaNutrition S17
Stretch</t>
  </si>
  <si>
    <t>Meal Orders - Automation - Settings - Serving Periods And data related issue fixes</t>
  </si>
  <si>
    <t>https://dev.azure.com/heartlandschools/Meal%20Orders/_git/MealOrdersAutomation/pullrequest/46761</t>
  </si>
  <si>
    <t>Meal Orders - App switcher - listing apptray item based on logged in user</t>
  </si>
  <si>
    <t>Story Peer Review</t>
  </si>
  <si>
    <t>https://dev.azure.com/heartlandschools/Meal%20Orders/_git/Meal%20Orders/pullrequest/47358</t>
  </si>
  <si>
    <t>[WAVE] - Mosaic BOH Kaleida - Interior Pages Update - Vendors Search</t>
  </si>
  <si>
    <t>ken/Sudheer</t>
  </si>
  <si>
    <t>Dhivyalakshmi / Nathiya</t>
  </si>
  <si>
    <t>1.Page title briefly flashes during load: “Inventory Adjustment Reasons” is visible before UI is ready and Row background color mismatches on row ends when adding a new Adjustment Reason</t>
  </si>
  <si>
    <t>2.Input row not visible when +Add is clicked on page &gt;1; user must be navigated to page 1</t>
  </si>
  <si>
    <t xml:space="preserve">Ruban </t>
  </si>
  <si>
    <t>Reset button disabled when filter applied</t>
  </si>
  <si>
    <t xml:space="preserve">2.5 KaleidaNutrition S16
</t>
  </si>
  <si>
    <t>[WAVE] - App switcher - Install on Meal Orders</t>
  </si>
  <si>
    <t>https://dev.azure.com/heartlandschools/Meal%20Orders/_git/Meal%20Orders/pullrequest/47029</t>
  </si>
  <si>
    <t>Ruba</t>
  </si>
  <si>
    <t>Mike</t>
  </si>
  <si>
    <t>30/1:  There is an issue with Cosmo DB installation. It has been resolved now.</t>
  </si>
  <si>
    <t xml:space="preserve"> [WAVE] - Mosaic BOH Kaleida - Interior Pages Update - Setup - Allergens - Search &amp; Add</t>
  </si>
  <si>
    <t>https://dev.azure.com/heartlandschools/Mosaic/_git/BOH/pullrequest/46960</t>
  </si>
  <si>
    <t>We have Active as the filter at the top and Enabled at the bottom.</t>
  </si>
  <si>
    <t>[WAVE] MSB Accounting Kaleida - Update Login screen</t>
  </si>
  <si>
    <t>https://dev.azure.com/heartlandschools/Accounting/_git/MSBAccounting-NewSchoolBooks/pullrequest/469…</t>
  </si>
  <si>
    <t>NA</t>
  </si>
  <si>
    <t>Draft PR has been created, Due to priority change it been hold and we have less possibilty to close this story</t>
  </si>
  <si>
    <t>2.5 KaleidaNutrition S16
Stretch</t>
  </si>
  <si>
    <t>PR created. After the login loop code changes, when executing the test scripts multiple times, a few tests failed due to data-related issues. After discussion, we decided to fix these issues as part of this PR, and the story points were increased accordingly.</t>
  </si>
  <si>
    <t xml:space="preserve">2.5 KaleidaNutrition S15
</t>
  </si>
  <si>
    <t>[WAVE] - Web - BOH Kaleida - App switcher</t>
  </si>
  <si>
    <t>https://dev.azure.com/heartlandschools/Mosaic/_git/BOH/pullrequest/46745</t>
  </si>
  <si>
    <t>Dev changes has been completed but still need a confirmation about the reflection of feature flag update as it requires logout action</t>
  </si>
  <si>
    <t>2.5 KaleidaNutrition S15
Stretch</t>
  </si>
  <si>
    <t xml:space="preserve"> Meal Orders - Automation - Settings - Serving Periods</t>
  </si>
  <si>
    <t>PR is ceated but one of the test got failed for owen due to date related issue, looking into issue.</t>
  </si>
  <si>
    <t>Meal Orders - Automation - Settings - Special Diet</t>
  </si>
  <si>
    <t>https://dev.azure.com/heartlandschools/Meal%20Orders/_git/MealOrdersAutomation/pullrequest/46399</t>
  </si>
  <si>
    <t xml:space="preserve">2.5 KaleidaNutrition S14
</t>
  </si>
  <si>
    <t>Meal Orders - Automation - Regression - Allergens</t>
  </si>
  <si>
    <t>https://dev.azure.com/heartlandschools/Meal%20Orders/_git/MealOrdersAutomation/pullrequest/46004</t>
  </si>
  <si>
    <t>[WAVE] - Web - FOH Kaleida - App switcher</t>
  </si>
  <si>
    <t>https://dev.azure.com/heartlandschools/Mosaic/_git/FOH/pullrequest/46412</t>
  </si>
  <si>
    <t>Ying</t>
  </si>
  <si>
    <t>[WAVE] MSB Accounting - Update Page Footer - Webview</t>
  </si>
  <si>
    <t>https://dev.azure.com/heartlandschools/Accounting/_git/MSBAccounting-NewSchoolBooks/pullrequest/46416</t>
  </si>
  <si>
    <t>Qadir</t>
  </si>
  <si>
    <t>Ruban/Karthikeyan</t>
  </si>
  <si>
    <t>[WAVE] - Mosaic FOH - Interior Pages - Close day Reports search</t>
  </si>
  <si>
    <t>https://dev.azure.com/heartlandschools/Mosaic/_git/FOH/pullrequest/46489</t>
  </si>
  <si>
    <t>There was a delay on testing this story because of the deployment issue also story was under estimated</t>
  </si>
  <si>
    <t>2.5 KaleidaNutrition S14
Stretch</t>
  </si>
  <si>
    <t>Wave</t>
  </si>
  <si>
    <t>MealOrders</t>
  </si>
  <si>
    <t>Completed Story Points</t>
  </si>
  <si>
    <t xml:space="preserve">2.5 KaleidaNutrition S13
</t>
  </si>
  <si>
    <t xml:space="preserve">[WAVE] FOH Kaleida - Login - Update server-side validation error message UI	
</t>
  </si>
  <si>
    <t>https://dev.azure.com/heartlandschools/Mosaic/_git/FOH/pullrequest/45763</t>
  </si>
  <si>
    <t>Meets Expectation</t>
  </si>
  <si>
    <t>Kiruthiga/Dhivya/Shikha</t>
  </si>
  <si>
    <t xml:space="preserve">50756	</t>
  </si>
  <si>
    <t>[WAVE] - MSB Accounting (Setup/Discovery)</t>
  </si>
  <si>
    <t>It is a discovery story, Completed dev setup for the new project to update Kaleida changes</t>
  </si>
  <si>
    <t>[WAVE] Mosaic FOH Kaleida - Interior Pages update - Catering - Add Catering Menus</t>
  </si>
  <si>
    <t>https://dev.azure.com/heartlandschools/Mosaic/_git/FOH/pullrequest/46084</t>
  </si>
  <si>
    <t>[WAVE] - SSO Login screen - Mosaic FOH Kaleida update</t>
  </si>
  <si>
    <t>https://dev.azure.com/heartlandschools/Mosaic/_git/FOH/pullrequest/45654</t>
  </si>
  <si>
    <t>Mills</t>
  </si>
  <si>
    <t xml:space="preserve">[WAVE] Mosaic FOH Kaleida - Interior Pages update - Professional standards screens - ​Employees	
</t>
  </si>
  <si>
    <t>https://dev.azure.com/heartlandschools/Mosaic/_git/FOH/pullrequest/46088</t>
  </si>
  <si>
    <t xml:space="preserve">2.5 KaleidaNutrition S13 Stretch
</t>
  </si>
  <si>
    <t>[WAVE] - FOH - Display Page Title on Pages Without Breadcrumb-Level Navigation</t>
  </si>
  <si>
    <t>https://dev.azure.com/heartlandschools/Mosaic/_git/FOH/pullrequest/45892</t>
  </si>
  <si>
    <t>[WAVE] - FOH - Left navigation not highlighted properly</t>
  </si>
  <si>
    <t>https://dev.azure.com/heartlandschools/Mosaic/_git/FOH/pullrequest/45953</t>
  </si>
  <si>
    <t>Mosaic FOH Kaleida - Left nav auto expands when browser window resized</t>
  </si>
  <si>
    <t>https://dev.azure.com/heartlandschools/Mosaic/_git/FOH/pullrequest/46109?_a=files</t>
  </si>
  <si>
    <t>Sudher</t>
  </si>
  <si>
    <t>https://dev.azure.com/heartlandschools/Meal%20Orders/_git/MealOrdersAutomation/pullrequests?_a=mine</t>
  </si>
  <si>
    <t xml:space="preserve">One test case got failed due to data </t>
  </si>
  <si>
    <t>[WAVE] - Web- BOH Kaleida - App switcher</t>
  </si>
  <si>
    <t>2.5 KaleidaNutrition S12
Stretch</t>
  </si>
  <si>
    <t xml:space="preserve">2.5 KaleidaNutrition S12
</t>
  </si>
  <si>
    <t>Story Ready For Testing</t>
  </si>
  <si>
    <t>Although the development changes were completed on time and a recording of the changes was shared, the client expected a POV to test all scenarios. However, due to the client's unavailability, there was a delay in presenting the POV and receiving feedback, which resulted in a delay in testing</t>
  </si>
  <si>
    <t xml:space="preserve">[WAVE] Mosaic FOH Kaleida - Interior Pages update - Catering	
</t>
  </si>
  <si>
    <t>https://dev.azure.com/heartlandschools/Mosaic/_git/FOH/pullrequest/45405</t>
  </si>
  <si>
    <t>[WAVE] Mosaic FOH Kaleida - Interior Pages update - Catering - Add Order &amp; edit Order</t>
  </si>
  <si>
    <t>https://dev.azure.com/heartlandschools/Mosaic/_git/FOH/pullrequest/45583</t>
  </si>
  <si>
    <t xml:space="preserve">Ying </t>
  </si>
  <si>
    <t xml:space="preserve">[WAVE] - Meal Orders - District Selector - Arrange the districts in Alphabetical Order	
</t>
  </si>
  <si>
    <t>https://dev.azure.com/heartlandschools/Meal%20Orders/_git/Meal%20Orders/pullrequest/45527</t>
  </si>
  <si>
    <t xml:space="preserve">2.5 KaleidaNutrition S11
</t>
  </si>
  <si>
    <t>[WAVE] Mosaic FOH Kaleida - Login - Pending Updates</t>
  </si>
  <si>
    <t>https://dev.azure.com/heartlandschools/Mosaic/_git/FOH/pullrequest/45311</t>
  </si>
  <si>
    <t>Steve</t>
  </si>
  <si>
    <t>Vidya Subramaniam</t>
  </si>
  <si>
    <t>https://dev.azure.com/heartlandschools/Mosaic/_git/FOH/pullrequest/45368</t>
  </si>
  <si>
    <t>Working on the issue reported by Ken regarding Filter changes.</t>
  </si>
  <si>
    <t>2.5 KaleidaNutrition S11
Stretch</t>
  </si>
  <si>
    <t xml:space="preserve"> [WAVE] Mosaic FOH Kaleida - Interior Pages update - Catering - Add Order &amp; edit Order</t>
  </si>
  <si>
    <t>Meal Orders - Automation - Data Cleanup</t>
  </si>
  <si>
    <t>https://dev.azure.com/heartlandschools/Meal%20Orders/_git/MealOrdersAutomation/pullrequest/45045</t>
  </si>
  <si>
    <t>Yet to approve PR and need to work on if any Issues/comments from Owen</t>
  </si>
  <si>
    <t>ect</t>
  </si>
  <si>
    <t>1)When the user enters values in the input fields , In hide filter button there is a counter , that value count changes based on input fields enters ,Now the issue is it should only change whenever the user enters the value and they click apply filter button</t>
  </si>
  <si>
    <t>Defect Being Developed</t>
  </si>
  <si>
    <t xml:space="preserve">2.5 KaleidaNutrition S10
</t>
  </si>
  <si>
    <t>[WAVE] - Mosaic FOH - Improve header responsiveness to reduce slowness during navigation</t>
  </si>
  <si>
    <t>https://dev.azure.com/heartlandschools/Mosaic/_git/FOH/pullrequest/45073</t>
  </si>
  <si>
    <t xml:space="preserve">[WAVE] - FOH - Issue fixes 2	
</t>
  </si>
  <si>
    <t>https://dev.azure.com/heartlandschools/Mosaic/_git/FOH/pullrequest/45111</t>
  </si>
  <si>
    <t xml:space="preserve">2.5 KaleidaNutrition S10 Stretch
</t>
  </si>
  <si>
    <t>Meal Orders - Automation - New Framework Stock Management, Orders, and Settings.</t>
  </si>
  <si>
    <t>[WAVE] Mosaic FOH Kaleida - Interior Pages update - Catering.</t>
  </si>
  <si>
    <t xml:space="preserve"> [WAVE] Mosaic FOH Kaleida - Interior Pages update - Catering - Add Order</t>
  </si>
  <si>
    <t xml:space="preserve">2.5 Kaleida Nutrition S9
</t>
  </si>
  <si>
    <t xml:space="preserve"> Meal Orders - Interim Release(2.5.2) - Prep and Deployment</t>
  </si>
  <si>
    <t>N/A</t>
  </si>
  <si>
    <t xml:space="preserve">Meal Orders - Admin - Menu Calendars &gt; Site Groups nav menu highlight incorrect	
</t>
  </si>
  <si>
    <t>https://dev.azure.com/heartlandschools/Meal%20Orders/_git/Meal%20Orders/pullrequest/44695</t>
  </si>
  <si>
    <t xml:space="preserve">[WAVE] - Mosaic FOH - Issues with theme switching	
</t>
  </si>
  <si>
    <t>Sudheer/Ken</t>
  </si>
  <si>
    <t>https://dev.azure.com/heartlandschools/Mosaic/_git/FOH/pullrequest/44749</t>
  </si>
  <si>
    <t>Meal Orders - Blank Page on Reports</t>
  </si>
  <si>
    <t xml:space="preserve">[WAVE]- FOH issue fixes
</t>
  </si>
  <si>
    <t>https://dev.azure.com/heartlandschools/Mosaic/_git/FOH/pullrequest/44808</t>
  </si>
  <si>
    <t xml:space="preserve">2.5 Kaleida Nutrition S9 Stretch
</t>
  </si>
  <si>
    <t xml:space="preserve">                               FOH - Issue fixes 2	
</t>
  </si>
  <si>
    <t>30/9/2025</t>
  </si>
  <si>
    <t>https://dev.azure.com/heartlandschools/Mosaic/_git/FOH/pullrequest/44920</t>
  </si>
  <si>
    <t>Due to priority change this story is on hold, though it is a sprint story and not planned for upcoming release , developer is assigned with a high priority performance issue</t>
  </si>
  <si>
    <t xml:space="preserve">2.5 Kaleida Nutrition S8
</t>
  </si>
  <si>
    <t>[WAVE] - Mosaic FOH Kaleida - Update Login screen</t>
  </si>
  <si>
    <t>https://dev.azure.com/heartlandschools/Mosaic/_git/FOH/pullrequest/44461?path=/src/FOH/Mosaic.Web/Views/Account/Login.cshtml</t>
  </si>
  <si>
    <t>Button color code and stylying changes to MSB Sign In And Mosaic Sign In buttons</t>
  </si>
  <si>
    <t>It is being tested by onsite QA, Mostly that will closed by today(19th Sep) EOD</t>
  </si>
  <si>
    <t xml:space="preserve">Meal Orders - Admin - Error publishing new site/site group empty menu calendar	
</t>
  </si>
  <si>
    <t>.9/9/2025</t>
  </si>
  <si>
    <t>.10/9/2025</t>
  </si>
  <si>
    <t xml:space="preserve">Mike </t>
  </si>
  <si>
    <t>https://dev.azure.com/heartlandschools/Meal%20Orders/_git/Meal%20Orders/pullrequest/44467</t>
  </si>
  <si>
    <t>.    10/9/2025</t>
  </si>
  <si>
    <t>.11/9/2025</t>
  </si>
  <si>
    <t>MIke</t>
  </si>
  <si>
    <t xml:space="preserve">2.5 Kaleida Nutrition S8 Stretch
</t>
  </si>
  <si>
    <t>Meal Orders - Automation - New Framework Menu Items/Templates/Calendars</t>
  </si>
  <si>
    <t> approve.https://dev.azure.com/heartlandschools/Meal%20Orders/_git/MealOrdersAutomation/pullrequest/44414</t>
  </si>
  <si>
    <t>.9/8/2025</t>
  </si>
  <si>
    <t xml:space="preserve">Meal Orders - Admin - Site Settings - Menu Item Restrictions Add button enabled when override off	
</t>
  </si>
  <si>
    <t>https://dev.azure.com/heartlandschools/Meal%20Orders/_git/Meal%20Orders/pullrequest/44386</t>
  </si>
  <si>
    <t xml:space="preserve">Meal Orders - Admin - Ordering Parameters actions not disabled when district settings off	
</t>
  </si>
  <si>
    <t>https://dev.azure.com/heartlandschools/Meal%20Orders/_git/Meal%20Orders/pullrequest/44471</t>
  </si>
  <si>
    <t>.  10/9/2025</t>
  </si>
  <si>
    <t>Meal Orders - Stock Management - Change Heading &amp; Description text for Qty in Stock</t>
  </si>
  <si>
    <t>https://dev.azure.com/heartlandschools/Meal%20Orders/_git/Meal%20Orders/pullrequest/44445</t>
  </si>
  <si>
    <t>.9/12/2025</t>
  </si>
  <si>
    <t>1. Open Site/Site Group and Clickthe publish button. then user getting console error .</t>
  </si>
  <si>
    <t>OffShore QA</t>
  </si>
  <si>
    <t>Testing completed</t>
  </si>
  <si>
    <t>Getting 500 server Issue on console while we trying to publish the menu template</t>
  </si>
  <si>
    <t>1.MFOH Logo not rendering on login screen. Receiving console errors
2.Footer overlaps with login box content when window is resized and with certain screen resolutions                                                    3.Color code differnce</t>
  </si>
  <si>
    <t>Being Tested</t>
  </si>
  <si>
    <t>Issue 2 is related to screen resolution and 1 &amp; 3 are cosmetic changes</t>
  </si>
  <si>
    <t xml:space="preserve">2.5 Kaleida Nutrition S7 Stretch
</t>
  </si>
  <si>
    <t xml:space="preserve">Implementation of automation scripts are completed . Execution and PR creation only pending itens as part of this story . </t>
  </si>
  <si>
    <t>[WAVE] Kaleida - Meal Orders - Teacher - Webview - Update Header &amp; Left Navigation</t>
  </si>
  <si>
    <t xml:space="preserve">2.5 Kaleida Nutrition S7
</t>
  </si>
  <si>
    <t>[WAVE] FOH - Header Dashboard Icon &amp; Dropdown Menu</t>
  </si>
  <si>
    <t>1)CSS Style Changes which i need to check with BOH code and adjust the width and spacing.
2)Code Cleanup and need to remove commented lines.</t>
  </si>
  <si>
    <t>https://dev.azure.com/heartlandschools/Mosaic/_git/FOH/pullrequest/44007</t>
  </si>
  <si>
    <t>Testing is inprogress, Onsite QA reported an issue but its not reproducing in local , investigation is going on.  Root cause has been identified and  because of the un availability of a column there was an exception. There is no change required from our end</t>
  </si>
  <si>
    <t>Ruban/Sudheer</t>
  </si>
  <si>
    <t>[WAVE] - Kaleida (#55582) Meal Orders - Admin - Webview - Introduce District selector dropdown</t>
  </si>
  <si>
    <t>https://dev.azure.com/heartlandschools/Meal%20Orders/_git/Meal%20Orders/pullrequest/44089</t>
  </si>
  <si>
    <t>mike</t>
  </si>
  <si>
    <t>Add a conditional logic for rendering a setting in Fake login</t>
  </si>
  <si>
    <t>Meal Orders - Springfield New Role Creation</t>
  </si>
  <si>
    <t>Based on the analysis Ruban made code changes. Later part we realized Springfield caused confusion that with the error they had with the login caused by Sentral's code change to Roles update are not working too. So upon confirmation from them we realized no code changes are needed.</t>
  </si>
  <si>
    <t>When we select inactive districts from the district dropdown user getting error like The tenant record you requested was not found</t>
  </si>
  <si>
    <t>Testing Completed</t>
  </si>
  <si>
    <t>Inactive districts should not appear in the districts dropdown list.</t>
  </si>
  <si>
    <t>[WAVE] Mosaic FOH - Breadcrumb &amp; navigation fixes</t>
  </si>
  <si>
    <t>https://dev.azure.com/heartlandschools/Mosaic/_git/FOH/pullrequest/43971, https://dev.azure.com/heartlandschools/Mosaic/_git/FOH/pullrequest/44077</t>
  </si>
  <si>
    <t>It is being tested by onsite QA and Max it will be closed be closed on 22nd Aug</t>
  </si>
  <si>
    <t xml:space="preserve">2.5 Kaleida Nutrition S6 Stretch
</t>
  </si>
  <si>
    <t>19/8/2025</t>
  </si>
  <si>
    <t>This Story is currently testing Inprogress by onsite QA.</t>
  </si>
  <si>
    <t>Meal Orders - Automation - Update Scripts for Old Framework</t>
  </si>
  <si>
    <t>https://dev.azure.com/heartlandschools/Meal%20Orders/_git/Meal%20Orders/pullrequest/43967</t>
  </si>
  <si>
    <t>20/8/2025</t>
  </si>
  <si>
    <t xml:space="preserve"> [WAVE] - Kaleida (#55582) Meal Orders - Admin - Webview - Introduce District selector dropdown</t>
  </si>
  <si>
    <t>https://heartlandschools.visualstudio.com/Meal%20Orders/_git/Meal%20Orders/pullrequest/44089?_a=files</t>
  </si>
  <si>
    <t>Vega team has to add the Searchable property to VegaDropdown and we would be waiting to get merged until its completed.</t>
  </si>
  <si>
    <t>404 Error received when using breadcrumbs to return to User/Employee search from user/employee page</t>
  </si>
  <si>
    <t>Client</t>
  </si>
  <si>
    <t>Defect Peer Review</t>
  </si>
  <si>
    <t>This issue not reproducible in local but occurs in deployed url. Need to append application path in the url in addition to breadcrumb information</t>
  </si>
  <si>
    <t xml:space="preserve">49358	</t>
  </si>
  <si>
    <t>[WAVE] Mosaic FOH Kaleida - Breadcrumbs</t>
  </si>
  <si>
    <t>Dhivya</t>
  </si>
  <si>
    <t>https://dev.azure.com/heartlandschools/Mosaic/_git/FOH/pullrequest/43801</t>
  </si>
  <si>
    <t>Facing an issue on deploying latest build into QA environment and it is blocking story testing</t>
  </si>
  <si>
    <t>2.5 Kaleida Nutrition S5 Stretch</t>
  </si>
  <si>
    <t>Meal Orders - Automation - Update Scripts for Old Framework(Since Vega ID's are changed  for Left Navgation Menus )</t>
  </si>
  <si>
    <t>In Progress</t>
  </si>
  <si>
    <r>
      <rPr>
        <sz val="10"/>
        <color rgb="FF000000"/>
        <rFont val="Arial"/>
        <scheme val="minor"/>
      </rPr>
      <t>1.</t>
    </r>
    <r>
      <rPr>
        <b/>
        <sz val="10"/>
        <color rgb="FF000000"/>
        <rFont val="Arial"/>
        <scheme val="minor"/>
      </rPr>
      <t>Underestimated the impact of Vega changes</t>
    </r>
    <r>
      <rPr>
        <sz val="10"/>
        <color rgb="FF000000"/>
        <rFont val="Arial"/>
        <scheme val="minor"/>
      </rPr>
      <t xml:space="preserve">-which has led to unexpected challenges in test automation and DOM handling.
</t>
    </r>
    <r>
      <rPr>
        <b/>
        <sz val="10"/>
        <color rgb="FF000000"/>
        <rFont val="Arial"/>
        <scheme val="minor"/>
      </rPr>
      <t>2.Facing code-level issues</t>
    </r>
    <r>
      <rPr>
        <sz val="10"/>
        <color rgb="FF000000"/>
        <rFont val="Arial"/>
        <scheme val="minor"/>
      </rPr>
      <t xml:space="preserve">-particularly in retrieving XPath or CSS selectors due to elements being encapsulated within shadow DOM, making them inaccessible through standard methods.
</t>
    </r>
    <r>
      <rPr>
        <b/>
        <sz val="10"/>
        <color rgb="FF000000"/>
        <rFont val="Arial"/>
        <scheme val="minor"/>
      </rPr>
      <t>Encountering timeout issues</t>
    </r>
    <r>
      <rPr>
        <sz val="10"/>
        <color rgb="FF000000"/>
        <rFont val="Arial"/>
        <scheme val="minor"/>
      </rPr>
      <t>-such as "Waiting for server message", likely due to delayed rendering or server response times associated with the Vega components.</t>
    </r>
  </si>
  <si>
    <t>[WAVE] Mosaic FOH - Side navigation loading/Flickering issues</t>
  </si>
  <si>
    <t>https://dev.azure.com/heartlandschools/Mosaic/_git/FOH/pullrequest/43809</t>
  </si>
  <si>
    <t xml:space="preserve"> Meal Orders - Admin - Order Mgmt. - Closing receipt print template modal prompts close of receipt printing</t>
  </si>
  <si>
    <t>https://dev.azure.com/heartlandschools/Meal%20Orders/_git/Meal%20Orders/pullrequest/43660</t>
  </si>
  <si>
    <t>Rachel</t>
  </si>
  <si>
    <t>https://dev.azure.com/heartlandschools/Mosaic/_git/FOH/pullrequest/43497</t>
  </si>
  <si>
    <t>Support to onsite developer to address routing and breadcrumb issue</t>
  </si>
  <si>
    <t>Meal Orders (2.4) - Regression - Teacher</t>
  </si>
  <si>
    <t>2.5 Kaleida Nutrition S4 Stretch</t>
  </si>
  <si>
    <t xml:space="preserve">Meal Orders - Admin - Email unsubscribe does not work if active login	
</t>
  </si>
  <si>
    <t>Story Approved</t>
  </si>
  <si>
    <t xml:space="preserve">Meal Orders(2.5) - Regression - Report	
</t>
  </si>
  <si>
    <t xml:space="preserve">Meal Orders(2.5) - Regression - Admin
</t>
  </si>
  <si>
    <t xml:space="preserve">2.5 Kaleida Nutrition S4 Stretch
</t>
  </si>
  <si>
    <t xml:space="preserve">[WAVE] Mosaic FOH Kaleida - District Name to Header (web view)	
</t>
  </si>
  <si>
    <t>https://dev.azure.com/heartlandschools/Mosaic/_git/FOH/pullrequest/43558</t>
  </si>
  <si>
    <t>There was challenge on restoring vega dependencies due to authentication issue. It took additional time for this story.</t>
  </si>
  <si>
    <t xml:space="preserve">2.5 Kaleida Nutrition S4
</t>
  </si>
  <si>
    <t>Meal Orders - Item Import Update - Restrict Item Name / Item Type</t>
  </si>
  <si>
    <t>https://heartlandschools.visualstudio.com/Meal%20Orders/_git/Meal%20Orders/pullrequest/43360</t>
  </si>
  <si>
    <t xml:space="preserve">48346	</t>
  </si>
  <si>
    <t>[WAVE] Mosaic FOH Kaleida - Update Page Footer</t>
  </si>
  <si>
    <t>https://dev.azure.com/heartlandschools/Mosaic/_git/FOH/pullrequest/43195?_a=files</t>
  </si>
  <si>
    <t>There is a dependent pr that needs to be merged before to this PR. Hence waiting for clients update on this.</t>
  </si>
  <si>
    <t>2.5 Kaleida Nutrition S3 Stretch</t>
  </si>
  <si>
    <t>Meal Orders(Automation) - Admin - Settings</t>
  </si>
  <si>
    <t>https://dev.azure.com/heartlandschools/Meal%20Orders/_git/MealOrdersAutomation/pullrequest/43266</t>
  </si>
  <si>
    <t>Dhivyalakshmi/Sudheer</t>
  </si>
  <si>
    <t>Meal Orders - Parent - Order Timings - Auto Cart update for orderable day restriction on Submit Orders</t>
  </si>
  <si>
    <t>https://dev.azure.com/heartlandschools/Meal%20Orders/_git/Meal%20Orders/pullrequest/43050</t>
  </si>
  <si>
    <t>[WAVE] Mosaic BOH Kaleida - Update Page Footer</t>
  </si>
  <si>
    <t>https://dev.azure.com/heartlandschools/Mosaic/_git/BOH/pullrequest/43098</t>
  </si>
  <si>
    <t xml:space="preserve">2.5 Kaleida Nutrition S3 Stretch
</t>
  </si>
  <si>
    <t>District Messages/Announcements [Admin]</t>
  </si>
  <si>
    <t>https://dev.azure.com/heartlandschools/Meal%20Orders/_git/Meal%20Orders/pullrequest/43200</t>
  </si>
  <si>
    <t>Meal Orders - Export Menu item changes to accommodate new Menu Item Import Changes</t>
  </si>
  <si>
    <t>Ken/Sudheer</t>
  </si>
  <si>
    <t>https://dev.azure.com/heartlandschools/Meal%20Orders/_git/Meal%20Orders/pullrequest/43222</t>
  </si>
  <si>
    <t>Mike, Ruban</t>
  </si>
  <si>
    <t>Padding to bottom of the footer component is required</t>
  </si>
  <si>
    <t>Offshore</t>
  </si>
  <si>
    <t>Addition of footer component need style change in the Content part</t>
  </si>
  <si>
    <t>Validation not required for description when same description is Edited</t>
  </si>
  <si>
    <t>Validation popup is shown when editing  same description , so removed that</t>
  </si>
  <si>
    <t>Timeout issue on test import</t>
  </si>
  <si>
    <t>Unwanted db calls causing timeout</t>
  </si>
  <si>
    <t xml:space="preserve">	Meal Orders - Remove Hyperlink on the "?" icon in the header	
</t>
  </si>
  <si>
    <t>https://dev.azure.com/heartlandschools/Meal%20Orders/_git/Meal%20Orders/pullrequest/42857</t>
  </si>
  <si>
    <t>2.5 Kaleida Nutrition S2 Stretch</t>
  </si>
  <si>
    <t xml:space="preserve">48734	</t>
  </si>
  <si>
    <t>[WAVE] Meal Orders Kaleida - Update Page Footer</t>
  </si>
  <si>
    <t>https://dev.azure.com/heartlandschools/Meal%20Orders/_build/results?buildId=144390&amp;view=results</t>
  </si>
  <si>
    <t>https://dev.azure.com/heartlandschools/Mosaic/_git/FOH/pullrequest/43008</t>
  </si>
  <si>
    <t xml:space="preserve">Meal Orders - Parent - Order Timings - Auto Cart update for orderable day restriction	
</t>
  </si>
  <si>
    <t>Had comments to change the property and function name to a appropriate word</t>
  </si>
  <si>
    <t>https://dev.azure.com/heartlandschools/Meal%20Orders/_git/Meal%20Orders/pullrequest/42938</t>
  </si>
  <si>
    <t>Ruban / Dhivya</t>
  </si>
  <si>
    <t>Meal Orders [v?]- Import Menu Items</t>
  </si>
  <si>
    <t>https://dev.azure.com/heartlandschools/Meal%20Orders/_git/Meal%20Orders/pullrequest/42972</t>
  </si>
  <si>
    <t>Meal Orders - Admin - Login after session timeout shows old screen with cards</t>
  </si>
  <si>
    <t>completed</t>
  </si>
  <si>
    <t>https://dev.azure.com/heartlandschools/Meal%20Orders/_git/Meal%20Orders/pullrequest/42424</t>
  </si>
  <si>
    <t>Meal Orders(2.4) - Regression - Report</t>
  </si>
  <si>
    <t>2.5 Kaleida Nutrition S1 stretch</t>
  </si>
  <si>
    <t>Defect Being Fixed</t>
  </si>
  <si>
    <t>Dhivyalakshmi / Kiruthiga / Ruban</t>
  </si>
  <si>
    <t>Mosaic FOH- Kaleida - Discovery &amp; Setup</t>
  </si>
  <si>
    <t>This story is intended for doing dev setup for FOH and BOH project. Hence PR link and other inputs are not applicable</t>
  </si>
  <si>
    <t xml:space="preserve">	Meal Orders [v?]- Import Menu Items</t>
  </si>
  <si>
    <t>https://dev.azure.com/heartlandschools/Meal%20Orders/_git/MealOrdersAutomation/pullrequest/42734</t>
  </si>
  <si>
    <t xml:space="preserve">Structural things that could be improved New automation framework </t>
  </si>
  <si>
    <t>Ruban/Dhivya</t>
  </si>
  <si>
    <t xml:space="preserve"> Meal Orders [v?]- Import Menu Items - Template Settings</t>
  </si>
  <si>
    <t>2.4 Sprint 3 Stretch</t>
  </si>
  <si>
    <t>Meal Orders - Automation(Adding Sample script for Item Type by using New Automation Framework (MS Test))</t>
  </si>
  <si>
    <t>https://heartlandschools.visualstudio.com/Meal%20Orders/_git/MealOrdersAutomation/pullrequest/42232</t>
  </si>
  <si>
    <t xml:space="preserve">Recently we moved to new automation framework because of that got bit delay to complete the task. </t>
  </si>
  <si>
    <t>Meal Orders (2.4) - Regression - Admin</t>
  </si>
  <si>
    <t>This defect is bit challanged, reported issue has been fixed but still need improvement on showing browser url when log in back</t>
  </si>
  <si>
    <r>
      <rPr>
        <b/>
        <sz val="10"/>
        <color rgb="FF000000"/>
        <rFont val="Arial"/>
        <scheme val="minor"/>
      </rPr>
      <t>(Regression)</t>
    </r>
    <r>
      <rPr>
        <sz val="10"/>
        <color rgb="FF000000"/>
        <rFont val="Arial"/>
        <scheme val="minor"/>
      </rPr>
      <t xml:space="preserve"> Meal Orders - Admin - Grid item hover text obstructed by nav menu	
</t>
    </r>
  </si>
  <si>
    <t>https://dev.azure.com/heartlandschools/Meal%20Orders/_git/Meal%20Orders/pullrequest/42401</t>
  </si>
  <si>
    <r>
      <rPr>
        <b/>
        <sz val="10"/>
        <color rgb="FF000000"/>
        <rFont val="Arial"/>
        <scheme val="minor"/>
      </rPr>
      <t>(Regression)</t>
    </r>
    <r>
      <rPr>
        <sz val="10"/>
        <color rgb="FF000000"/>
        <rFont val="Arial"/>
        <scheme val="minor"/>
      </rPr>
      <t xml:space="preserve"> Meal Orders - Parent - Inactive Special diet displayed	
</t>
    </r>
  </si>
  <si>
    <t>https://dev.azure.com/heartlandschools/Meal%20Orders/_git/Meal%20Orders/pullrequest/42404</t>
  </si>
  <si>
    <t>Meal orders - Restrict cancel order Option Availability to the Day Before Serving Date [Integrated districts] - Admin</t>
  </si>
  <si>
    <t>https://heartlandschools.visualstudio.com/Meal%20Orders/_git/Meal%20Orders/pullrequest/42367</t>
  </si>
  <si>
    <t>Defect</t>
  </si>
  <si>
    <t xml:space="preserve">(Regression) Meal Orders - Admin - Grid item hover text obstructed by nav menu	
</t>
  </si>
  <si>
    <t xml:space="preserve">Defect Fixed </t>
  </si>
  <si>
    <t xml:space="preserve">Due to change in UI Screen with sidebar changes , the style changes in the page required </t>
  </si>
  <si>
    <t>(Regression) Meal Orders - Parent - Inactive Special diet displayed</t>
  </si>
  <si>
    <t>Off shore</t>
  </si>
  <si>
    <t>Existing issue</t>
  </si>
  <si>
    <t>Inactive Special diets are displayed in parent order screen under menu item , condition has changed and now it is hided.</t>
  </si>
  <si>
    <t xml:space="preserve">Meal Orders - Timeboxed Discovery for Localization Language Translation	
</t>
  </si>
  <si>
    <t>Not Applicable</t>
  </si>
  <si>
    <t>It is a Discovery story, PR and Testing is not applicable</t>
  </si>
  <si>
    <t>Exceeds Expectation</t>
  </si>
  <si>
    <t xml:space="preserve">Meal Orders - Replace Vitamin A mcg with Vitamin A RAE	
</t>
  </si>
  <si>
    <t>https://dev.azure.com/heartlandschools/Meal%20Orders/_git/Meal%20Orders/pullrequest/42090</t>
  </si>
  <si>
    <t>2.4 Sprint 2 Stretch</t>
  </si>
  <si>
    <t>Ruban/Kiruthiga</t>
  </si>
  <si>
    <t>Story under estimated ,It will take few more days to complete all the scenarios</t>
  </si>
  <si>
    <t>Meal Orders - Admin - Users - District Level role of None not saving</t>
  </si>
  <si>
    <t>https://dev.azure.com/heartlandschools/Meal%20Orders/_git/Meal%20Orders/pullrequest/42143</t>
  </si>
  <si>
    <t>Existing Issue</t>
  </si>
  <si>
    <t>When a user's Primary Role is set to (None) and saved, a success toast message is shown but the user's role is not actually updated. This issue only occurs for users whose User Type = District Level</t>
  </si>
  <si>
    <t>Meal Orders(2.?) - Menu Items - Unsplash Results not showing last page</t>
  </si>
  <si>
    <t>https://dev.azure.com/heartlandschools/Meal%20Orders/_git/Meal%20Orders/pullrequest/41941</t>
  </si>
  <si>
    <t>Meal Orders - Regression Automation Fixes and Script Updates</t>
  </si>
  <si>
    <t xml:space="preserve">Own </t>
  </si>
  <si>
    <t>https://dev.azure.com/heartlandschools/Meal%20Orders/_git/Meal%20Orders/pullrequest/41887</t>
  </si>
  <si>
    <t>Meal Orders - Admin - Item/Grade restrictions radio button issue on first add</t>
  </si>
  <si>
    <t>https://dev.azure.com/heartlandschools/Meal%20Orders/_git/Meal%20Orders/pullrequest/41830</t>
  </si>
  <si>
    <t>Ruban/Kiruthiga/sudheer</t>
  </si>
  <si>
    <t>Meal Orders [v2.4] - Displaying user information when an order is cancelled</t>
  </si>
  <si>
    <t>https://dev.azure.com/heartlandschools/Meal%20Orders/_git/Meal%20Orders/pullrequest/41871</t>
  </si>
  <si>
    <t>Dhivyalakshmi/sudheer</t>
  </si>
  <si>
    <t xml:space="preserve">Meal Orders - Menu Items Export functionality	
</t>
  </si>
  <si>
    <t>https://dev.azure.com/heartlandschools/Meal%20Orders/_git/Meal%20Orders/pullrequest/41968</t>
  </si>
  <si>
    <t>Rachel/Kiruthiga/Sudheer</t>
  </si>
  <si>
    <t xml:space="preserve"> [WAVE] Kaleida (#55582) Meal Orders - Admin - Update Header &amp; Side Navigation based to include Vega Components</t>
  </si>
  <si>
    <t>Support to onsite developer and testing</t>
  </si>
  <si>
    <t>Issue Occured only for the first hit when there is no grade restriction added</t>
  </si>
  <si>
    <t>Automation</t>
  </si>
  <si>
    <t>Because of the API limitation this issue is occured</t>
  </si>
  <si>
    <t xml:space="preserve">Meal Orders - Admin - Stock Mgmt. grid UI issue after edit columns	
</t>
  </si>
  <si>
    <t>https://dev.azure.com/heartlandschools/Meal%20Orders/_git/Meal%20Orders/pullrequest/41655</t>
  </si>
  <si>
    <t>2.4 Sprint 0 Stretch</t>
  </si>
  <si>
    <r>
      <rPr>
        <sz val="10"/>
        <color rgb="FF000000"/>
        <rFont val="Arial"/>
        <scheme val="minor"/>
      </rPr>
      <t>1. Order test cases are failed Since  Bulk Order Cancel dropdown added into Order management screen (Completed )
2. Stock Management test case got failed since UI changes (Completed )
3.Added New automation script for Bulk Order Cancellation functionality (Completed )
4. Few data related issues and time out issue (Yet to complete</t>
    </r>
    <r>
      <rPr>
        <sz val="10"/>
        <color rgb="FFFF0000"/>
        <rFont val="Arial"/>
        <scheme val="minor"/>
      </rPr>
      <t>)</t>
    </r>
    <r>
      <rPr>
        <sz val="10"/>
        <color rgb="FF000000"/>
        <rFont val="Arial"/>
        <scheme val="minor"/>
      </rPr>
      <t xml:space="preserve"> 5. Requried associate the automation with the test case from Visual Studio to Azure.(Yet to complete) </t>
    </r>
  </si>
  <si>
    <t xml:space="preserve">Meal Orders - Order Management - Need to retain the multi selection of the orders in grid	
</t>
  </si>
  <si>
    <t>https://dev.azure.com/heartlandschools/Meal%20Orders/_git/Meal%20Orders/pullrequest/41658</t>
  </si>
  <si>
    <t>Meal Orders (1.5) - TECH DEBT - Update Unsplash Images to use Thumbnail URL</t>
  </si>
  <si>
    <t>Not applicable as it is a tech debt story</t>
  </si>
  <si>
    <t>After code analysis it was deemed to be already done. </t>
  </si>
  <si>
    <t xml:space="preserve">Meal Orders - Admin - Stock Menu Items report shows 'return' when site/site group not selected	
</t>
  </si>
  <si>
    <t>https://dev.azure.com/heartlandschools/Meal%20Orders/_git/Meal%20Orders/pullrequest/41713</t>
  </si>
  <si>
    <t xml:space="preserve">Meal Orders - Admin - Stock Management - Exported stocks file name shows incorrect date	
</t>
  </si>
  <si>
    <t>https://dev.azure.com/heartlandschools/Meal%20Orders/_git/Meal%20Orders/pullrequest/41714</t>
  </si>
  <si>
    <t xml:space="preserve">2.4 Sprint 0 </t>
  </si>
  <si>
    <t>Meal Orders - Student Fulfillment Report - CSV Filename</t>
  </si>
  <si>
    <t>https://dev.azure.com/heartlandschools/Meal%20Orders/_git/Meal%20Orders/pullrequest/41715</t>
  </si>
  <si>
    <t xml:space="preserve">Meal Orders - SysAdmin Login Not Functional	
</t>
  </si>
  <si>
    <t>https://dev.azure.com/heartlandschools/Meal%20Orders/_git/Meal%20Orders/pullrequest/41753</t>
  </si>
  <si>
    <t>Meal Orders (2.?) - Reports - Order Receipts - New default template not recognized</t>
  </si>
  <si>
    <t>https://dev.azure.com/heartlandschools/Meal%20Orders/_git/Meal%20Orders/pullrequest/41770</t>
  </si>
  <si>
    <t>Meal Orders (v??) - TECH DEBT - Add the API settings into the tenant cache</t>
  </si>
  <si>
    <t>Meal Orders - Admin - Add Job for Item Type update</t>
  </si>
  <si>
    <t>https://dev.azure.com/heartlandschools/Meal%20Orders/_git/Meal%20Orders/pullrequest/41754</t>
  </si>
  <si>
    <t>Meal Orders - Order Management - Need to retain the multi selection of the orders in grid</t>
  </si>
  <si>
    <t>Relevantz</t>
  </si>
  <si>
    <t>Closed</t>
  </si>
  <si>
    <t>While Performing after selecting checkbox ,action like status change ,the selected row become unselected , that is resolved by retaining the value.</t>
  </si>
  <si>
    <t>Kiruthiga/sudheer</t>
  </si>
  <si>
    <t>Meal Orders - Admin - Stock Mgmt. grid UI issue after edit columns</t>
  </si>
  <si>
    <t>Significant</t>
  </si>
  <si>
    <t>Sentral Team</t>
  </si>
  <si>
    <t>Issue occured only when add/remove grid column and then click on Open Stock Edit</t>
  </si>
  <si>
    <t xml:space="preserve">Meal Orders - Admin - Stock Menu Items report shows 'return' when site/site group not selected	</t>
  </si>
  <si>
    <t>Added Return text incorrectly inside modal popup</t>
  </si>
  <si>
    <t xml:space="preserve">Meal Orders - Admin - Stock Management - Exported stocks file name shows incorrect date </t>
  </si>
  <si>
    <t>Exported name contains both filename and serving date , serving date showed incorrectly while formatting date string to date format</t>
  </si>
  <si>
    <t>Exported csv name contains both filename and serving date , serving date showed incorrectly while formatting date string to date format</t>
  </si>
  <si>
    <t>Meal Orders - SysAdmin Login Not Functional</t>
  </si>
  <si>
    <t>Internal Issue</t>
  </si>
  <si>
    <t>Needed additional conditional logic in existing functionality for logout</t>
  </si>
  <si>
    <t>Issue occured when change any of the report filter on completion of template creation</t>
  </si>
  <si>
    <t>Open</t>
  </si>
  <si>
    <t>Issue Occured first time , without there is no grade restriction table data.</t>
  </si>
  <si>
    <t>Meal Orders(v2.?) - Admin - Reports - Student Product Sales Report - Group By Serving Date</t>
  </si>
  <si>
    <t>https://dev.azure.com/heartlandschools/Meal%20Orders/_build/results?buildId=140100&amp;view=logs&amp;j=ca395085-040a-526b-2ce8-bdc85f692774</t>
  </si>
  <si>
    <t>1.Reduce width of SubTotal  column and use that space for Item Type  2. Forceset the value of Sub-Group By when Group By filter value is selected as None</t>
  </si>
  <si>
    <t>Due technical feasibility constraint development took additianl efforts also received UI suggestion during POV</t>
  </si>
  <si>
    <t>Meal Orders(v2.3) - Implementation Regression Automation for Reports Module(All Reports)</t>
  </si>
  <si>
    <t xml:space="preserve">Owe Siber </t>
  </si>
  <si>
    <t>https://dev.azure.com/heartlandschools/Meal%20Orders/_git/Meal%20Orders/pullrequest/41331</t>
  </si>
  <si>
    <t>Owe siber</t>
  </si>
  <si>
    <t xml:space="preserve">(Regression) Admin - Serving Period - Inactivate modal missing when deletion not an option	
</t>
  </si>
  <si>
    <t>https://dev.azure.com/heartlandschools/Meal%20Orders/_git/Meal%20Orders/pullrequest/41490</t>
  </si>
  <si>
    <t>Meal Orders (2.3) - Regression - Teacher</t>
  </si>
  <si>
    <t>Meal Orders (2.3) - Regression - Admin</t>
  </si>
  <si>
    <t xml:space="preserve">(Regression) Admin - Serving Period unable to be reactivated after inactivation	
</t>
  </si>
  <si>
    <t xml:space="preserve"> Meal Orders(2.3) - Regression - Report</t>
  </si>
  <si>
    <t>2.3 Sprint 4 Stretch</t>
  </si>
  <si>
    <t>(Regression) Admin - Stock Management - Serving Period and Menu Items filters not functional</t>
  </si>
  <si>
    <t>https://heartlandschools.visualstudio.com/Meal%20Orders/_git/Meal%20Orders/pullrequest/41511</t>
  </si>
  <si>
    <t>(Regression) - Admin - Exports display all data as undefined</t>
  </si>
  <si>
    <t>https://heartlandschools.visualstudio.com/Meal%20Orders/_git/Meal%20Orders/pullrequest/41445</t>
  </si>
  <si>
    <t>(Regression) Meal Orders - Admin - Stock Mgmt. - Order from canceled to fulfilled not withdrawing stock</t>
  </si>
  <si>
    <t>https://heartlandschools.visualstudio.com/Meal%20Orders/_git/Meal%20Orders/pullrequest/41478</t>
  </si>
  <si>
    <t xml:space="preserve">2.3 Sprint 4 </t>
  </si>
  <si>
    <t>(Regression) Admin - Serving Period unable to be reactivated after inactivation</t>
  </si>
  <si>
    <t xml:space="preserve">Conditioanl logic was missed out for the particular scenario also missed out in testing, Identified by Offshore QA </t>
  </si>
  <si>
    <t xml:space="preserve">(Regression) Admin - Serving Period - Inactivate modal missing when deletion not an option	</t>
  </si>
  <si>
    <t xml:space="preserve">Automation </t>
  </si>
  <si>
    <t>It is a usability suggestion suggested by Offshore QA</t>
  </si>
  <si>
    <t>Functional issue with respect to column order change - Reported Sentral</t>
  </si>
  <si>
    <t xml:space="preserve">Meal Orders - Order Management - Need to retain the multi selection of the orders in grid	</t>
  </si>
  <si>
    <t>Analysis is in progress</t>
  </si>
  <si>
    <t xml:space="preserve">Client </t>
  </si>
  <si>
    <t>Serving period filter that was applied does not affect stock rules shown within grid. If Filters are opened back up, the applied Serving Period selection is no longer shown.</t>
  </si>
  <si>
    <t>Existing export package was not supported after Mik's build changes (Formatting &amp; lint changes)</t>
  </si>
  <si>
    <t>Meal Orders - Admin - Stock Mgmt. - Order from canceled to fulfilled not withdrawing stock</t>
  </si>
  <si>
    <t>Functional issue, Additional conditional logic is required</t>
  </si>
  <si>
    <t>(Regression) Stock Management - Inactive rules still considered when ordering</t>
  </si>
  <si>
    <t>Meal Orders(v2.?) - Admin - Reports - Header Section</t>
  </si>
  <si>
    <t>https://dev.azure.com/heartlandschools/Meal%20Orders/_git/Meal%20Orders/pullrequest/41206</t>
  </si>
  <si>
    <t>There was a suggession to show Report name and district name in all the reports for each page. That took additioanl effort to complete the story.</t>
  </si>
  <si>
    <t>Meal Orders(v2.3) - Stock Management - Code Refactoring</t>
  </si>
  <si>
    <t>Ruban/Mike</t>
  </si>
  <si>
    <t>https://dev.azure.com/heartlandschools/Meal%20Orders/_git/Meal%20Orders/pullrequest/41243</t>
  </si>
  <si>
    <t xml:space="preserve">During Testinf found 2 intenal issues , Because of code Refactoring and sentral got removed code for parent cart </t>
  </si>
  <si>
    <t>Meal Orders(2.2)- Admin - Order Management 
Filter Retain issue For Recipient Printing</t>
  </si>
  <si>
    <t>kiruthiga</t>
  </si>
  <si>
    <t>https://dev.azure.com/heartlandschools/Meal%20Orders/_git/Meal%20Orders/pullrequest/41296</t>
  </si>
  <si>
    <t>Due to the suggested changes in the Report Header story(46826) made a delay in starting the Student Product sales report work item</t>
  </si>
  <si>
    <t>2.3 Sprint 3 Stretch</t>
  </si>
  <si>
    <t xml:space="preserve">Rachel </t>
  </si>
  <si>
    <t>PR got created , But facing few Biuld  errors .
Completed on Mar 21</t>
  </si>
  <si>
    <t>Meal Order - Admin - Stock Management - Serving Period dropdown not getting reset , when user click on reset button at Admin stock management</t>
  </si>
  <si>
    <t>https://dev.azure.com/heartlandschools/Meal%20Orders/_git/Meal%20Orders/pullrequest/41260</t>
  </si>
  <si>
    <t>Meal Orders (2.3?) - Admin - Errors after applying reduced permission role for actively signed in user</t>
  </si>
  <si>
    <t>https://dev.azure.com/heartlandschools/Meal%20Orders/_git/Meal%20Orders/pullrequest/41325</t>
  </si>
  <si>
    <t>Meal Orders - Admin - Preview open template opens incorrect day</t>
  </si>
  <si>
    <t>https://heartlandschools.visualstudio.com/Meal%20Orders/_git/Meal%20Orders/pullrequest/41314</t>
  </si>
  <si>
    <t xml:space="preserve">47493	</t>
  </si>
  <si>
    <t xml:space="preserve">Meal Orders(v2.3) - SSO - Customer Order Count - Enhancement </t>
  </si>
  <si>
    <t>https://heartlandschools.visualstudio.com/Meal%20Orders/_git/Meal%20Orders/pullrequest/41187</t>
  </si>
  <si>
    <t xml:space="preserve">2.3 Sprint 3 </t>
  </si>
  <si>
    <t xml:space="preserve">Internal issue - Identified in Offshore QA </t>
  </si>
  <si>
    <t>Existing_Issues</t>
  </si>
  <si>
    <t>Unable to update Customization menu item and Quantity in Parent cart</t>
  </si>
  <si>
    <t xml:space="preserve">During Stock Management Code Refactoring story testing  - Identified in Offshore QA is found </t>
  </si>
  <si>
    <t xml:space="preserve">Unable to update Normal Customization and Customization Group Items in Parent </t>
  </si>
  <si>
    <t xml:space="preserve">Since sental team has removed code about Parent cart  -  Identified inOffshore QA </t>
  </si>
  <si>
    <t>Production issue - Identified by Ruban, Resolved by addiding addtioanl conditional logic</t>
  </si>
  <si>
    <t>2.3 Sprint 2 Stretch</t>
  </si>
  <si>
    <t>1.AS part of this sprint , I have completed implementation for all reports with date format .Xlsx and also included Schedule tab functionality for all reports
2. The pending is like to impalement few more formats like PDF , Html , CSV export (CSV Applicable for few reports only)</t>
  </si>
  <si>
    <t xml:space="preserve">Meal Orders - Reports - Menu Template (Parameter Screen + Schedule Report)	
</t>
  </si>
  <si>
    <t>https://heartlandschools.visualstudio.com/Meal%20Orders/_git/Meal%20Orders/pullrequest/41033</t>
  </si>
  <si>
    <t>Added test case link and executed as well . All steps are got passed .</t>
  </si>
  <si>
    <t>Menu Calendar Preview - Styling issue</t>
  </si>
  <si>
    <t>https://dev.azure.com/heartlandschools/Meal%20Orders/_git/Meal%20Orders/pullrequest/40942</t>
  </si>
  <si>
    <t>In recent code there is an impact in Menu Calendar style, working on finding root cause analysis</t>
  </si>
  <si>
    <t>Meal Orders - Order Management - Receipt Print console error</t>
  </si>
  <si>
    <t>https://dev.azure.com/heartlandschools/Meal%20Orders/_git/Meal%20Orders/pullrequest/41023</t>
  </si>
  <si>
    <t>Meal Orders - HSS User - Provider switch site 
search not functional</t>
  </si>
  <si>
    <t>https://dev.azure.com/heartlandschools/Meal%20Orders/_git/Meal%20Orders/pullrequest/41046</t>
  </si>
  <si>
    <t xml:space="preserve"> Meal Orders(v2.2) - Admin - Order Management - Mark as Open (Non-Integrated District)</t>
  </si>
  <si>
    <t>https://heartlandschools.visualstudio.com/Meal%20Orders/_git/Meal%20Orders/pullrequest/41029</t>
  </si>
  <si>
    <t>Meal Orders - Admin - Order Mgmt. - Mark open confirmation for unfulfilled order</t>
  </si>
  <si>
    <t>https://heartlandschools.visualstudio.com/Meal%20Orders/_git/Meal%20Orders/pullrequest/41054</t>
  </si>
  <si>
    <t>Meal Orders(2.2)- Admin - Order Management Filter Retain issue For Recipient Printing</t>
  </si>
  <si>
    <t>Meal Orders - Parent/Teacher - Stock Mgmt. customization validation updating item in cart</t>
  </si>
  <si>
    <t>https://heartlandschools.visualstudio.com/Meal%20Orders/_git/Meal%20Orders/pullrequest/41088</t>
  </si>
  <si>
    <t>Meal Orders - Parent - Cart editing custom reimb meals missing customizations</t>
  </si>
  <si>
    <t>https://heartlandschools.visualstudio.com/Meal%20Orders/_git/Meal%20Orders/pullrequest/41087</t>
  </si>
  <si>
    <t>Meal Orders(v2.3) - Admin - Reports - Student Fulfillment (Portrait Model)</t>
  </si>
  <si>
    <t>https://heartlandschools.visualstudio.com/Meal%20Orders/_git/Meal%20Orders/pullrequest/40756</t>
  </si>
  <si>
    <t>Onsite QA has reported 3 bounce back for this story. Fixed one item and other two will be addressed in a separate defect as it is occuring in other reports too.</t>
  </si>
  <si>
    <t>2.3 Sprint 1 Stretch</t>
  </si>
  <si>
    <t>Meal Orders( v2.3) - Admin - Order Management - Bulk Order Cancellation</t>
  </si>
  <si>
    <t>https://heartlandschools.visualstudio.com/Meal%20Orders/_git/Meal%20Orders/pullrequest/40835?_a=files</t>
  </si>
  <si>
    <t xml:space="preserve">As part story I have completed automation for 6 Reports and committed into feature brnach . Continue to working on rest of the reports . </t>
  </si>
  <si>
    <t xml:space="preserve">Meal Orders - Reports - Menu Template (Parameter Screen + Schedule Report)	</t>
  </si>
  <si>
    <t>Ruban/ Sudheer</t>
  </si>
  <si>
    <t>Meal Orders(2.2)- Admin - Order Management Filter Retain issue</t>
  </si>
  <si>
    <t>https://heartlandschools.visualstudio.com/Meal%20Orders/_git/Meal%20Orders/pullrequest/40843</t>
  </si>
  <si>
    <t>Ruban /Sudheer</t>
  </si>
  <si>
    <t>Meal Orders(v2.3) - Admin - Integrated Districts - Hide Reactivation</t>
  </si>
  <si>
    <t>Meal Orders(v2.3) - Admin - Menu Calendar Preview - Teacher Ordering - Site</t>
  </si>
  <si>
    <t xml:space="preserve">Support to Onsite developer </t>
  </si>
  <si>
    <t xml:space="preserve">Production Issue. 
Existing_Issues found during regression testing . And fixed </t>
  </si>
  <si>
    <t>Design</t>
  </si>
  <si>
    <t>Internal issue - Identified by onsite QA during story testing
Retention Issue</t>
  </si>
  <si>
    <t>Meal Orders (2.2) - Regression - Report</t>
  </si>
  <si>
    <t xml:space="preserve">Story Completed </t>
  </si>
  <si>
    <t>Meal Orders (2.2) - Regression - Admin</t>
  </si>
  <si>
    <t>(Regression) Meal Orders - Stock Management - Daily Limit/Qty In Stock removed when cursor placed in field</t>
  </si>
  <si>
    <t>https://dev.azure.com/heartlandschools/Meal%20Orders/_git/Meal%20Orders/pullrequest/40402?_a=files</t>
  </si>
  <si>
    <t xml:space="preserve">Meal Orders - Admin - Site Order Timings not refreshing after ordering parameter override	</t>
  </si>
  <si>
    <t>https://dev.azure.com/heartlandschools/Meal%20Orders/_git/Meal%20Orders/pullrequest/40493</t>
  </si>
  <si>
    <t>(Regression) Admin - Stock Mgmt - Stock Edit validation occurs immediately upon input</t>
  </si>
  <si>
    <t>https://dev.azure.com/heartlandschools/Meal%20Orders/_git/Meal%20Orders/pullrequest/40475</t>
  </si>
  <si>
    <t>Meal Orders - Parents unable to login (redirect loop)</t>
  </si>
  <si>
    <t>Production Release (Jan 30th) was rolled back due to an issue with Parent Login, the issue was fixed and the release is postponed on Feb 06th.
The issue was Sentral AUS had made change Household API to include new fields(Which is not applicable for US)). There was no proper null checks for enrollments for these fields. When a Parent has inactive enrollments for a student then causes to error and prevent Parent Login</t>
  </si>
  <si>
    <t>2.2 Sprint 6 Stretch</t>
  </si>
  <si>
    <t>Meal Orders - Reports - Menu Template (Parameter Screen + Schedule Report</t>
  </si>
  <si>
    <t xml:space="preserve">Its an new report story ,which is used to view menu template details and get full menu details which is added in menu template. </t>
  </si>
  <si>
    <t>Meal Orders (v2.3) - Stock Management - Test Cases</t>
  </si>
  <si>
    <t>Meal Orders(v2.3) - Reports - Student Fulfillment (Portrait Model) - Analysis</t>
  </si>
  <si>
    <t>It is a analysis story and there is no specific PR link and further details</t>
  </si>
  <si>
    <t>https://dev.azure.com/heartlandschools/Meal%20Orders/_git/Meal%20Orders/pullrequest/40756</t>
  </si>
  <si>
    <t>Meal Orders(v2.3) - Admin - Bulk Order Cancellation/Open - Analysis &amp; Discovery</t>
  </si>
  <si>
    <t>RCA Reason Mandatory*</t>
  </si>
  <si>
    <t>Major</t>
  </si>
  <si>
    <t xml:space="preserve">Bounce Back Issue and fixed by OffShore team. Completed Testing by QA </t>
  </si>
  <si>
    <t>Found as part of Regression , Fixed by Offshore Team  and Tested by QA (Offshore)</t>
  </si>
  <si>
    <t xml:space="preserve">UI retention issue , Fixed by OffShore Team and Tested By both Onshore and Offshore QA </t>
  </si>
  <si>
    <t xml:space="preserve">Issue form Sentral side And Onsite devloper fixed and Tested by  both Onshore and Offshore QA </t>
  </si>
  <si>
    <t xml:space="preserve">         </t>
  </si>
  <si>
    <t>Root Cause category</t>
  </si>
  <si>
    <t>Enhancements</t>
  </si>
  <si>
    <t>Requirements</t>
  </si>
  <si>
    <t>QA</t>
  </si>
  <si>
    <t>Documentation</t>
  </si>
  <si>
    <t>Development</t>
  </si>
  <si>
    <t>Project_Management</t>
  </si>
  <si>
    <t>Environment_Related</t>
  </si>
  <si>
    <t>Kiruthiga/Sudheer</t>
  </si>
  <si>
    <t>Issue occuring in local environment alone</t>
  </si>
  <si>
    <t>Meal Orders - HSS User - Provider switch site search not functional</t>
  </si>
  <si>
    <t>Internal issue - Identified by onsite QA during story testing</t>
  </si>
  <si>
    <t>Internal issue - Identified by onsite QA , It is a minor content change'</t>
  </si>
  <si>
    <t>Internal Issue identified by developer</t>
  </si>
  <si>
    <t>2.2 Sprint 5 Stretch</t>
  </si>
  <si>
    <t>Meal Order - Admin -Disable the Active/Inactive column in the serving period when the user has only one serving period available.</t>
  </si>
  <si>
    <t xml:space="preserve">Existing Functionality issue  </t>
  </si>
  <si>
    <t>Fixed by OffShore Developer</t>
  </si>
  <si>
    <t>Kiruthiga/Ruban</t>
  </si>
  <si>
    <t>Meal Orders(v2.2) - Admin - Stock Management - Values of Daily Limit and Qty In Stock are retaining even after deleting the values</t>
  </si>
  <si>
    <t>(Regression) Meal Orders - Reverted Menu Template item edits from Menu Calendar affecting template preview</t>
  </si>
  <si>
    <t>(Regression) Meal Orders - Stock Management - TypeError when sorting certain columns</t>
  </si>
  <si>
    <t>Inprogress</t>
  </si>
  <si>
    <t>Meal Orders(v2.2) - Admin - Ordering Parameters and Site Settings - Filter and Order Timing</t>
  </si>
  <si>
    <t>Bounce back</t>
  </si>
  <si>
    <t xml:space="preserve">(Regression) Meal Orders - Admin - Serving Period delete messaging change	
</t>
  </si>
  <si>
    <t>Existing Functionality issue  caused by additional changes in that pages.</t>
  </si>
  <si>
    <t>(Regression) Meal Orders - Admin - Menu Calendar daily menu template name field not read only</t>
  </si>
  <si>
    <t>Sentral changed the functianlity but it is not required for US</t>
  </si>
  <si>
    <t>(Regression) Meal Orders - Teacher - Items added to teacher order from cart not visible</t>
  </si>
  <si>
    <t>Logical issue in recent changes</t>
  </si>
  <si>
    <t>(Regression) Meal Orders - Stock Management - Rule not set when order cancelled from my orders</t>
  </si>
  <si>
    <t xml:space="preserve">Meal Orders - Admin - Site Order Timings not refreshing after ordering parameter override	
</t>
  </si>
  <si>
    <t>Meal Orders - Parent - Automatic Cart Item Update text alignment issue</t>
  </si>
  <si>
    <t xml:space="preserve">Existing UI issue  </t>
  </si>
  <si>
    <t>Meal Orders - Admin - Reactivation validation messaging duplicated</t>
  </si>
  <si>
    <t>Estimated(hrs/sp)</t>
  </si>
  <si>
    <t>Actual(hrs/sp)</t>
  </si>
  <si>
    <t>Column1</t>
  </si>
  <si>
    <t xml:space="preserve">2.2 Sprint 4 </t>
  </si>
  <si>
    <t>Meal Orders(v2.2) - Stock Management - Teacher Ordering - Site and Site Groups</t>
  </si>
  <si>
    <t>https://dev.azure.com/heartlandschools/Meal%20Orders/_git/Meal%20Orders/pullrequest/40188</t>
  </si>
  <si>
    <t>Rachel/Sudheer</t>
  </si>
  <si>
    <t>Meal Orders(v2.1) - SSO &amp; Admin - Multi-Select Dropdown - Eliminating the Selected once</t>
  </si>
  <si>
    <t>https://dev.azure.com/heartlandschools/Meal%20Orders/_git/Meal%20Orders/pullrequest/40068</t>
  </si>
  <si>
    <t>13/12/2024</t>
  </si>
  <si>
    <t>Meal Orders(v2.2) - Report - Stock Menu Items - Adding Serving Period</t>
  </si>
  <si>
    <t>Meal Orders(v2.2) - Stock Management - Individual Ordering - Include Serving Period</t>
  </si>
  <si>
    <t>1. Adding static text when there is no order(s) available 2. Validation content change for out of stock case</t>
  </si>
  <si>
    <t>Development is completed, Testing is in Progress. End - End Testing is required for this EPIC Feature</t>
  </si>
  <si>
    <t xml:space="preserve">46458	</t>
  </si>
  <si>
    <t>Meal Orders (v2.2) - Stock Management - Admin - Cancellation &amp; Reactivation</t>
  </si>
  <si>
    <t>Meal Orders(v2.2) - Stock Management - Teacher Ordering - Include Serving Period</t>
  </si>
  <si>
    <t>2.2 Sprint 4 Strech</t>
  </si>
  <si>
    <t>Dhivyalakshmi/sudeer</t>
  </si>
  <si>
    <t>Meal Orders - Admin - Navigation Menu text font size inconsistent</t>
  </si>
  <si>
    <t>https://dev.azure.com/heartlandschools/Meal%20Orders/_git/Meal%20Orders/pullrequest/40131</t>
  </si>
  <si>
    <t>2.2 Sprint 4 Stretch</t>
  </si>
  <si>
    <t xml:space="preserve">Meal Orders - Admin - Item Type Not Updated On Menu Template	
</t>
  </si>
  <si>
    <t>https://dev.azure.com/heartlandschools/Meal%20Orders/_git/Meal%20Orders/pullrequest/40132</t>
  </si>
  <si>
    <t>https://dev.azure.com/heartlandschools/Meal%20Orders/_git/Meal%20Orders/pullrequest/40254</t>
  </si>
  <si>
    <t>https://dev.azure.com/heartlandschools/Meal%20Orders/_git/Meal%20Orders/pullrequest/40236</t>
  </si>
  <si>
    <t xml:space="preserve"> Meal Orders - Parent/Teacher - Correct Customization Group details formatting and wording</t>
  </si>
  <si>
    <t>Meal Orders(v2.2) - Tracking Regression Automation and Manual</t>
  </si>
  <si>
    <t>Meal Orders - Admin - Unable to reactivate cancelled orders containing reimbursable meal</t>
  </si>
  <si>
    <t>https://dev.azure.com/heartlandschools/Meal%20Orders/_git/Meal%20Orders/pullrequest/40251</t>
  </si>
  <si>
    <r>
      <rPr>
        <sz val="10"/>
        <color rgb="FF000000"/>
        <rFont val="Arial"/>
        <scheme val="minor"/>
      </rPr>
      <t xml:space="preserve">Onsite QA has found the issue and it is relaited some </t>
    </r>
    <r>
      <rPr>
        <b/>
        <sz val="10"/>
        <color rgb="FF000000"/>
        <rFont val="Arial"/>
        <scheme val="minor"/>
      </rPr>
      <t>UI enhancements</t>
    </r>
    <r>
      <rPr>
        <sz val="10"/>
        <color rgb="FF000000"/>
        <rFont val="Arial"/>
        <scheme val="minor"/>
      </rPr>
      <t xml:space="preserve"> for  Correct Customization Group details formatting</t>
    </r>
  </si>
  <si>
    <t xml:space="preserve">Fixed By Onsite Developer and tested by Offshore QA </t>
  </si>
  <si>
    <t xml:space="preserve">Its related to UI Font Formatting issue </t>
  </si>
  <si>
    <t>Fixed by Offshore Developer and tested by Offshore QA</t>
  </si>
  <si>
    <t>Meal Orders - Admin - Item Type Not Updated On Menu Template</t>
  </si>
  <si>
    <t>Onsite QA has found the issue and it is functional code changes.</t>
  </si>
  <si>
    <t xml:space="preserve">Fixed by Offshore Developer </t>
  </si>
  <si>
    <t>Due to changes in adding functionality in ordering parameter page ,this defect occured.</t>
  </si>
  <si>
    <t>https://dev.azure.com/heartlandschools/Meal%20Orders/_git/Meal%20Orders/pullrequest/40295?_a=files&amp;path=/MealOrders.Web/Features/Teacher/TeacherController.cs</t>
  </si>
  <si>
    <t>https://dev.azure.com/heartlandschools/Meal%20Orders/_git/Meal%20Orders/pullrequest/40319</t>
  </si>
  <si>
    <t>Defect Ready For Testing</t>
  </si>
  <si>
    <t>https://dev.azure.com/heartlandschools/Meal%20Orders/_git/Meal%20Orders/pullrequest/40399</t>
  </si>
  <si>
    <t>https://dev.azure.com/heartlandschools/Meal%20Orders/_git/Meal%20Orders/pullrequest/40373</t>
  </si>
  <si>
    <t>https://dev.azure.com/heartlandschools/Meal%20Orders/_git/Meal%20Orders/pullrequest/40374</t>
  </si>
  <si>
    <t>Meal Orders (2.2) - Regression - Teacher</t>
  </si>
  <si>
    <t>Meal Orders (2.2) - Regression - Parent</t>
  </si>
  <si>
    <t>Dhivyalakshmi/Ruban</t>
  </si>
  <si>
    <t>Will be carry forwarded to continue other reports. We have 13 reports with run reports and schedule reports with report inbox. 
Sentral had a new PR for CSV Format, so we will re running the tests</t>
  </si>
  <si>
    <t>Defect Being Tested</t>
  </si>
  <si>
    <t>We have completed Order Management, Menu Item, Menu Template, Menu Calendar, Settings Module. We have Stock Management Module inprogress for regression.</t>
  </si>
  <si>
    <t>https://dev.azure.com/heartlandschools/Meal%20Orders/_git/Meal%20Orders/pullrequest/40387</t>
  </si>
  <si>
    <t>https://dev.azure.com/heartlandschools/Meal%20Orders/_git/Meal%20Orders/pullrequest/40397</t>
  </si>
  <si>
    <t>https://dev.azure.com/heartlandschools/Meal%20Orders/_git/Meal%20Orders/pullrequest/40405?_a=files</t>
  </si>
  <si>
    <t>Sarath</t>
  </si>
  <si>
    <t>Meal Orders(v2.2) - Teacher - Stock Management New Changes</t>
  </si>
  <si>
    <t>https://dev.azure.com/heartlandschools/Meal%20Orders/_git/Meal%20Orders/pullrequest/39705?_a=files</t>
  </si>
  <si>
    <t>Meal Orders - Admin - Default Tax Location not assigned to new site</t>
  </si>
  <si>
    <t>https://dev.azure.com/heartlandschools/Meal%20Orders/_git/Meal%20Orders/pullrequest/39765</t>
  </si>
  <si>
    <t>Meal Orders(v2.2) - Regression automation implementation for Receipt Printing</t>
  </si>
  <si>
    <t>https://dev.azure.com/heartlandschools/Meal%20Orders/_git/Meal%20Orders/pullrequest/40003</t>
  </si>
  <si>
    <t>Meal Order(v2.2) - Stock Management - Report - Menu Stock Item</t>
  </si>
  <si>
    <t>Meal Orders(v2.2) - Admin - Stock Management - Include Serving Period - UI</t>
  </si>
  <si>
    <t>This story having dependency with other modules, will be able to create PR  only when all dependent functionalities are implemented</t>
  </si>
  <si>
    <t>Meal Orders (v2.2) - Stock Management - Individual Ordering - Site and Site Group</t>
  </si>
  <si>
    <t>https://dev.azure.com/heartlandschools/Meal%20Orders/_git/Meal%20Orders/pullrequest/39888</t>
  </si>
  <si>
    <t>2.2 Sprint 3 
Stretch</t>
  </si>
  <si>
    <t>Meal Orders - Parent &amp; Teacher - Menu calendar template alignment/overflow issues</t>
  </si>
  <si>
    <t>https://dev.azure.com/heartlandschools/Meal%20Orders/_git/Meal%20Orders/pullrequest/39890</t>
  </si>
  <si>
    <t xml:space="preserve">Meal Orders - Parent - Menu Calendar page background incorrect color	
</t>
  </si>
  <si>
    <t>https://dev.azure.com/heartlandschools/Meal%20Orders/_git/Meal%20Orders/pullrequest/39933</t>
  </si>
  <si>
    <t>Meal Orders(v2.2) - Email Ungrouping (Testing Only)</t>
  </si>
  <si>
    <t xml:space="preserve">MIke </t>
  </si>
  <si>
    <t>https://dev.azure.com/heartlandschools/Meal%20Orders/_git/Meal%20Orders/pullrequest/39958</t>
  </si>
  <si>
    <t>This story developed by client (Rachel) , and tested by OffShore QA (Sudheer). And found an issue and retested  after fixed.
Issue: Teacher validation is not Implemented</t>
  </si>
  <si>
    <t>2.2 Sprint 3 Stretch</t>
  </si>
  <si>
    <t>Meal Orders(v2.2) - Admin - Reports - UI Issue</t>
  </si>
  <si>
    <t>https://dev.azure.com/heartlandschools/Meal%20Orders/_git/Meal%20Orders/pullrequest/40021</t>
  </si>
  <si>
    <t xml:space="preserve">Meal Orders - Reports - Report format field label font size/style doesn't match other report labels	
</t>
  </si>
  <si>
    <t>https://dev.azure.com/heartlandschools/Meal%20Orders/_git/Meal%20Orders/pullrequest/40020</t>
  </si>
  <si>
    <t>Meal Orders - Admin - New Meal Orders site non-enrolled student ordering set to disabled (Testing Only)</t>
  </si>
  <si>
    <t>https://dev.azure.com/heartlandschools/Meal%20Orders/_git/Meal%20Orders/pullrequest/39946</t>
  </si>
  <si>
    <t xml:space="preserve">This defect fixed by Client (Rachel) Tested by Off-Shore QA  Team (Sudheer) </t>
  </si>
  <si>
    <t>Menu calendar template alignment/overflow issues</t>
  </si>
  <si>
    <t xml:space="preserve"> Production existing UI issue and Relevantz developed it.</t>
  </si>
  <si>
    <t>Existing UI issues</t>
  </si>
  <si>
    <t xml:space="preserve">Meal Orders - Parent - Menu Calendar page background incorrect color	</t>
  </si>
  <si>
    <t>Production existing UI issue and Relevantz developed it.</t>
  </si>
  <si>
    <t>Existing UI  issues</t>
  </si>
  <si>
    <t>Meal Orders - Admin - New Meal Orders site non-enrolled student ordering set to disabled</t>
  </si>
  <si>
    <t xml:space="preserve">Production existing Functional Issue  </t>
  </si>
  <si>
    <t>Existing Functional  issues</t>
  </si>
  <si>
    <t xml:space="preserve">2.2 Sprint 3 </t>
  </si>
  <si>
    <t>Meal Orders: Student Fulfillment in CSV does not contain Student Allergen Column</t>
  </si>
  <si>
    <t>https://dev.azure.com/heartlandschools/Meal%20Orders/_git/Meal%20Orders/pullrequest/39584</t>
  </si>
  <si>
    <t>Meal Orders(v2.1.?) - Stock Management - New Changes</t>
  </si>
  <si>
    <t>https://dev.azure.com/heartlandschools/Meal%20Orders/_git/Meal%20Orders/pullrequest/39683</t>
  </si>
  <si>
    <t xml:space="preserve">Meal Order (v2.2) - Regression Automation Issue Fixes for 2.1	</t>
  </si>
  <si>
    <t>https://dev.azure.com/heartlandschools/Meal%20Orders/_git/Meal%20Orders/pullrequest/39601</t>
  </si>
  <si>
    <t>Meal Orders(v2.2) - Stock Management - Individual &amp; Teacher - When Two Students have the Same Stock Items Validation is missing</t>
  </si>
  <si>
    <t>1. Remove unused code
2. Add condition for US only</t>
  </si>
  <si>
    <t>https://dev.azure.com/heartlandschools/Meal%20Orders/_git/Meal%20Orders/pullrequest/39652</t>
  </si>
  <si>
    <t>Meal Orders - Parent - Soft refresh after stock management changes</t>
  </si>
  <si>
    <t>Meal Orders - Parent - Items with line split in cart not accounted for in stock management</t>
  </si>
  <si>
    <t>2.2 Sprint 2 Stretch</t>
  </si>
  <si>
    <t>In Review</t>
  </si>
  <si>
    <t>Meal Orders - Order Receipts - Student ID Barcode not disabled for Teacher Orders</t>
  </si>
  <si>
    <t>Meal Orders(v2.2) - Individual &amp; Teacher - Stock Management Validation for Customization Groups</t>
  </si>
  <si>
    <t>2.2 Sprint 1 Stretch</t>
  </si>
  <si>
    <t xml:space="preserve">2.2 Sprint 1 </t>
  </si>
  <si>
    <t>https://dev.azure.com/heartlandschools/Meal%20Orders/_git/Meal%20Orders/pullrequest/39362</t>
  </si>
  <si>
    <t>Meal Orders(v2.1) - Admin - Order Details - Adding First and Last Name and Copy Email</t>
  </si>
  <si>
    <t>https://dev.azure.com/heartlandschools/Meal%20Orders/_git/Meal%20Orders/pullrequest/39515</t>
  </si>
  <si>
    <t>https://dev.azure.com/heartlandschools/Meal%20Orders/_git/Meal%20Orders/pullrequest/39415</t>
  </si>
  <si>
    <t>Meal Orders(v2.2) - Parent - Stock Management Validation when no rules exist</t>
  </si>
  <si>
    <t>https://dev.azure.com/heartlandschools/Meal%20Orders/_git/Meal%20Orders/pullrequest/39426</t>
  </si>
  <si>
    <t>Meal Order (v2.2) - Regression Automation Issue Fixes for 2.1</t>
  </si>
  <si>
    <t>In Progress(Build Issues and ChromeDriver Issue )</t>
  </si>
  <si>
    <t>https://dev.azure.com/heartlandschools/Meal%20Orders/_git/Meal%20Orders/pullrequest/39467</t>
  </si>
  <si>
    <t>Meal Orders (v2.2) - Cart Optimization for Teacher Ordering</t>
  </si>
  <si>
    <t>https://dev.azure.com/heartlandschools/Meal%20Orders/_git/Meal%20Orders/pullrequest/39344</t>
  </si>
  <si>
    <t>Meal Orders (v2.2) - Cart Optimization for Individual Ordering</t>
  </si>
  <si>
    <t>Meal Orders - Admin - Scheduled Order Receipts report not marked as read if no data</t>
  </si>
  <si>
    <t>https://dev.azure.com/heartlandschools/Meal%20Orders/_git/Meal%20Orders/pullrequest/39348</t>
  </si>
  <si>
    <t>2.2 Sprint 0 Stretch</t>
  </si>
  <si>
    <t>Meal Orders - Admin - Tab of Menu Template persists when editing from Menu Calendar</t>
  </si>
  <si>
    <t>Meal Orders - Tray Labels/POS Labels not fetching cancelled order grade/homeroom/classroom</t>
  </si>
  <si>
    <t>(Regression) Meal Orders - Admin - Order Timing changes not reflected until save in Ordering Parameter</t>
  </si>
  <si>
    <t>InProgress</t>
  </si>
  <si>
    <t>Required more testing in two different modes (parent &amp; teacher)</t>
  </si>
  <si>
    <t>(Regression) Meal Orders - Parent - Student Ordering icon wrong fill color</t>
  </si>
  <si>
    <t>https://dev.azure.com/heartlandschools/Meal%20Orders/_git/Meal%20Orders/pullrequest/38982</t>
  </si>
  <si>
    <t>(Regression) Meal Orders - Teacher - Order edit option within cart not functional</t>
  </si>
  <si>
    <t>Kiruthga</t>
  </si>
  <si>
    <t>https://dev.azure.com/heartlandschools/Meal%20Orders/_git/Meal%20Orders/pullrequest/39019</t>
  </si>
  <si>
    <t>(Regression) Meal Orders - Admin - Site Order Timing changes not reflected until save</t>
  </si>
  <si>
    <t>https://dev.azure.com/heartlandschools/Meal%20Orders/_git/Meal%20Orders/pullrequest/39047</t>
  </si>
  <si>
    <t>(Regression) - Admin - Render error opening Teacher Order from order management</t>
  </si>
  <si>
    <t>Meal Orders (2.1) - Regression - Teacher</t>
  </si>
  <si>
    <t>Meal Orders(2.1) - Regression - Report</t>
  </si>
  <si>
    <t>Meal Orders (2.1) - Regression - Admin</t>
  </si>
  <si>
    <t>Meal Orders (2.1) - Regression - Parent</t>
  </si>
  <si>
    <t>Meal Orders(v2.1) - Stock Management - Parent/Student</t>
  </si>
  <si>
    <t>https://dev.azure.com/heartlandschools/Meal%20Orders/_git/Meal%20Orders/pullrequest/39020</t>
  </si>
  <si>
    <t>Meal Orders(v2.1) - Stock Management - Teacher</t>
  </si>
  <si>
    <t>https://dev.azure.com/heartlandschools/Meal%20Orders/_git/Meal%20Orders/pullrequest/38870</t>
  </si>
  <si>
    <t>Some of the new findings are addressed as part of teacher regression story.</t>
  </si>
  <si>
    <t>(Regression) Meal Orders - Stock Mgmt. incorrect date displayed/updated</t>
  </si>
  <si>
    <t>https://dev.azure.com/heartlandschools/Meal%20Orders/_git/Meal%20Orders/pullrequest/39002?_a=files</t>
  </si>
  <si>
    <t>Meal Orders - Teacher - Decrease qty (-) not working for customizable items</t>
  </si>
  <si>
    <t>https://dev.azure.com/heartlandschools/Meal%20Orders/_git/Meal%20Orders/pullrequest/38997</t>
  </si>
  <si>
    <t>Meal Orders - Parent - Customizable Reimbursable Item Issues in Cart</t>
  </si>
  <si>
    <t>https://dev.azure.com/heartlandschools/Meal%20Orders/_git/Meal%20Orders/pullrequest/39059</t>
  </si>
  <si>
    <t>(Regression) Meal Orders - Parent - Performance issue adding items with cust. groups</t>
  </si>
  <si>
    <t>https://dev.azure.com/heartlandschools/Meal%20Orders/_git/Meal%20Orders/pullrequest/39039</t>
  </si>
  <si>
    <t>Meal Orders - Parent - Reimbursable items not grouped together in cart</t>
  </si>
  <si>
    <t>SRX24262</t>
  </si>
  <si>
    <t xml:space="preserve">Meal Orders: Student Fulfillment in CSV does not contain Student Allergen Column	</t>
  </si>
  <si>
    <t>Moved as Defect for Next Version</t>
  </si>
  <si>
    <t>(Regression) Meal Orders - Stock Mgmt. - Standalone Customizations not Considered</t>
  </si>
  <si>
    <t>(Regression) Meal Orders - Admin - Menu Calendar Sort By Render Error</t>
  </si>
  <si>
    <t>2.1 Sprint 6 Stretch</t>
  </si>
  <si>
    <t>In Testing</t>
  </si>
  <si>
    <t>https://dev.azure.com/heartlandschools/Meal%20Orders/_git/Meal%20Orders/pullrequest/38847</t>
  </si>
  <si>
    <t>Story Being tested  - Added two bounce back for this story. One is already closed by QA and other one is being tested</t>
  </si>
  <si>
    <t>MealOrders - Head Royce - Blank Screen when attempting to navigate to View Cart/Process Order</t>
  </si>
  <si>
    <t>https://dev.azure.com/heartlandschools/Meal%20Orders/_git/Meal%20Orders/pullrequest/38793</t>
  </si>
  <si>
    <t>Meal Orders (2.1) - Regression - Teacher (Read Comment)</t>
  </si>
  <si>
    <t>Test Suites are run by Ruban for Admin, Still waiting for Serving Period (AUS) approval to complete this Regression, addressed few defects and completed those (Site/Site Group Issue)</t>
  </si>
  <si>
    <t>Meal Orders (2.1) - Regression - Admin (Read Comment)</t>
  </si>
  <si>
    <t>Test Suites are run by Ruban for Admin, Still waiting for Serving Period (AUS) approval to complete this Regression</t>
  </si>
  <si>
    <t>Meal Orders (2.1)  - (Regression) Meal Orders - Admin - Missing Fields in Schedule Details</t>
  </si>
  <si>
    <t>https://dev.azure.com/heartlandschools/Meal%20Orders/_git/Meal%20Orders/pullrequest/38956</t>
  </si>
  <si>
    <t>(Regression) Meal Orders - Order confirmation email images not displaying</t>
  </si>
  <si>
    <t>https://dev.azure.com/heartlandschools/Meal%20Orders/_git/Meal%20Orders/pullrequest/38963</t>
  </si>
  <si>
    <t>2.1 Sprint 5 Stretch</t>
  </si>
  <si>
    <t>Defect Ready for testing</t>
  </si>
  <si>
    <t>https://dev.azure.com/heartlandschools/Meal%20Orders/_git/Meal%20Orders/pullrequest/38874</t>
  </si>
  <si>
    <t>SRX24056</t>
  </si>
  <si>
    <t>MealOrders - Clear Cart Script</t>
  </si>
  <si>
    <t>Script - Moose will run</t>
  </si>
  <si>
    <t>Story Points</t>
  </si>
  <si>
    <t>(Regression) Meal Orders - Admin - Missing Fields in Schedule Details</t>
  </si>
  <si>
    <t>Design_Issue</t>
  </si>
  <si>
    <t>Unit testing and integration pending on this story.</t>
  </si>
  <si>
    <t>Meal Orders - Menu Item Based Pricing for NSLP - Parent</t>
  </si>
  <si>
    <t>https://dev.azure.com/heartlandschools/Meal%20Orders/_git/Meal%20Orders/pullrequest/38653</t>
  </si>
  <si>
    <t>8/27/2024
9/4/2024</t>
  </si>
  <si>
    <t>1. Code optimzation
2. Different approach for conditions and return types</t>
  </si>
  <si>
    <t>Meal Orders(v2.1) - Stock Management - Admin - Filter</t>
  </si>
  <si>
    <t>-</t>
  </si>
  <si>
    <t>Unused code and storybook mock data update</t>
  </si>
  <si>
    <t>https://dev.azure.com/heartlandschools/Meal%20Orders/_git/Meal%20Orders/pullrequest/38638
https://dev.azure.com/heartlandschools/Meal%20Orders/_git/Meal%20Orders/pullrequest/38673</t>
  </si>
  <si>
    <t>8/26/2024
8/28/2024</t>
  </si>
  <si>
    <t>8/26/2024
8/29/2024</t>
  </si>
  <si>
    <t xml:space="preserve">Meal Orders(v2.1) - Stock Management - Teacher </t>
  </si>
  <si>
    <t>Meal Orders(v2.1) - Stock Management - Admin - Grid - Integration</t>
  </si>
  <si>
    <t>SRX23788</t>
  </si>
  <si>
    <t>MealOrders - Parent Cart Displaying Blank Screen - Head Royce</t>
  </si>
  <si>
    <t>Fixed</t>
  </si>
  <si>
    <t>Meal Orders - Admin - Cost field disabled for Reimbursable Meal Item Type</t>
  </si>
  <si>
    <t>Meal Order - Class room name is not visible in report output when the order was cancelled for Try &amp; POS label reports</t>
  </si>
  <si>
    <t>Meal Orders - Admin - Menu Templates - Inactive item types moved to top of list</t>
  </si>
  <si>
    <t>Logical-Issue</t>
  </si>
  <si>
    <t>Meal Orders - Reports - Sort By report parameter not sorting report content</t>
  </si>
  <si>
    <t>https://dev.azure.com/heartlandschools/Meal%20Orders/_git/Meal%20Orders/pullrequest/38431</t>
  </si>
  <si>
    <t>Kiruthiga / Sudheer</t>
  </si>
  <si>
    <t>Meal Orders - Menu Item Based Pricing for NSLP - Admin</t>
  </si>
  <si>
    <t>https://dev.azure.com/heartlandschools/Meal%20Orders/_git/Meal%20Orders/pullrequest/38440</t>
  </si>
  <si>
    <t>2.1 Sprint 3 (Stretch)</t>
  </si>
  <si>
    <t>Ready for Testing</t>
  </si>
  <si>
    <t>https://dev.azure.com/heartlandschools/Meal%20Orders/_git/Meal%20Orders/pullrequest/38497</t>
  </si>
  <si>
    <t xml:space="preserve">2.1 Sprint 3 </t>
  </si>
  <si>
    <t>Meal Orders(v2.1) - Stock Management - Admin - + Add Stock Items - Integration</t>
  </si>
  <si>
    <t>https://dev.azure.com/heartlandschools/Meal%20Orders/_git/Meal%20Orders/pullrequest/38522</t>
  </si>
  <si>
    <t>Story book update for stock management</t>
  </si>
  <si>
    <t>https://dev.azure.com/heartlandschools/Meal%20Orders/_git/Meal%20Orders/pullrequest/38582</t>
  </si>
  <si>
    <t>https://dev.azure.com/heartlandschools/Meal%20Orders/_git/Meal%20Orders/pullrequest/38576</t>
  </si>
  <si>
    <t>Meal Orders - Menu Item Restrictions - Quantity not removed after deleting menu item and Hide Add/Edit and Delete Option when Site Override is OFF</t>
  </si>
  <si>
    <t>https://dev.azure.com/heartlandschools/Meal%20Orders/_git/Meal%20Orders/pullrequest/38299</t>
  </si>
  <si>
    <t>Meal Orders (v2.?) - Parent - Item Type Restriction validation message include serving period</t>
  </si>
  <si>
    <t>High</t>
  </si>
  <si>
    <t>Production</t>
  </si>
  <si>
    <t>Logical Issue</t>
  </si>
  <si>
    <t>2.1 Sprint 3 Stretch</t>
  </si>
  <si>
    <t>Low</t>
  </si>
  <si>
    <t>2.1 Sprint 2 Stretch</t>
  </si>
  <si>
    <t>Meal Orders - Admin - Order Management - Receipt generated on field not populating</t>
  </si>
  <si>
    <t>https://dev.azure.com/heartlandschools/Meal%20Orders/_git/Meal%20Orders/pullrequest/38050</t>
  </si>
  <si>
    <t xml:space="preserve">2.1 Sprint 2 </t>
  </si>
  <si>
    <t>Meal Orders - Reports - Tray Label Template fields resetting when switching tabs</t>
  </si>
  <si>
    <t>Meal Orders - Admin - Render error when removing filter selections from Order Management filters</t>
  </si>
  <si>
    <t>Meal Orders - Admin - Site Settings - Pick-up time not applicable for Teacher</t>
  </si>
  <si>
    <t>https://dev.azure.com/heartlandschools/Meal%20Orders/_git/Meal%20Orders/pullrequest/38051</t>
  </si>
  <si>
    <t>Meal Orders (v2.?) - Admin - Menu Templates - Serving Period - Render</t>
  </si>
  <si>
    <t>https://dev.azure.com/heartlandschools/Meal%20Orders/_git/Meal%20Orders/pullrequest/38103</t>
  </si>
  <si>
    <t>Meal Orders (v2.?) - Remove Contact Us for Parent/Student</t>
  </si>
  <si>
    <t>https://dev.azure.com/heartlandschools/Meal%20Orders/_git/Meal%20Orders/pullrequest/38105</t>
  </si>
  <si>
    <t>https://dev.azure.com/heartlandschools/Meal%20Orders/_git/Meal%20Orders/pullrequest/38125</t>
  </si>
  <si>
    <t>Meal Orders(v2.1) - Stock Management - Admin - District Settings (Integration) (Feature Flag and System Setting)</t>
  </si>
  <si>
    <t>1. Code optimization 2. Remove unused and commented line 3. Condition and access modifier change</t>
  </si>
  <si>
    <t>https://dev.azure.com/heartlandschools/Meal%20Orders/_git/Meal%20Orders/pullrequest/38188</t>
  </si>
  <si>
    <t>Meal Orders(v2.1) - Stock Management - Admin - Grid - UI (Dev Only)</t>
  </si>
  <si>
    <t>No Comments</t>
  </si>
  <si>
    <t>Meal Orders(v2.1) - Stock Management - Admin - + Add Stock Items - UI (Dev Only)</t>
  </si>
  <si>
    <t>https://dev.azure.com/heartlandschools/Meal%20Orders/_git/Meal%20Orders/pullrequest/38238</t>
  </si>
  <si>
    <t xml:space="preserve">Meal Orders - Menu Item Based Pricing for NSLP - Admin	</t>
  </si>
  <si>
    <t>Meal Orders(v2.1) - Receipt Scheduler - Design Analysis, Discovery and Tech Debt</t>
  </si>
  <si>
    <t>On-Hold</t>
  </si>
  <si>
    <t>Need Analysis, will be targeting this in 2.2 Release.</t>
  </si>
  <si>
    <t>Testing Completed (Sudheer)</t>
  </si>
  <si>
    <t>2.1 Sprint 2 - Stretch</t>
  </si>
  <si>
    <t>Testing is In Progress</t>
  </si>
  <si>
    <t>Fix in Progress</t>
  </si>
  <si>
    <t>Meal Orders(v2.0) - Reports - Order Receipts - Run Report - UI</t>
  </si>
  <si>
    <t>https://dev.azure.com/heartlandschools/Meal%20Orders/_git/Meal%20Orders/pullrequest/37900</t>
  </si>
  <si>
    <t>No comments</t>
  </si>
  <si>
    <t>Meal Orders(v2.0) - Reports - Order Receipts - Schedule Report - Integration</t>
  </si>
  <si>
    <t>Meal Orders (v2.1) - Redesign Ordering Landing Page with 'Student Cards' - Parent/Student Side (Dev only)</t>
  </si>
  <si>
    <t>https://dev.azure.com/heartlandschools/Meal%20Orders/_git/Meal%20Orders/pullrequest/38013</t>
  </si>
  <si>
    <t>This story is owned by Onsite developer(Rachel), As she requested to support for fixes offhore developer (Kiruthiga) assited her and completed fixes(Count :4)</t>
  </si>
  <si>
    <t>2.1 Sprint 1(Stretch)</t>
  </si>
  <si>
    <t>Meal Orders (v2.0)- Automation regression issue fixes</t>
  </si>
  <si>
    <t>2.1 Sprint 1 (Stretch)</t>
  </si>
  <si>
    <t>Meal Orders(v2.1) - Stock Management - Admin - District Settings (UI - Dev Only)</t>
  </si>
  <si>
    <t>Meal Order- Filter modal closed and opened again on changing any value.</t>
  </si>
  <si>
    <t>https://dev.azure.com/heartlandschools/Meal%20Orders/_git/Meal%20Orders/pullrequest/38011</t>
  </si>
  <si>
    <t>Ready for testing</t>
  </si>
  <si>
    <t>https://dev.azure.com/heartlandschools/Meal%20Orders/_git/Meal%20Orders/pullrequest/37990</t>
  </si>
  <si>
    <t>Meal Orders - Admin - Menu Item Restrictions increase &amp; decrease quantity button low contrast</t>
  </si>
  <si>
    <t>https://dev.azure.com/heartlandschools/Meal%20Orders/_git/Meal%20Orders/pullrequest/37989</t>
  </si>
  <si>
    <t>Meal Orders - Regression defects (unreleased)</t>
  </si>
  <si>
    <t>Meal Orders - Regression defects (non-PIF)</t>
  </si>
  <si>
    <t>https://dev.azure.com/heartlandschools/Meal%20Orders/_git/Meal%20Orders/pullrequest/37872</t>
  </si>
  <si>
    <t>Meal Orders(v2.1) - Receipt Scheduler - Design Analysis and Discovery</t>
  </si>
  <si>
    <t>2.1 Sprint 1 - Stretch</t>
  </si>
  <si>
    <t>Conditional logic</t>
  </si>
  <si>
    <t>In progress</t>
  </si>
  <si>
    <t>https://dev.azure.com/heartlandschools/Meal%20Orders/_git/Meal%20Orders/pullrequest/37703</t>
  </si>
  <si>
    <t>Button rename Print Receipt to Print Receipt(s)</t>
  </si>
  <si>
    <t>bounce back added</t>
  </si>
  <si>
    <t>Meal Orders (2.0) - Regression - Parent</t>
  </si>
  <si>
    <t xml:space="preserve">Meal Orders(v2.0) - Reports - Order Receipts - Schedule Report - Integration	
</t>
  </si>
  <si>
    <t>https://dev.azure.com/heartlandschools/Meal%20Orders/_git/Meal%20Orders/pullrequest/37729</t>
  </si>
  <si>
    <t>Email body text changes</t>
  </si>
  <si>
    <t>Meal Orders (2.0) - Regression - Teacher</t>
  </si>
  <si>
    <t>Meal Orders (2.0) - Regression - Admin</t>
  </si>
  <si>
    <t>2.0 Sprint8</t>
  </si>
  <si>
    <t>Meal Orders(v2.0) - Reports - Order Receipts - Run Report - UI(Dev Only)</t>
  </si>
  <si>
    <t>https://dev.azure.com/heartlandschools/Meal%20Orders/_git/Meal%20Orders/pullrequest/37643</t>
  </si>
  <si>
    <t>Kiruthiga / Sarath</t>
  </si>
  <si>
    <t>Story being developed</t>
  </si>
  <si>
    <t>Meal Orders(v2.0) - Reports - Order Receipts - Schedule Report - UI(Dev Only)</t>
  </si>
  <si>
    <t>Technical difficulty to achive desired UI through Dev express</t>
  </si>
  <si>
    <t>45025	Meal Orders (v2.0) - Reports - Student POS Labels</t>
  </si>
  <si>
    <t>https://dev.azure.com/heartlandschools/Meal%20Orders/_git/Meal%20Orders/pullrequest/37596</t>
  </si>
  <si>
    <t>Meal Orders (v2.0) - Reports - Student Tray Labels</t>
  </si>
  <si>
    <t>https://dev.azure.com/heartlandschools/Meal%20Orders/_git/Meal%20Orders/pullrequest/37618</t>
  </si>
  <si>
    <t>Meal Orders(v2.0) - Reports - Order Receipts - Run Report - Integration</t>
  </si>
  <si>
    <t>Not yet Started</t>
  </si>
  <si>
    <t>Meal Orders (v2.0) - Receipt Printing - Template Creation - Save and Save Confirmation</t>
  </si>
  <si>
    <t>https://dev.azure.com/heartlandschools/Meal%20Orders/_git/Meal%20Orders/pullrequest/37248</t>
  </si>
  <si>
    <t>Move Set as default Template toggle to top of the tab</t>
  </si>
  <si>
    <t>Meal Orders(v2.0) - Receipt Scheduler - Design Analysis and Discovery</t>
  </si>
  <si>
    <t>On Hold</t>
  </si>
  <si>
    <t>It is a discovery story for clould printing - Triggering print job from scheduler is not feasible and feature is on hold</t>
  </si>
  <si>
    <t>2.0 Sprint 6 Stretch</t>
  </si>
  <si>
    <t>Meal Orders(v2.0) - Receipt Printing - Remove the Enable Receipt Printing Toggle</t>
  </si>
  <si>
    <t>https://dev.azure.com/heartlandschools/Meal%20Orders/_git/Meal%20Orders/pullrequest/37372</t>
  </si>
  <si>
    <t>Meal Orders(v2.0) - Receipt Printing - Feature Flag</t>
  </si>
  <si>
    <t>https://dev.azure.com/heartlandschools/Meal%20Orders/_git/Meal%20Orders/pullrequest/37344</t>
  </si>
  <si>
    <t>Meal Orders(v2.0) - Receipt Printing - Template Preview and Default Template Selection</t>
  </si>
  <si>
    <t>https://dev.azure.com/heartlandschools/Meal%20Orders/_git/Meal%20Orders/pullrequest/37343</t>
  </si>
  <si>
    <t>1. Datatype change from string to ObjectId</t>
  </si>
  <si>
    <t>Ruban/Sarath</t>
  </si>
  <si>
    <t>Meal Orders (v2.0) - Reports - Student POS Labels</t>
  </si>
  <si>
    <t xml:space="preserve">2.0 Sprint 6 </t>
  </si>
  <si>
    <t>Meal Orders - Total price mismatched when we add normal customization more than one quantity at parent ordering</t>
  </si>
  <si>
    <t>https://dev.azure.com/heartlandschools/Meal%20Orders/_git/Meal%20Orders/pullrequest/37231</t>
  </si>
  <si>
    <t>31/05/2024</t>
  </si>
  <si>
    <t>Meal Orders Team</t>
  </si>
  <si>
    <t>Hotfix</t>
  </si>
  <si>
    <t>Production Issue - Order Price Mismatch</t>
  </si>
  <si>
    <t>Meal Orders (v2.0) - Receipt Printing - Template Creation - Text Size Selection</t>
  </si>
  <si>
    <t>No findings</t>
  </si>
  <si>
    <t>here, Good morningPOV video clip for the story - 44665  --- Meal Orders (v2.0) - Receipt Printing - Template Creation - Save and Save Confirmation</t>
  </si>
  <si>
    <t>https://dev.azure.com/heartlandschools/Meal%20Orders/_git/Meal%20Orders/pullrequest/37119</t>
  </si>
  <si>
    <t>1. Reimbursable Meal - * before the Pricing
2. Template Name -
Alert message can be shown below the field (or) We can make the Important note in black color font and keep the alert text there (This option is not good, considering we show all important notes in Red Color font)
3. Preview for Student Receipt and Teacher Receipt - TBD
4. Dynamically remove fields with no data (instead of "N/A") if the Teacher Order has any Individual Order  Fields
5. For Information that is available but there is no valid input (applicable for respective Ordering Parameter but without valid input)
For Teacher ---- Order Notes, Item Allergen show as None
For Parent --- Grade, Homeroom, Order Notes, Student Allergen, Item Allergen show as None
6. If the User selects Download, once Download is completed (Download Directly to the Folder) and after completing the print action, the user will be seeing the dropdown open with the option</t>
  </si>
  <si>
    <t>Multiple suggestions added</t>
  </si>
  <si>
    <t>Meal Orders (v2.0) - Student POS Labels - Label Templates - Update Font Style Options</t>
  </si>
  <si>
    <t>https://dev.azure.com/heartlandschools/Meal%20Orders/_git/Meal%20Orders/pullrequest/36950</t>
  </si>
  <si>
    <t>Meal Orders (v2.0) - Student Tray Labels - Label Templates - Update Font Style Options</t>
  </si>
  <si>
    <t>2.0 Sprint 5 Stretch</t>
  </si>
  <si>
    <t>Ruban &amp; Kiruthiga</t>
  </si>
  <si>
    <t>https://dev.azure.com/heartlandschools/Meal%20Orders/_git/Meal%20Orders/pullrequest/37082</t>
  </si>
  <si>
    <t>Meal Orders - Discard Unsaved Changes in Receipt Template</t>
  </si>
  <si>
    <t>Ruban/Preethi</t>
  </si>
  <si>
    <t>Ruban / Kiruthiga</t>
  </si>
  <si>
    <t>https://dev.azure.com/heartlandschools/Meal%20Orders/_git/Meal%20Orders/pullrequest/37083</t>
  </si>
  <si>
    <t>Dev Completed</t>
  </si>
  <si>
    <t>Changes done, But related story 44665 changes need to integrate and test once before creating branch/PR.</t>
  </si>
  <si>
    <t>In POV</t>
  </si>
  <si>
    <t>https://dev.azure.com/heartlandschools/Meal%20Orders/_git/Meal%20Orders/pullrequest/37194</t>
  </si>
  <si>
    <t>Meal Orders (v2.0) - Receipt Printing - Receipt Template - Cloning the Templates</t>
  </si>
  <si>
    <t>https://dev.azure.com/heartlandschools/Meal%20Orders/_git/Meal%20Orders/pullrequest/37045</t>
  </si>
  <si>
    <t>Design_Issues</t>
  </si>
  <si>
    <t>Meal Orders (v2.0) - Receipt Printing - Integrating Receipt Template with the Order Management Grid (New Change after POV)</t>
  </si>
  <si>
    <t>https://dev.azure.com/heartlandschools/Meal%20Orders/_git/Meal%20Orders/pullrequest/36826</t>
  </si>
  <si>
    <t>2.0 Sprint 4 - Stretch</t>
  </si>
  <si>
    <t>Meal Orders 2.0 - Sprint 4 Sentral Support</t>
  </si>
  <si>
    <t>Meal Orders (v2.0) - Receipt Printing - Receipt Template - Output/Preview</t>
  </si>
  <si>
    <t>1. Rename the css class</t>
  </si>
  <si>
    <t>https://dev.azure.com/heartlandschools/Meal%20Orders/_git/Meal%20Orders/pullrequest/36823</t>
  </si>
  <si>
    <t>Meal Orders(v2.0) - Menu Templates - Toggle to Show Selected Menu Item(s) - Select All</t>
  </si>
  <si>
    <t>https://dev.azure.com/heartlandschools/Meal%20Orders/_git/Meal%20Orders/pullrequest/36853</t>
  </si>
  <si>
    <t>Meal Orders(v2.0) - Feature Flag for Receipt Printing for Sentral - AUS</t>
  </si>
  <si>
    <t>https://dev.azure.com/heartlandschools/Meal%20Orders/_git/Meal%20Orders/pullrequest/36854</t>
  </si>
  <si>
    <t>Meal Orders - Receipt Printing - Closing receipt printing causes order management grid to appear</t>
  </si>
  <si>
    <t>https://dev.azure.com/heartlandschools/Meal%20Orders/_git/Meal%20Orders/pullrequest/36881</t>
  </si>
  <si>
    <t xml:space="preserve">In Progress </t>
  </si>
  <si>
    <t>Peer review</t>
  </si>
  <si>
    <t>Small condition change</t>
  </si>
  <si>
    <t>Meal Orders - NSLP Integration - Mosaic FOH - Preventing Status Changes while Allowing Admin Cancellation</t>
  </si>
  <si>
    <t>No Findings</t>
  </si>
  <si>
    <t>https://dev.azure.com/heartlandschools/Meal%20Orders/_git/Meal%20Orders/pullrequest/36793</t>
  </si>
  <si>
    <t>Meal Orders(v2.0) - Parent/Student and Teacher - UI enhancements in ordering experience</t>
  </si>
  <si>
    <t>https://dev.azure.com/heartlandschools/Meal%20Orders/_git/Meal%20Orders/pullrequest/36899</t>
  </si>
  <si>
    <t>Existing_Issue</t>
  </si>
  <si>
    <t>Meal Orders (v2.0) - Tech Debt &amp; Discovery - Network Printer Setup for Receipt Printing(Timeboxed)</t>
  </si>
  <si>
    <t>Meal Orders (v2.0) -Regression Automation implementation on Order management Test Cases</t>
  </si>
  <si>
    <t>https://dev.azure.com/heartlandschools/Meal%20Orders/_git/Meal%20Orders/pullrequest/36672</t>
  </si>
  <si>
    <t>Meal Orders(v2.0) - Menu Templates - Toggle to Show Selected Menu Item(s)</t>
  </si>
  <si>
    <t>1. Variable name need to change 2. Click event code logic need to move to separate method and that should be called.</t>
  </si>
  <si>
    <t>https://dev.azure.com/heartlandschools/Meal%20Orders/_git/Meal%20Orders/pullrequest/36640</t>
  </si>
  <si>
    <t>Mike Yount</t>
  </si>
  <si>
    <t xml:space="preserve">Scope Creep 
Introduced validations and changed the flow </t>
  </si>
  <si>
    <t>Testing</t>
  </si>
  <si>
    <t>It has new design changes so we addressed and delivered the different commits to meet the requirement. 
https://dev.azure.com/heartlandschools/Meal%20Orders/_git/Meal%20Orders/pullrequest/36640
https://dev.azure.com/heartlandschools/Meal%20Orders/_git/Meal%20Orders/pullrequest/36678
https://dev.azure.com/heartlandschools/Meal%20Orders/_git/Meal%20Orders/pullrequest/36722</t>
  </si>
  <si>
    <t>2.0 Sprint 3 Stretch</t>
  </si>
  <si>
    <t>Devlopment is in progress</t>
  </si>
  <si>
    <t xml:space="preserve">In progress </t>
  </si>
  <si>
    <t>After POV we have few changes related to receipt printing and the download action.</t>
  </si>
  <si>
    <t>Meal Orders 2.0 - Sprint 3 Sentral Support</t>
  </si>
  <si>
    <t>Meal Orders (v2.0) - Receipt Printing - Order Management - Print Output</t>
  </si>
  <si>
    <t>Meal Orders (v2.0) - Receipt Printing - Order Management - Receipt Time Stamp</t>
  </si>
  <si>
    <t>Meal Orders (v2.0) - Mobile Compatibility for Parent/Student and Teacher Ordering</t>
  </si>
  <si>
    <t>https://dev.azure.com/heartlandschools/Meal%20Orders/_git/Meal%20Orders/pullrequest/36737</t>
  </si>
  <si>
    <t>Richard B</t>
  </si>
  <si>
    <t>44295	Meal Orders (v2.0) - Receipt Printing - Integrating Receipt Template with the Order Management Grid (Dev)</t>
  </si>
  <si>
    <t>No Finding</t>
  </si>
  <si>
    <t>Sarth</t>
  </si>
  <si>
    <t>https://dev.azure.com/heartlandschools/Meal%20Orders/_git/Meal%20Orders/pullrequest/36490?_a=files</t>
  </si>
  <si>
    <t>Meal Orders - Menu Item &amp; Template - Replace local image with drag and drop or click not working</t>
  </si>
  <si>
    <t>https://dev.azure.com/heartlandschools/Meal%20Orders/_git/Meal%20Orders/pullrequest/36365</t>
  </si>
  <si>
    <t>2.0 Sprint 2 - Stretch</t>
  </si>
  <si>
    <t>Suggested few design changes, updated the same in story ticket.</t>
  </si>
  <si>
    <t>Design changed in client POV, so have some changes to do.</t>
  </si>
  <si>
    <t>Meal Orders (v2.0) - Sentral Testing &amp; Support</t>
  </si>
  <si>
    <t xml:space="preserve">Completed 3 test cases out of 5 test cases </t>
  </si>
  <si>
    <t>Meal Orders (v2.0) - Receipt Printing - Tracking Student and Item allergens in the Order Details</t>
  </si>
  <si>
    <t>https://dev.azure.com/heartlandschools/Meal%20Orders/_git/Meal%20Orders/pullrequest/36466</t>
  </si>
  <si>
    <t xml:space="preserve">No Comments </t>
  </si>
  <si>
    <t>Meal Orders(v2.0) - Hide Past Menus for Parent and Teacher</t>
  </si>
  <si>
    <t>https://dev.azure.com/heartlandschools/Meal%20Orders/_git/Meal%20Orders/pullrequest/36411</t>
  </si>
  <si>
    <t>Meal Orders (v2.?) - Menu Templates - Selected menu items not visible after setting Item Type filter/Item Type filter dropdown order should be static</t>
  </si>
  <si>
    <t>Meal Orders (v?.?) Menu Templates - Daily Menu added from calendar set shows incorrect serving period selection when editing</t>
  </si>
  <si>
    <t>Meal Orders (v?.?) - Admin Menu Calendar - Drag and drop "x more" text results in "(unnamed)" template</t>
  </si>
  <si>
    <t>2.0 Sprint 1  Stretch</t>
  </si>
  <si>
    <t>Meal Orders (v1.9) - Admin - Unsplash images not able to be deleted after saving</t>
  </si>
  <si>
    <t>Meal Orders(2.0) - Visibility of Menu Templates (Admin, Parent &amp; Teacher)</t>
  </si>
  <si>
    <t>The search results popup was closing immediately instead of displaying the images from the last page when the user clicks on the last page.</t>
  </si>
  <si>
    <t>Meal Orders (v2.?) - Image is not visible for user, When upload the Image by using drag and drop option.</t>
  </si>
  <si>
    <t>Meal Orders (v?.?) Parent &amp; Teacher - No Service Day description text cut off at certain browser zoom/screen resolution settings</t>
  </si>
  <si>
    <t>1.9 Sprint 4 Stretch</t>
  </si>
  <si>
    <t>Meal Orders (v2.0) - Receipt Printing - Receipt Template - UI - Part 2 - Additional Requirements</t>
  </si>
  <si>
    <t>https://dev.azure.com/heartlandschools/Meal%20Orders/_git/Meal%20Orders/pullrequest/36054</t>
  </si>
  <si>
    <t>Font popup should fit within the Popup screen</t>
  </si>
  <si>
    <t>Additional New Requirements from Client with respect to new design(Remove all the Field Fonts
Change the A Brush icon to only A
Icon change - Mike shared - Remove Paint Brush
Font Color - Change the color
Font Style, Alignment, Size - Show Background change with light blue as in the image for all the selections inside
Custom Text:-
Please enter your custom text here (Grey Text) - Border Red
Remove Field name for Custom Text in Preview and Run Report irrespective of the Field name is ON/OFF
Section Break: Disable the Formatting Option)</t>
  </si>
  <si>
    <t>Meal Orders - 1.9 - Sentral Support - Pricing Toggle and Menu Calendar UI Testing</t>
  </si>
  <si>
    <t>It is a testing task</t>
  </si>
  <si>
    <t>Mealorders (v1.9) - Student Tray Labels - Label Templates Library Preview</t>
  </si>
  <si>
    <t>https://dev.azure.com/heartlandschools/Meal%20Orders/_git/Meal%20Orders/pullrequest/35911</t>
  </si>
  <si>
    <t>Mealorders (v1.9) - Student POS Labels - Label Templates Library Preview</t>
  </si>
  <si>
    <t>Meal Orders (1.?) - Orders - Date picker not selecting/displaying the correct date(s)</t>
  </si>
  <si>
    <t>https://dev.azure.com/heartlandschools/Meal%20Orders/_git/Meal%20Orders/pullrequest/35869</t>
  </si>
  <si>
    <t>Meal Orders (v1.?) - Reports - Student Tray Labels report Menu Item parameter non-functional</t>
  </si>
  <si>
    <t>https://dev.azure.com/heartlandschools/Meal%20Orders/_git/Meal%20Orders/pullrequest/35894</t>
  </si>
  <si>
    <t>Meal Orders (1.9) - Regression - Parent</t>
  </si>
  <si>
    <t>Meal Orders (1.9) - Regression - Teacher</t>
  </si>
  <si>
    <t>Meal Orders (v1.9 Regression) - Parent &amp; Teacher - Current day indication on calendar does not align with current day of district's set timezone</t>
  </si>
  <si>
    <t>https://dev.azure.com/heartlandschools/Meal%20Orders/_git/Meal%20Orders/pullrequest/35961</t>
  </si>
  <si>
    <t>Meal Orders (v?.?) - Menu Templates - Unchecking a selected menu item removes the checkmark but does not remove the selection</t>
  </si>
  <si>
    <t>https://dev.azure.com/heartlandschools/Meal%20Orders/_git/Meal%20Orders/pullrequest/36002</t>
  </si>
  <si>
    <t>Meal Orders (1.9) - Regression - Order Management screen - Render error &amp; Filter Data refresh issue</t>
  </si>
  <si>
    <t>https://dev.azure.com/heartlandschools/Meal%20Orders/_git/Meal%20Orders/pullrequest/36001</t>
  </si>
  <si>
    <t>Meal Orders (1.9) - Parent &amp; Teacher - Validation popup showing repeatedly for each menu template after the menu item is inactivated</t>
  </si>
  <si>
    <t>https://dev.azure.com/heartlandschools/Meal%20Orders/_git/Meal%20Orders/pullrequest/35995</t>
  </si>
  <si>
    <t>Meal Orders (v1.9) - Receipt Printing - Receipt Template - UI</t>
  </si>
  <si>
    <t>https://dev.azure.com/heartlandschools/Meal%20Orders/_git/Meal%20Orders/pullrequest/35813</t>
  </si>
  <si>
    <t>There are couple of additional requirements added during POV</t>
  </si>
  <si>
    <t>Mealorders (v1.9) - Class Delivery - Adding Order Notes and Item Allergens</t>
  </si>
  <si>
    <t>https://dev.azure.com/heartlandschools/Meal%20Orders/_git/Meal%20Orders/pullrequest/35696</t>
  </si>
  <si>
    <t xml:space="preserve">The developer suggested a different layout for the grid view report for an effective design, considering this report consists of two report views. Client PO accepted the suggestion and approved the change. So it would be an additional effort. </t>
  </si>
  <si>
    <t>Additional AC</t>
  </si>
  <si>
    <t>Meal Orders - Associate Automation test cases with Azure Devops Test Cases</t>
  </si>
  <si>
    <t>Meal Orders (v1.?) - Reports - Student Tray Label custom label template printing misalignment</t>
  </si>
  <si>
    <t>https://dev.azure.com/heartlandschools/Meal%20Orders/_git/Meal%20Orders/pullrequest/35717</t>
  </si>
  <si>
    <t>1.9 Sprint 3 Stretch</t>
  </si>
  <si>
    <t>Meal Orders (v1.9) - Tray Labels - Parameter Option for 1 Menu Item per Label [Customer Request]</t>
  </si>
  <si>
    <t>https://dev.azure.com/heartlandschools/Meal%20Orders/_git/Meal%20Orders/pullrequest/35806</t>
  </si>
  <si>
    <t>Development completed, testing is inprogress</t>
  </si>
  <si>
    <t>Meal Orders (v1.9) - POS Labels - Parameter Option for 1 Menu Item per Label [Customer Request]</t>
  </si>
  <si>
    <t>https://dev.azure.com/heartlandschools/Meal%20Orders/_git/Meal%20Orders/pullrequest/35808</t>
  </si>
  <si>
    <t xml:space="preserve">2.0 Sprint 1 </t>
  </si>
  <si>
    <t>https://dev.azure.com/heartlandschools/Meal%20Orders/_git/Meal%20Orders/pullrequest/36117</t>
  </si>
  <si>
    <t>Meal Orders (v2.0) - Receipt Printing - Order Management - Integration</t>
  </si>
  <si>
    <t>Drop drown not refreshed for first template</t>
  </si>
  <si>
    <t>https://dev.azure.com/heartlandschools/Meal%20Orders/_git/Meal%20Orders/pullrequest/36286</t>
  </si>
  <si>
    <t>Minor suggestion on duplicate template name validation and delete button renaming</t>
  </si>
  <si>
    <t>Meal Orders - Automation - Adding Automation Regression scripts for Menu Calendar - Sites And Settings -Sites</t>
  </si>
  <si>
    <t>change to displayName = "Display Name";</t>
  </si>
  <si>
    <t>https://dev.azure.com/heartlandschools/Meal%20Orders/_git/Meal%20Orders/pullrequest/36288</t>
  </si>
  <si>
    <t>https://dev.azure.com/heartlandschools/Meal%20Orders/_git/Meal%20Orders/pullrequest/36147</t>
  </si>
  <si>
    <t>https://dev.azure.com/heartlandschools/Meal%20Orders/_git/Meal%20Orders/pullrequest/36148</t>
  </si>
  <si>
    <t>https://dev.azure.com/heartlandschools/Meal%20Orders/_git/Meal%20Orders/pullrequest/36149</t>
  </si>
  <si>
    <t>https://dev.azure.com/heartlandschools/Meal%20Orders/_git/Meal%20Orders/pullrequest/36198</t>
  </si>
  <si>
    <t>https://dev.azure.com/heartlandschools/Meal%20Orders/_git/Meal%20Orders/pullrequest/36151</t>
  </si>
  <si>
    <t>This issue related to the unsplash image pagination, we cant able to get the 200+ page count in api request. Need to check with the production and development setup of unsplash api</t>
  </si>
  <si>
    <t>https://dev.azure.com/heartlandschools/Meal%20Orders/_git/Meal%20Orders/pullrequest/36242</t>
  </si>
  <si>
    <t>https://dev.azure.com/heartlandschools/Meal%20Orders/_git/Meal%20Orders/pullrequest/36258</t>
  </si>
  <si>
    <t>Meal Orders (v1.9) - Receipt Printing - Order Management - Filters</t>
  </si>
  <si>
    <t>1. Method type should be Get 2. Seeing settimeout in handleChange method , Is there any delay without settimeout ? 3. Same props in two different classes 4. Seeing this same method in multiple files
move to common file</t>
  </si>
  <si>
    <t>https://dev.azure.com/heartlandschools/Meal%20Orders/_git/Meal%20Orders/pullrequest/35503</t>
  </si>
  <si>
    <t>Mike yount</t>
  </si>
  <si>
    <t>Devops build issue due to package version.</t>
  </si>
  <si>
    <t>Underestimated, This story includes multiple sub-task and it is not possible to complete with in sprint. Intimated to client about the actual effort effort and challenges. COmmunicated to client after few days , raised this to PO on day 1. UI design is partially completed.</t>
  </si>
  <si>
    <t>1.9 Sprint 2 Stretch</t>
  </si>
  <si>
    <t>Meal Orders(v1.9) - Parent/Student &amp; Teacher - UTC Time zone</t>
  </si>
  <si>
    <t xml:space="preserve">Conditional logic change to support UI and story book </t>
  </si>
  <si>
    <t>https://dev.azure.com/heartlandschools/Meal%20Orders/_git/Meal%20Orders/pullrequest/35523</t>
  </si>
  <si>
    <t>Meal Orders(v1.9) - Admin Order Reactivation - Description of Alert should be corrected</t>
  </si>
  <si>
    <t>https://dev.azure.com/heartlandschools/Meal%20Orders/_git/Meal%20Orders/pullrequest/35504</t>
  </si>
  <si>
    <t>Meal Orders - Automation - Menu Items</t>
  </si>
  <si>
    <t>https://dev.azure.com/heartlandschools/Meal%20Orders/_git/Meal%20Orders/pullrequest/35515</t>
  </si>
  <si>
    <t>Meal Orders(v1.9) - Report Inbox &amp; Scheduled Reports - Show "Schedule Details" in the Actions Dropdown</t>
  </si>
  <si>
    <t>There was a suggestion mentioned by Kiruthiga and the Client accepted her suggestion and appreciated in POV Meeting</t>
  </si>
  <si>
    <t>Actual SP: 5 - Dev, 3-QA</t>
  </si>
  <si>
    <t>Mealorders (v1.9) - Student Tray Labels - Custom Label Reports - Adding Order Notes and Allergens to the Fields</t>
  </si>
  <si>
    <t>Mealorders (v1.9) - Student POS Labels - Custom Label Reports - Adding Order Notes and Allergens to the Fields</t>
  </si>
  <si>
    <t>Mealorders (v1.9) - Student Fulfillment - Adding Order Notes and Student &amp; Item Allergens</t>
  </si>
  <si>
    <t>Include Order notes and Allergens into schedule detail</t>
  </si>
  <si>
    <t>Meal Orders (v1.9) - Receipt Printing - Order Management - UI (dev only)</t>
  </si>
  <si>
    <t>Meal Orders (v1.8) - Parent - Customization and tax price added to cart when site pricing is off</t>
  </si>
  <si>
    <t>1.9 Sprint 1 Stretch</t>
  </si>
  <si>
    <t>Meal Orders (v1.?) - Reports - Report filters being removed when changes are made to Schedule Options</t>
  </si>
  <si>
    <t>Meal Orders(v1.9) - Parent/Student &amp; Teacher - Automatic cart not enforcing selection required If we make change after adding to cart</t>
  </si>
  <si>
    <t>Meal Orders(v1.9) - Receipt Printing - District Settings</t>
  </si>
  <si>
    <t>Team</t>
  </si>
  <si>
    <t>Meal Orders(1.8) - Regression - Report</t>
  </si>
  <si>
    <t>Regression story, contribution from all the team members.</t>
  </si>
  <si>
    <t>Meal Orders (1.8) - Regression - Teacher</t>
  </si>
  <si>
    <t>Meal Orders (1.8) - Regression - Parent</t>
  </si>
  <si>
    <t>Meal Orders (1.8) - Regression - Admin</t>
  </si>
  <si>
    <t>1.8 Sprint 3 Stretch</t>
  </si>
  <si>
    <t>Development is in progress</t>
  </si>
  <si>
    <t>Meal Orders(v1.8) - POS and Tray Label Templates - Grade and Homeroom Resets Automatically</t>
  </si>
  <si>
    <t xml:space="preserve">Development </t>
  </si>
  <si>
    <t>Regression Defect</t>
  </si>
  <si>
    <t>I am seeing menu template name alone at parent ordering screen , When we make the menu items under that menu template as inactive</t>
  </si>
  <si>
    <t xml:space="preserve">Integration Slot - No Order Confirmation - Templates showing in Teacher when the Toggle is Off/On with an existing no order submission </t>
  </si>
  <si>
    <r>
      <rPr>
        <sz val="10"/>
        <rFont val="Arial"/>
      </rPr>
      <t xml:space="preserve">No Order Confirmation is not displaying for future dates in the Teacher
</t>
    </r>
    <r>
      <rPr>
        <u/>
        <sz val="10"/>
        <color rgb="FF1155CC"/>
        <rFont val="Arial"/>
      </rPr>
      <t>https://heartlandschools.axosoft.com/viewitem?id=22687&amp;type=defects&amp;force_use_number=false</t>
    </r>
  </si>
  <si>
    <t>The CDN path is missing /Public/ images that were uploaded are broken</t>
  </si>
  <si>
    <t>Just App Settings update was required and Moose taken care of it</t>
  </si>
  <si>
    <t>Tool tip is missing from ClassRoom Delivery Report "condensed view" field</t>
  </si>
  <si>
    <t>Fix already in 1.8 release. No code fix required</t>
  </si>
  <si>
    <t xml:space="preserve">Student Tray Labels - Picking starting Column Row causes report to print &lt;li&gt; </t>
  </si>
  <si>
    <t>Item with a customization group that has a customization limit set is allowing for unlimited customizations to be selected when parent/student is ordering. Other customization options not turning to read only when cusomization limit is reached.</t>
  </si>
  <si>
    <t>Parent - Cart Submission</t>
  </si>
  <si>
    <t>Classroom Delivery - Schedule Reports</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</si>
  <si>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</si>
  <si>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</si>
  <si>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</si>
  <si>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</si>
  <si>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</si>
  <si>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</si>
  <si>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</si>
  <si>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</si>
  <si>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</si>
  <si>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</si>
  <si>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</si>
  <si>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</si>
  <si>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</si>
  <si>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</si>
  <si>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</si>
  <si>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Product Owner - Verify</t>
  </si>
  <si>
    <t>Defect Found</t>
  </si>
  <si>
    <t>Defect Verified</t>
  </si>
  <si>
    <t>Defect Rejected</t>
  </si>
  <si>
    <t>Defect Needs More Info</t>
  </si>
  <si>
    <t>Defect Blocked</t>
  </si>
  <si>
    <t xml:space="preserve">1. Order test cases are failed Since  Bulk Order Cancel dropdown added into Order management screen (Completed )
2. Stock Management test case got failed since UI changes (Completed )
3.Added New automation script for Bulk Order Cancellation functionality (Completed )
4. Few data related issues and time out issue (Yet to complete) 5. Requried associate the automation with the test case from Visual Studio to Azure.(Yet to complete) </t>
  </si>
  <si>
    <t xml:space="preserve">(Regression) Meal Orders - Parent - Inactive Special diet displayed	
</t>
  </si>
  <si>
    <t>2.5 Kaleida Nutrition S6 Stretch</t>
  </si>
  <si>
    <t>2.5 Kaleida Nutrition S7 Stretch</t>
  </si>
  <si>
    <t>2.5 Kaleida Nutrition S8 Stretch</t>
  </si>
  <si>
    <t>2.5 Kaleida Nutrition S9 Stretch</t>
  </si>
  <si>
    <t>2.5 KaleidaNutrition S10 Stretch</t>
  </si>
  <si>
    <t>2.5 KaleidaNutrition S13 Stretch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</si>
</sst>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409]d\-mmm\-yyyy;@"/>
    <numFmt numFmtId="166" formatCode="[$-409]dd\-mmm\-yy;@"/>
  </numFmts>
  <fonts count="38">
    <font>
      <sz val="10"/>
      <color rgb="FF000000"/>
      <name val="Arial"/>
      <scheme val="minor"/>
    </font>
    <font>
      <b/>
      <sz val="10"/>
      <color rgb="FFFFFFFF"/>
      <name val="Calibri"/>
    </font>
    <font>
      <sz val="10"/>
      <color theme="1"/>
      <name val="Arial"/>
      <scheme val="minor"/>
    </font>
    <font>
      <sz val="10"/>
      <color theme="1"/>
      <name val="Arial"/>
    </font>
    <font>
      <sz val="11"/>
      <color rgb="FF000000"/>
      <name val="&quot;Segoe UI&quot;"/>
    </font>
    <font>
      <sz val="11"/>
      <color rgb="FF000000"/>
      <name val="Arial"/>
    </font>
    <font>
      <sz val="10"/>
      <color rgb="FF1C2933"/>
      <name val="&quot;Helvetica Neue&quot;"/>
    </font>
    <font>
      <sz val="10"/>
      <color rgb="FF000000"/>
      <name val="&quot;Arial&quot;"/>
    </font>
    <font>
      <u/>
      <sz val="10"/>
      <color rgb="FF0000FF"/>
      <name val="Arial"/>
    </font>
    <font>
      <b/>
      <sz val="10"/>
      <color theme="1"/>
      <name val="Arial"/>
      <scheme val="minor"/>
    </font>
    <font>
      <sz val="10"/>
      <name val="Arial"/>
    </font>
    <font>
      <b/>
      <sz val="9"/>
      <color rgb="FFFFFFFF"/>
      <name val="&quot;Proxima Nova&quot;"/>
    </font>
    <font>
      <sz val="10"/>
      <color theme="1"/>
      <name val="&quot;Proxima Nova&quot;"/>
    </font>
    <font>
      <u/>
      <sz val="10"/>
      <color rgb="FF1155CC"/>
      <name val="Arial"/>
    </font>
    <font>
      <u/>
      <sz val="10"/>
      <color theme="10"/>
      <name val="Arial"/>
      <scheme val="minor"/>
    </font>
    <font>
      <sz val="10"/>
      <color rgb="FF000000"/>
      <name val="Arial"/>
      <charset val="1"/>
    </font>
    <font>
      <sz val="11"/>
      <color rgb="FF000000"/>
      <name val="Aptos Narrow"/>
      <charset val="1"/>
    </font>
    <font>
      <sz val="11"/>
      <color rgb="FF000000"/>
      <name val="Segoe UI"/>
      <charset val="1"/>
    </font>
    <font>
      <b/>
      <sz val="10"/>
      <color rgb="FFFFFFFF"/>
      <name val="Arial"/>
      <scheme val="minor"/>
    </font>
    <font>
      <b/>
      <sz val="10"/>
      <color rgb="FF000000"/>
      <name val="Arial"/>
      <scheme val="minor"/>
    </font>
    <font>
      <b/>
      <sz val="16"/>
      <color theme="1"/>
      <name val="Arial"/>
      <scheme val="minor"/>
    </font>
    <font>
      <sz val="11"/>
      <color rgb="FF1D1C1D"/>
      <name val="Arial"/>
      <scheme val="minor"/>
    </font>
    <font>
      <sz val="10"/>
      <color rgb="FFFF0000"/>
      <name val="Arial"/>
      <scheme val="minor"/>
    </font>
    <font>
      <b/>
      <sz val="10"/>
      <color theme="1"/>
      <name val="Calibri"/>
    </font>
    <font>
      <sz val="11"/>
      <color rgb="FF242424"/>
      <name val="Aptos Narrow"/>
      <charset val="1"/>
    </font>
    <font>
      <sz val="10"/>
      <color rgb="FF1D1C1D"/>
      <name val="Arial"/>
      <charset val="1"/>
    </font>
    <font>
      <sz val="10"/>
      <color rgb="FF2A3E51"/>
      <name val="Arial"/>
      <scheme val="minor"/>
    </font>
    <font>
      <sz val="10"/>
      <color theme="1"/>
      <name val="Arial"/>
      <charset val="1"/>
    </font>
    <font>
      <sz val="11"/>
      <color rgb="FF1D1C1D"/>
      <name val="Slack-Lato"/>
      <charset val="1"/>
    </font>
    <font>
      <b/>
      <sz val="11"/>
      <color rgb="FFFFFFFF"/>
      <name val="Calibri"/>
    </font>
    <font>
      <sz val="10"/>
      <color rgb="FF1C2933"/>
      <name val="Arial"/>
      <charset val="1"/>
    </font>
    <font>
      <sz val="10"/>
      <color theme="10"/>
      <name val="Arial"/>
      <scheme val="minor"/>
    </font>
    <font>
      <sz val="10"/>
      <color rgb="FF1155CC"/>
      <name val="Arial"/>
      <scheme val="minor"/>
    </font>
    <font>
      <sz val="10"/>
      <color theme="0"/>
      <name val="Arial"/>
      <scheme val="minor"/>
    </font>
    <font>
      <sz val="10"/>
      <color rgb="FF1C2933"/>
      <name val="Arial"/>
      <scheme val="minor"/>
    </font>
    <font>
      <b/>
      <sz val="11"/>
      <color rgb="FFFFFFFF"/>
      <name val="Arial"/>
      <scheme val="minor"/>
    </font>
    <font>
      <b/>
      <sz val="10"/>
      <color rgb="FF1C2933"/>
      <name val="Helvetica Neue"/>
      <charset val="1"/>
    </font>
    <font>
      <sz val="10"/>
      <color rgb="FF00B050"/>
      <name val="Arial"/>
      <scheme val="minor"/>
    </font>
  </fonts>
  <fills count="26">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8F8F8"/>
        <bgColor rgb="FFF8F8F8"/>
      </patternFill>
    </fill>
    <fill>
      <patternFill patternType="solid">
        <fgColor rgb="FF97247E"/>
        <bgColor rgb="FF97247E"/>
      </patternFill>
    </fill>
    <fill>
      <patternFill patternType="solid">
        <fgColor rgb="FFFFFFFF"/>
        <bgColor rgb="FFFFFFFF"/>
      </patternFill>
    </fill>
    <fill>
      <patternFill patternType="solid">
        <fgColor rgb="FFD9D9D9"/>
        <bgColor rgb="FFD9D9D9"/>
      </patternFill>
    </fill>
    <fill>
      <patternFill patternType="solid">
        <fgColor theme="7" tint="0.79998168889431442"/>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92D050"/>
        <bgColor indexed="64"/>
      </patternFill>
    </fill>
    <fill>
      <patternFill patternType="solid">
        <fgColor theme="7"/>
        <bgColor indexed="64"/>
      </patternFill>
    </fill>
    <fill>
      <patternFill patternType="solid">
        <fgColor rgb="FF00B050"/>
        <bgColor indexed="64"/>
      </patternFill>
    </fill>
    <fill>
      <patternFill patternType="solid">
        <fgColor theme="4"/>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6"/>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7" tint="-0.249977111117893"/>
        <bgColor indexed="64"/>
      </patternFill>
    </fill>
    <fill>
      <patternFill patternType="solid">
        <fgColor rgb="FFEDF1F2"/>
        <bgColor indexed="64"/>
      </patternFill>
    </fill>
    <fill>
      <patternFill patternType="solid">
        <fgColor theme="8" tint="0.59999389629810485"/>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style="thin">
        <color rgb="FF000000"/>
      </top>
      <bottom style="medium">
        <color rgb="FF000000"/>
      </bottom>
      <diagonal/>
    </border>
    <border>
      <left style="thin">
        <color rgb="FFCCCCCC"/>
      </left>
      <right style="thin">
        <color rgb="FF000000"/>
      </right>
      <top style="thin">
        <color rgb="FF000000"/>
      </top>
      <bottom/>
      <diagonal/>
    </border>
    <border>
      <left style="thin">
        <color rgb="FF000000"/>
      </left>
      <right style="thin">
        <color rgb="FF000000"/>
      </right>
      <top style="thin">
        <color rgb="FF000000"/>
      </top>
      <bottom style="thin">
        <color theme="4" tint="0.39997558519241921"/>
      </bottom>
      <diagonal/>
    </border>
    <border>
      <left style="thin">
        <color rgb="FFCCCCCC"/>
      </left>
      <right style="thin">
        <color rgb="FF000000"/>
      </right>
      <top style="thin">
        <color rgb="FF000000"/>
      </top>
      <bottom style="thin">
        <color theme="4" tint="0.39997558519241921"/>
      </bottom>
      <diagonal/>
    </border>
    <border>
      <left/>
      <right/>
      <top style="thin">
        <color theme="4" tint="0.39997558519241921"/>
      </top>
      <bottom style="thin">
        <color theme="4" tint="0.39997558519241921"/>
      </bottom>
      <diagonal/>
    </border>
    <border>
      <left style="thin">
        <color rgb="FF000000"/>
      </left>
      <right/>
      <top style="thin">
        <color rgb="FF000000"/>
      </top>
      <bottom style="thin">
        <color theme="4" tint="0.39997558519241921"/>
      </bottom>
      <diagonal/>
    </border>
    <border>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D7E0E0"/>
      </left>
      <right style="thin">
        <color rgb="FFD7E0E0"/>
      </right>
      <top style="thin">
        <color rgb="FFD7E0E0"/>
      </top>
      <bottom style="thin">
        <color rgb="FFD7E0E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bottom style="thin">
        <color rgb="FF000000"/>
      </bottom>
      <diagonal/>
    </border>
    <border>
      <left style="thin">
        <color rgb="FF000000"/>
      </left>
      <right style="thin">
        <color rgb="FF000000"/>
      </right>
      <top/>
      <bottom style="thin">
        <color theme="4" tint="0.39997558519241921"/>
      </bottom>
      <diagonal/>
    </border>
    <border>
      <left/>
      <right style="thin">
        <color rgb="FF000000"/>
      </right>
      <top style="thin">
        <color rgb="FF000000"/>
      </top>
      <bottom style="thin">
        <color theme="4" tint="0.39997558519241921"/>
      </bottom>
      <diagonal/>
    </border>
    <border>
      <left/>
      <right/>
      <top style="thin">
        <color rgb="FF000000"/>
      </top>
      <bottom style="medium">
        <color rgb="FF000000"/>
      </bottom>
      <diagonal/>
    </border>
  </borders>
  <cellStyleXfs count="2">
    <xf numFmtId="0" fontId="0" fillId="0" borderId="0"/>
    <xf numFmtId="0" fontId="14" fillId="0" borderId="0" applyNumberFormat="0" applyFill="0" applyBorder="0" applyAlignment="0" applyProtection="0"/>
  </cellStyleXfs>
  <cellXfs count="525">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1" fillId="2" borderId="1" xfId="0" applyFont="1" applyFill="1" applyBorder="1" applyAlignment="1">
      <alignment horizontal="center" wrapText="1"/>
    </xf>
    <xf numFmtId="0" fontId="1" fillId="3" borderId="1" xfId="0" applyFont="1" applyFill="1" applyBorder="1" applyAlignment="1">
      <alignment horizontal="center" wrapText="1"/>
    </xf>
    <xf numFmtId="0" fontId="3" fillId="0" borderId="1" xfId="0" applyFont="1" applyBorder="1" applyAlignment="1">
      <alignment horizontal="right" wrapText="1"/>
    </xf>
    <xf numFmtId="0" fontId="3" fillId="0" borderId="1" xfId="0" applyFont="1" applyBorder="1" applyAlignment="1">
      <alignment horizontal="center" wrapText="1"/>
    </xf>
    <xf numFmtId="0" fontId="2" fillId="0" borderId="1" xfId="0" applyFont="1" applyBorder="1" applyAlignment="1">
      <alignment vertical="center" wrapText="1"/>
    </xf>
    <xf numFmtId="0" fontId="3" fillId="0" borderId="1" xfId="0" applyFont="1" applyBorder="1" applyAlignment="1">
      <alignment wrapText="1"/>
    </xf>
    <xf numFmtId="0" fontId="4" fillId="4" borderId="1" xfId="0" applyFont="1" applyFill="1" applyBorder="1"/>
    <xf numFmtId="164" fontId="3" fillId="0" borderId="1" xfId="0" applyNumberFormat="1" applyFont="1" applyBorder="1" applyAlignment="1">
      <alignment horizontal="center" wrapText="1"/>
    </xf>
    <xf numFmtId="0" fontId="2" fillId="0" borderId="1" xfId="0" applyFont="1" applyBorder="1" applyAlignment="1">
      <alignment wrapText="1"/>
    </xf>
    <xf numFmtId="0" fontId="5" fillId="4" borderId="1" xfId="0" applyFont="1" applyFill="1" applyBorder="1"/>
    <xf numFmtId="0" fontId="4" fillId="4" borderId="0" xfId="0" applyFont="1" applyFill="1"/>
    <xf numFmtId="0" fontId="3" fillId="0" borderId="2" xfId="0" applyFont="1" applyBorder="1" applyAlignment="1">
      <alignment horizontal="center" wrapText="1"/>
    </xf>
    <xf numFmtId="0" fontId="3" fillId="0" borderId="2" xfId="0" applyFont="1" applyBorder="1" applyAlignment="1">
      <alignment wrapText="1"/>
    </xf>
    <xf numFmtId="164" fontId="2" fillId="0" borderId="1" xfId="0" applyNumberFormat="1" applyFont="1" applyBorder="1" applyAlignment="1">
      <alignment wrapText="1"/>
    </xf>
    <xf numFmtId="0" fontId="1" fillId="2" borderId="3" xfId="0" applyFont="1" applyFill="1" applyBorder="1" applyAlignment="1">
      <alignment horizontal="center" wrapText="1"/>
    </xf>
    <xf numFmtId="0" fontId="1" fillId="2" borderId="3" xfId="0" applyFont="1" applyFill="1" applyBorder="1" applyAlignment="1">
      <alignment wrapText="1"/>
    </xf>
    <xf numFmtId="0" fontId="1" fillId="5" borderId="3" xfId="0" applyFont="1" applyFill="1" applyBorder="1" applyAlignment="1">
      <alignment horizontal="center" wrapText="1"/>
    </xf>
    <xf numFmtId="0" fontId="1" fillId="3" borderId="3" xfId="0" applyFont="1" applyFill="1" applyBorder="1" applyAlignment="1">
      <alignment horizontal="center" wrapText="1"/>
    </xf>
    <xf numFmtId="0" fontId="3" fillId="0" borderId="0" xfId="0" applyFont="1"/>
    <xf numFmtId="0" fontId="2" fillId="0" borderId="1" xfId="0" applyFont="1" applyBorder="1" applyAlignment="1">
      <alignment horizontal="center" wrapText="1"/>
    </xf>
    <xf numFmtId="0" fontId="6" fillId="6" borderId="1" xfId="0" applyFont="1" applyFill="1" applyBorder="1" applyAlignment="1">
      <alignment vertical="top" wrapText="1"/>
    </xf>
    <xf numFmtId="0" fontId="5" fillId="6" borderId="1" xfId="0" applyFont="1" applyFill="1" applyBorder="1" applyAlignment="1">
      <alignment wrapText="1"/>
    </xf>
    <xf numFmtId="0" fontId="3" fillId="0" borderId="4" xfId="0" applyFont="1" applyBorder="1" applyAlignment="1">
      <alignment horizontal="right"/>
    </xf>
    <xf numFmtId="0" fontId="3" fillId="0" borderId="2" xfId="0" applyFont="1" applyBorder="1"/>
    <xf numFmtId="0" fontId="3" fillId="0" borderId="2" xfId="0" applyFont="1" applyBorder="1" applyAlignment="1">
      <alignment horizont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0" xfId="0" applyFont="1" applyAlignment="1">
      <alignment horizontal="center"/>
    </xf>
    <xf numFmtId="0" fontId="7" fillId="0" borderId="1" xfId="0" applyFont="1" applyBorder="1" applyAlignment="1">
      <alignment horizontal="center" wrapText="1"/>
    </xf>
    <xf numFmtId="0" fontId="3" fillId="6" borderId="1" xfId="0" applyFont="1" applyFill="1" applyBorder="1" applyAlignment="1">
      <alignment vertical="center" wrapText="1"/>
    </xf>
    <xf numFmtId="0" fontId="8" fillId="0" borderId="1" xfId="0" applyFont="1" applyBorder="1" applyAlignment="1">
      <alignment vertical="center" wrapText="1"/>
    </xf>
    <xf numFmtId="0" fontId="9" fillId="7" borderId="1" xfId="0" applyFont="1" applyFill="1" applyBorder="1"/>
    <xf numFmtId="0" fontId="2" fillId="0" borderId="0" xfId="0" applyFont="1"/>
    <xf numFmtId="0" fontId="11" fillId="5" borderId="1" xfId="0" applyFont="1" applyFill="1" applyBorder="1" applyAlignment="1">
      <alignment horizontal="center"/>
    </xf>
    <xf numFmtId="0" fontId="12" fillId="6" borderId="4" xfId="0" applyFont="1" applyFill="1" applyBorder="1" applyAlignment="1">
      <alignment horizontal="center"/>
    </xf>
    <xf numFmtId="0" fontId="14" fillId="4" borderId="1" xfId="1" applyFill="1" applyBorder="1"/>
    <xf numFmtId="0" fontId="0" fillId="0" borderId="0" xfId="0" applyAlignment="1">
      <alignment wrapText="1"/>
    </xf>
    <xf numFmtId="0" fontId="14" fillId="4" borderId="0" xfId="1" applyFill="1"/>
    <xf numFmtId="0" fontId="6" fillId="6" borderId="1" xfId="0" applyFont="1" applyFill="1" applyBorder="1" applyAlignment="1">
      <alignment horizontal="center" vertical="top" wrapText="1"/>
    </xf>
    <xf numFmtId="0" fontId="0" fillId="0" borderId="0" xfId="0" applyAlignment="1">
      <alignment horizontal="center"/>
    </xf>
    <xf numFmtId="0" fontId="6" fillId="6" borderId="1" xfId="0" applyFont="1" applyFill="1" applyBorder="1" applyAlignment="1">
      <alignment horizontal="center" vertical="center" wrapText="1"/>
    </xf>
    <xf numFmtId="0" fontId="0" fillId="0" borderId="0" xfId="0" applyAlignment="1">
      <alignment horizontal="center" vertical="center"/>
    </xf>
    <xf numFmtId="0" fontId="15" fillId="0" borderId="0" xfId="0" applyFont="1"/>
    <xf numFmtId="14" fontId="0" fillId="0" borderId="1" xfId="0" applyNumberFormat="1" applyBorder="1"/>
    <xf numFmtId="0" fontId="1" fillId="2" borderId="7" xfId="0" applyFont="1" applyFill="1" applyBorder="1" applyAlignment="1">
      <alignment horizontal="center" wrapText="1"/>
    </xf>
    <xf numFmtId="0" fontId="1" fillId="3" borderId="7" xfId="0" applyFont="1" applyFill="1" applyBorder="1" applyAlignment="1">
      <alignment horizontal="center" wrapText="1"/>
    </xf>
    <xf numFmtId="0" fontId="3" fillId="0" borderId="0" xfId="0" applyFont="1" applyAlignment="1">
      <alignment horizontal="center" wrapText="1"/>
    </xf>
    <xf numFmtId="0" fontId="1" fillId="2" borderId="8" xfId="0" applyFont="1" applyFill="1" applyBorder="1" applyAlignment="1">
      <alignment horizontal="center" wrapText="1"/>
    </xf>
    <xf numFmtId="0" fontId="1" fillId="2" borderId="8" xfId="0" applyFont="1" applyFill="1" applyBorder="1" applyAlignment="1">
      <alignment wrapText="1"/>
    </xf>
    <xf numFmtId="0" fontId="1" fillId="5" borderId="8" xfId="0" applyFont="1" applyFill="1" applyBorder="1" applyAlignment="1">
      <alignment horizontal="center" wrapText="1"/>
    </xf>
    <xf numFmtId="0" fontId="1" fillId="3" borderId="8" xfId="0" applyFont="1" applyFill="1" applyBorder="1" applyAlignment="1">
      <alignment horizontal="center" wrapText="1"/>
    </xf>
    <xf numFmtId="0" fontId="0" fillId="0" borderId="1" xfId="0" applyBorder="1" applyAlignment="1">
      <alignment wrapText="1"/>
    </xf>
    <xf numFmtId="0" fontId="14" fillId="4" borderId="1" xfId="1" applyFill="1" applyBorder="1" applyAlignment="1">
      <alignment wrapText="1"/>
    </xf>
    <xf numFmtId="14" fontId="0" fillId="0" borderId="1" xfId="0" applyNumberFormat="1" applyBorder="1" applyAlignment="1">
      <alignment wrapText="1"/>
    </xf>
    <xf numFmtId="0" fontId="15" fillId="0" borderId="1" xfId="0" applyFont="1" applyBorder="1" applyAlignment="1">
      <alignment wrapText="1"/>
    </xf>
    <xf numFmtId="0" fontId="14" fillId="0" borderId="1" xfId="1" applyBorder="1" applyAlignment="1">
      <alignment wrapText="1"/>
    </xf>
    <xf numFmtId="0" fontId="2" fillId="0" borderId="0" xfId="0" applyFont="1" applyAlignment="1">
      <alignment wrapText="1"/>
    </xf>
    <xf numFmtId="0" fontId="1" fillId="3" borderId="1" xfId="0" applyFont="1" applyFill="1" applyBorder="1" applyAlignment="1">
      <alignment wrapText="1"/>
    </xf>
    <xf numFmtId="0" fontId="0" fillId="0" borderId="1" xfId="0" applyBorder="1"/>
    <xf numFmtId="0" fontId="14" fillId="0" borderId="1" xfId="1" applyBorder="1"/>
    <xf numFmtId="0" fontId="0" fillId="0" borderId="1" xfId="0" applyBorder="1" applyAlignment="1">
      <alignment vertical="center"/>
    </xf>
    <xf numFmtId="0" fontId="0" fillId="0" borderId="1" xfId="0" applyBorder="1" applyAlignment="1">
      <alignment horizontal="center"/>
    </xf>
    <xf numFmtId="0" fontId="2" fillId="0" borderId="1" xfId="0" applyFont="1" applyBorder="1" applyAlignment="1">
      <alignment vertical="center"/>
    </xf>
    <xf numFmtId="0" fontId="0" fillId="0" borderId="0" xfId="0" applyAlignment="1">
      <alignment vertical="center"/>
    </xf>
    <xf numFmtId="0" fontId="15" fillId="0" borderId="0" xfId="0" applyFont="1" applyAlignment="1">
      <alignment wrapText="1"/>
    </xf>
    <xf numFmtId="0" fontId="3" fillId="8" borderId="1" xfId="0" applyFont="1" applyFill="1" applyBorder="1" applyAlignment="1">
      <alignment horizontal="center" vertical="center" wrapText="1"/>
    </xf>
    <xf numFmtId="0" fontId="3" fillId="0" borderId="0" xfId="0" applyFont="1" applyAlignment="1">
      <alignment vertical="center" wrapText="1"/>
    </xf>
    <xf numFmtId="0" fontId="3" fillId="0" borderId="7" xfId="0" applyFont="1" applyBorder="1" applyAlignment="1">
      <alignment vertical="center" wrapText="1"/>
    </xf>
    <xf numFmtId="0" fontId="17" fillId="0" borderId="0" xfId="0" applyFont="1"/>
    <xf numFmtId="0" fontId="16" fillId="0" borderId="1" xfId="0" applyFont="1" applyBorder="1" applyAlignment="1">
      <alignment horizontal="center" vertical="center"/>
    </xf>
    <xf numFmtId="0" fontId="0" fillId="0" borderId="5" xfId="0" applyBorder="1" applyAlignment="1">
      <alignment vertical="center"/>
    </xf>
    <xf numFmtId="0" fontId="2" fillId="0" borderId="3" xfId="0" applyFont="1" applyBorder="1" applyAlignment="1">
      <alignment vertical="center" wrapText="1"/>
    </xf>
    <xf numFmtId="0" fontId="0" fillId="0" borderId="4" xfId="0" applyBorder="1" applyAlignment="1">
      <alignment vertical="center"/>
    </xf>
    <xf numFmtId="0" fontId="16" fillId="0" borderId="1" xfId="0" applyFont="1" applyBorder="1"/>
    <xf numFmtId="0" fontId="3" fillId="0" borderId="5" xfId="0" applyFont="1" applyBorder="1" applyAlignment="1">
      <alignment vertical="center" wrapText="1"/>
    </xf>
    <xf numFmtId="0" fontId="18" fillId="2" borderId="1" xfId="0" applyFont="1" applyFill="1" applyBorder="1" applyAlignment="1">
      <alignment horizontal="center" vertical="center" wrapText="1"/>
    </xf>
    <xf numFmtId="0" fontId="0" fillId="0" borderId="1" xfId="0" applyBorder="1" applyAlignment="1">
      <alignment horizontal="center" vertical="center"/>
    </xf>
    <xf numFmtId="14" fontId="14" fillId="0" borderId="1" xfId="1" applyNumberFormat="1" applyBorder="1"/>
    <xf numFmtId="0" fontId="14" fillId="0" borderId="1" xfId="1" applyBorder="1" applyAlignment="1">
      <alignment vertical="center"/>
    </xf>
    <xf numFmtId="0" fontId="0" fillId="0" borderId="1" xfId="0" applyBorder="1" applyAlignment="1">
      <alignment vertical="center" wrapText="1"/>
    </xf>
    <xf numFmtId="0" fontId="19" fillId="0" borderId="1" xfId="0" applyFont="1" applyBorder="1" applyAlignment="1">
      <alignment horizontal="center"/>
    </xf>
    <xf numFmtId="0" fontId="1" fillId="2" borderId="7" xfId="0" applyFont="1" applyFill="1" applyBorder="1" applyAlignment="1">
      <alignment horizontal="center" vertical="center" wrapText="1"/>
    </xf>
    <xf numFmtId="0" fontId="0" fillId="0" borderId="5" xfId="0" applyBorder="1" applyAlignment="1">
      <alignment horizontal="center" vertical="center"/>
    </xf>
    <xf numFmtId="0" fontId="9" fillId="0" borderId="3" xfId="0" applyFont="1" applyBorder="1" applyAlignment="1">
      <alignment vertical="center" wrapText="1"/>
    </xf>
    <xf numFmtId="0" fontId="19" fillId="0" borderId="1" xfId="0" applyFont="1" applyBorder="1" applyAlignment="1">
      <alignment vertical="center"/>
    </xf>
    <xf numFmtId="0" fontId="0" fillId="8" borderId="1" xfId="0" applyFill="1" applyBorder="1" applyAlignment="1">
      <alignment horizontal="center" vertical="center"/>
    </xf>
    <xf numFmtId="0" fontId="0" fillId="8" borderId="0" xfId="0" applyFill="1"/>
    <xf numFmtId="0" fontId="19" fillId="0" borderId="1" xfId="0" applyFont="1"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lignment horizontal="left" vertical="center"/>
    </xf>
    <xf numFmtId="0" fontId="2" fillId="0" borderId="3" xfId="0" applyFont="1" applyBorder="1" applyAlignment="1">
      <alignment horizontal="left" vertical="center" wrapText="1"/>
    </xf>
    <xf numFmtId="0" fontId="14" fillId="0" borderId="1" xfId="1" applyBorder="1" applyAlignment="1">
      <alignment horizontal="left" vertical="center"/>
    </xf>
    <xf numFmtId="0" fontId="0" fillId="0" borderId="0" xfId="0" applyAlignment="1">
      <alignment horizontal="left" vertical="center"/>
    </xf>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2" fillId="0" borderId="10" xfId="0" applyFont="1" applyBorder="1" applyAlignment="1">
      <alignment horizontal="left" vertical="center"/>
    </xf>
    <xf numFmtId="0" fontId="2" fillId="0" borderId="4"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right" vertical="center"/>
    </xf>
    <xf numFmtId="0" fontId="14" fillId="0" borderId="0" xfId="1"/>
    <xf numFmtId="0" fontId="0" fillId="0" borderId="7" xfId="0" applyBorder="1" applyAlignment="1">
      <alignment vertical="center"/>
    </xf>
    <xf numFmtId="0" fontId="16" fillId="0" borderId="7" xfId="0" applyFont="1" applyBorder="1" applyAlignment="1">
      <alignment horizontal="center" vertical="center"/>
    </xf>
    <xf numFmtId="0" fontId="2" fillId="0" borderId="8" xfId="0" applyFont="1" applyBorder="1" applyAlignment="1">
      <alignment vertical="center" wrapText="1"/>
    </xf>
    <xf numFmtId="0" fontId="0" fillId="0" borderId="4" xfId="0" applyBorder="1" applyAlignment="1">
      <alignment vertical="center" wrapText="1"/>
    </xf>
    <xf numFmtId="0" fontId="0" fillId="0" borderId="3" xfId="0" applyBorder="1" applyAlignment="1">
      <alignment horizontal="center" vertical="center"/>
    </xf>
    <xf numFmtId="0" fontId="1" fillId="2" borderId="1" xfId="0" applyFont="1" applyFill="1" applyBorder="1" applyAlignment="1">
      <alignment wrapText="1"/>
    </xf>
    <xf numFmtId="0" fontId="1" fillId="5" borderId="1" xfId="0" applyFont="1" applyFill="1" applyBorder="1" applyAlignment="1">
      <alignment horizontal="center" wrapText="1"/>
    </xf>
    <xf numFmtId="0" fontId="15" fillId="0" borderId="1" xfId="0" applyFont="1" applyBorder="1"/>
    <xf numFmtId="0" fontId="14" fillId="0" borderId="0" xfId="1" applyAlignment="1">
      <alignment wrapText="1"/>
    </xf>
    <xf numFmtId="14" fontId="0" fillId="0" borderId="1" xfId="0" applyNumberFormat="1" applyBorder="1" applyAlignment="1">
      <alignment vertical="center"/>
    </xf>
    <xf numFmtId="0" fontId="14" fillId="9" borderId="1" xfId="1" applyFill="1" applyBorder="1" applyAlignment="1">
      <alignment horizontal="center" vertical="center" wrapText="1" readingOrder="1"/>
    </xf>
    <xf numFmtId="0" fontId="15" fillId="9" borderId="11" xfId="0" applyFont="1" applyFill="1" applyBorder="1" applyAlignment="1">
      <alignment horizontal="left" vertical="center" wrapText="1" readingOrder="1"/>
    </xf>
    <xf numFmtId="0" fontId="15" fillId="9" borderId="13" xfId="0" applyFont="1" applyFill="1" applyBorder="1" applyAlignment="1">
      <alignment horizontal="left" vertical="center" wrapText="1" readingOrder="1"/>
    </xf>
    <xf numFmtId="0" fontId="14" fillId="9" borderId="12" xfId="1" applyFill="1" applyBorder="1" applyAlignment="1">
      <alignment horizontal="center" vertical="center" wrapText="1" readingOrder="1"/>
    </xf>
    <xf numFmtId="0" fontId="2" fillId="0" borderId="7" xfId="0" applyFont="1" applyBorder="1" applyAlignment="1">
      <alignment horizontal="center" vertical="center"/>
    </xf>
    <xf numFmtId="0" fontId="2" fillId="0" borderId="7" xfId="0" applyFont="1" applyBorder="1" applyAlignment="1">
      <alignment horizontal="left" vertical="center" wrapText="1"/>
    </xf>
    <xf numFmtId="0" fontId="1" fillId="2" borderId="1" xfId="0" applyFont="1" applyFill="1" applyBorder="1" applyAlignment="1">
      <alignment horizontal="right" vertical="center" wrapText="1"/>
    </xf>
    <xf numFmtId="0" fontId="0" fillId="0" borderId="0" xfId="0" applyAlignment="1">
      <alignment horizontal="right" vertical="center"/>
    </xf>
    <xf numFmtId="0" fontId="1" fillId="2" borderId="1" xfId="0" applyFont="1" applyFill="1" applyBorder="1" applyAlignment="1">
      <alignment vertical="center" wrapText="1"/>
    </xf>
    <xf numFmtId="0" fontId="15" fillId="0" borderId="1" xfId="0" applyFont="1"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wrapText="1"/>
    </xf>
    <xf numFmtId="0" fontId="3" fillId="0" borderId="0" xfId="0" applyFont="1" applyAlignment="1">
      <alignment horizontal="center"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4" fillId="0" borderId="1" xfId="1" applyBorder="1" applyAlignment="1">
      <alignment vertical="center" wrapText="1"/>
    </xf>
    <xf numFmtId="0" fontId="0" fillId="0" borderId="0" xfId="0" applyAlignment="1">
      <alignment horizontal="center" vertical="center" wrapText="1"/>
    </xf>
    <xf numFmtId="14" fontId="0" fillId="0" borderId="1" xfId="0" applyNumberFormat="1" applyBorder="1" applyAlignment="1">
      <alignment horizontal="center" vertical="center" wrapText="1"/>
    </xf>
    <xf numFmtId="0" fontId="14" fillId="0" borderId="1" xfId="1" applyBorder="1" applyAlignment="1">
      <alignment horizontal="left" vertical="center" wrapText="1"/>
    </xf>
    <xf numFmtId="0" fontId="0" fillId="0" borderId="7" xfId="0" applyBorder="1" applyAlignment="1">
      <alignment horizontal="center" vertical="center" wrapText="1"/>
    </xf>
    <xf numFmtId="0" fontId="15" fillId="0" borderId="7" xfId="0" applyFont="1" applyBorder="1" applyAlignment="1">
      <alignment vertical="center" wrapText="1"/>
    </xf>
    <xf numFmtId="0" fontId="0" fillId="0" borderId="7" xfId="0" applyBorder="1" applyAlignment="1">
      <alignment vertical="center" wrapText="1"/>
    </xf>
    <xf numFmtId="0" fontId="14" fillId="0" borderId="1" xfId="1" applyBorder="1" applyAlignment="1">
      <alignment horizontal="center" vertical="center" wrapText="1" readingOrder="1"/>
    </xf>
    <xf numFmtId="0" fontId="15" fillId="0" borderId="1" xfId="0" applyFont="1" applyBorder="1" applyAlignment="1">
      <alignment horizontal="left" vertical="center" wrapText="1" readingOrder="1"/>
    </xf>
    <xf numFmtId="0" fontId="15" fillId="0" borderId="7" xfId="0" applyFont="1" applyBorder="1" applyAlignment="1">
      <alignment wrapText="1"/>
    </xf>
    <xf numFmtId="0" fontId="14" fillId="0" borderId="7" xfId="1" applyBorder="1" applyAlignment="1">
      <alignment wrapText="1"/>
    </xf>
    <xf numFmtId="14" fontId="0" fillId="0" borderId="7" xfId="0" applyNumberFormat="1" applyBorder="1" applyAlignment="1">
      <alignment horizontal="center" vertical="center" wrapText="1"/>
    </xf>
    <xf numFmtId="0" fontId="0" fillId="0" borderId="7" xfId="0" applyBorder="1" applyAlignment="1">
      <alignment wrapText="1"/>
    </xf>
    <xf numFmtId="0" fontId="14" fillId="0" borderId="7" xfId="1" applyBorder="1" applyAlignment="1">
      <alignment horizontal="center" vertical="center" wrapText="1" readingOrder="1"/>
    </xf>
    <xf numFmtId="0" fontId="15" fillId="0" borderId="7" xfId="0" applyFont="1" applyBorder="1" applyAlignment="1">
      <alignment horizontal="left" vertical="center" wrapText="1" readingOrder="1"/>
    </xf>
    <xf numFmtId="0" fontId="19" fillId="0" borderId="1" xfId="0" applyFont="1" applyBorder="1" applyAlignment="1">
      <alignment horizontal="center" vertical="center" wrapText="1"/>
    </xf>
    <xf numFmtId="0" fontId="0" fillId="0" borderId="1" xfId="0" applyBorder="1" applyAlignment="1">
      <alignment horizontal="center" wrapText="1"/>
    </xf>
    <xf numFmtId="0" fontId="3" fillId="0" borderId="7" xfId="0" applyFont="1" applyBorder="1" applyAlignment="1">
      <alignment horizontal="center" vertical="center" wrapText="1"/>
    </xf>
    <xf numFmtId="0" fontId="0" fillId="0" borderId="9" xfId="0" applyBorder="1" applyAlignment="1">
      <alignment horizontal="center" vertical="center"/>
    </xf>
    <xf numFmtId="0" fontId="0" fillId="0" borderId="17" xfId="0" applyBorder="1" applyAlignment="1">
      <alignment horizontal="center" vertical="center" wrapText="1"/>
    </xf>
    <xf numFmtId="0" fontId="18" fillId="2" borderId="5"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16" xfId="0" applyBorder="1" applyAlignment="1">
      <alignment horizontal="center" vertical="center" wrapText="1"/>
    </xf>
    <xf numFmtId="0" fontId="14" fillId="0" borderId="1" xfId="1" applyBorder="1" applyAlignment="1">
      <alignment horizontal="center" vertical="center" wrapText="1"/>
    </xf>
    <xf numFmtId="0" fontId="14" fillId="0" borderId="7" xfId="1" applyBorder="1" applyAlignment="1">
      <alignment vertical="center" wrapText="1"/>
    </xf>
    <xf numFmtId="0" fontId="0" fillId="0" borderId="8" xfId="0" applyBorder="1" applyAlignment="1">
      <alignment horizontal="center" vertical="center" wrapText="1"/>
    </xf>
    <xf numFmtId="0" fontId="0" fillId="0" borderId="1" xfId="0" applyBorder="1" applyAlignment="1">
      <alignment horizontal="left" vertical="center" wrapText="1" readingOrder="1"/>
    </xf>
    <xf numFmtId="0" fontId="0" fillId="0" borderId="9" xfId="0" applyBorder="1" applyAlignment="1">
      <alignment horizontal="center" vertical="center" wrapText="1"/>
    </xf>
    <xf numFmtId="0" fontId="0" fillId="0" borderId="4" xfId="0" applyBorder="1" applyAlignment="1">
      <alignment horizontal="left" vertical="center" wrapText="1" readingOrder="1"/>
    </xf>
    <xf numFmtId="0" fontId="0" fillId="0" borderId="7" xfId="0" applyBorder="1" applyAlignment="1">
      <alignment horizontal="center" vertical="center"/>
    </xf>
    <xf numFmtId="0" fontId="21" fillId="0" borderId="1" xfId="0" applyFont="1" applyBorder="1" applyAlignment="1">
      <alignment vertical="center" wrapText="1"/>
    </xf>
    <xf numFmtId="0" fontId="18" fillId="2" borderId="7" xfId="0" applyFont="1" applyFill="1" applyBorder="1" applyAlignment="1">
      <alignment horizontal="center" vertical="center" wrapText="1"/>
    </xf>
    <xf numFmtId="0" fontId="0" fillId="0" borderId="0" xfId="0" applyAlignment="1">
      <alignment vertical="center" wrapText="1"/>
    </xf>
    <xf numFmtId="0" fontId="0" fillId="11" borderId="1" xfId="0" applyFill="1" applyBorder="1" applyAlignment="1">
      <alignment horizontal="center" vertical="center" wrapText="1"/>
    </xf>
    <xf numFmtId="0" fontId="0" fillId="12" borderId="3" xfId="0" applyFill="1" applyBorder="1" applyAlignment="1">
      <alignment horizontal="center" vertical="center" wrapText="1"/>
    </xf>
    <xf numFmtId="0" fontId="0" fillId="0" borderId="7" xfId="0" applyBorder="1" applyAlignment="1">
      <alignment horizontal="left" vertical="center" wrapText="1" readingOrder="1"/>
    </xf>
    <xf numFmtId="0" fontId="0" fillId="11" borderId="7" xfId="0" applyFill="1" applyBorder="1" applyAlignment="1">
      <alignment horizontal="center" vertical="center" wrapText="1"/>
    </xf>
    <xf numFmtId="0" fontId="22" fillId="0" borderId="1" xfId="0" applyFont="1" applyBorder="1" applyAlignment="1">
      <alignment horizontal="center" vertical="center"/>
    </xf>
    <xf numFmtId="0" fontId="23" fillId="11" borderId="1" xfId="0" applyFont="1" applyFill="1" applyBorder="1" applyAlignment="1">
      <alignment horizontal="center" wrapText="1"/>
    </xf>
    <xf numFmtId="165" fontId="2" fillId="0" borderId="1" xfId="0" applyNumberFormat="1" applyFont="1" applyBorder="1" applyAlignment="1">
      <alignment vertical="center"/>
    </xf>
    <xf numFmtId="0" fontId="0" fillId="0" borderId="1" xfId="0" applyBorder="1" applyAlignment="1">
      <alignment vertical="center" wrapText="1" readingOrder="1"/>
    </xf>
    <xf numFmtId="14" fontId="0" fillId="0" borderId="1" xfId="0" applyNumberFormat="1" applyBorder="1" applyAlignment="1">
      <alignment vertical="center" wrapText="1"/>
    </xf>
    <xf numFmtId="0" fontId="0" fillId="0" borderId="9" xfId="0" applyBorder="1" applyAlignment="1">
      <alignment vertical="center" wrapText="1"/>
    </xf>
    <xf numFmtId="0" fontId="0" fillId="0" borderId="3" xfId="0" applyBorder="1" applyAlignment="1">
      <alignment vertical="center" wrapText="1"/>
    </xf>
    <xf numFmtId="0" fontId="15" fillId="0" borderId="1" xfId="0" applyFont="1" applyBorder="1" applyAlignment="1">
      <alignment vertical="center" wrapText="1" readingOrder="1"/>
    </xf>
    <xf numFmtId="0" fontId="18" fillId="2" borderId="1" xfId="0" applyFont="1" applyFill="1" applyBorder="1" applyAlignment="1">
      <alignment vertical="center" wrapText="1"/>
    </xf>
    <xf numFmtId="0" fontId="18" fillId="3" borderId="1" xfId="0" applyFont="1" applyFill="1" applyBorder="1" applyAlignment="1">
      <alignment vertical="center" wrapText="1"/>
    </xf>
    <xf numFmtId="0" fontId="15" fillId="9" borderId="1" xfId="0" applyFont="1" applyFill="1" applyBorder="1" applyAlignment="1">
      <alignment horizontal="left" vertical="center" wrapText="1" readingOrder="1"/>
    </xf>
    <xf numFmtId="0" fontId="18" fillId="2" borderId="7" xfId="0" applyFont="1" applyFill="1" applyBorder="1" applyAlignment="1">
      <alignment vertical="center" wrapText="1"/>
    </xf>
    <xf numFmtId="0" fontId="0" fillId="13" borderId="1" xfId="0" applyFill="1" applyBorder="1" applyAlignment="1">
      <alignment horizontal="center" vertical="center" wrapText="1"/>
    </xf>
    <xf numFmtId="0" fontId="1" fillId="2" borderId="7" xfId="0" applyFont="1" applyFill="1" applyBorder="1" applyAlignment="1">
      <alignment vertical="center" wrapText="1"/>
    </xf>
    <xf numFmtId="0" fontId="1" fillId="5" borderId="7"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5" fillId="0" borderId="7" xfId="0" applyFont="1" applyBorder="1"/>
    <xf numFmtId="0" fontId="0" fillId="13" borderId="7" xfId="0" applyFill="1" applyBorder="1" applyAlignment="1">
      <alignment horizontal="center" vertical="center" wrapText="1"/>
    </xf>
    <xf numFmtId="0" fontId="0" fillId="0" borderId="8" xfId="0" applyBorder="1" applyAlignment="1">
      <alignment vertical="center" wrapText="1"/>
    </xf>
    <xf numFmtId="14" fontId="0" fillId="0" borderId="7" xfId="0" applyNumberFormat="1" applyBorder="1" applyAlignment="1">
      <alignment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18" fillId="3" borderId="7" xfId="0" applyFont="1" applyFill="1" applyBorder="1" applyAlignment="1">
      <alignment vertical="center" wrapText="1"/>
    </xf>
    <xf numFmtId="0" fontId="14" fillId="0" borderId="1" xfId="1" applyBorder="1" applyAlignment="1">
      <alignment vertical="center" wrapText="1" readingOrder="1"/>
    </xf>
    <xf numFmtId="0" fontId="0" fillId="14" borderId="1" xfId="0" applyFill="1" applyBorder="1" applyAlignment="1">
      <alignment horizontal="center" vertical="center" wrapText="1"/>
    </xf>
    <xf numFmtId="0" fontId="15" fillId="9" borderId="11" xfId="0" applyFont="1" applyFill="1" applyBorder="1" applyAlignment="1">
      <alignment wrapText="1" readingOrder="1"/>
    </xf>
    <xf numFmtId="0" fontId="15" fillId="9" borderId="13" xfId="0" applyFont="1" applyFill="1" applyBorder="1" applyAlignment="1">
      <alignment wrapText="1" readingOrder="1"/>
    </xf>
    <xf numFmtId="0" fontId="0" fillId="9" borderId="0" xfId="0" applyFill="1" applyAlignment="1">
      <alignment horizontal="center" vertical="center" wrapText="1"/>
    </xf>
    <xf numFmtId="14" fontId="24" fillId="0" borderId="1" xfId="0" applyNumberFormat="1" applyFont="1" applyBorder="1"/>
    <xf numFmtId="0" fontId="1" fillId="3" borderId="15" xfId="0" applyFont="1" applyFill="1" applyBorder="1" applyAlignment="1">
      <alignment horizontal="center" vertical="center" wrapText="1"/>
    </xf>
    <xf numFmtId="0" fontId="0" fillId="0" borderId="7" xfId="0" applyBorder="1" applyAlignment="1">
      <alignment horizontal="left" vertical="center" wrapText="1"/>
    </xf>
    <xf numFmtId="0" fontId="0" fillId="9" borderId="7" xfId="0" applyFill="1" applyBorder="1" applyAlignment="1">
      <alignment horizontal="center" vertical="center" wrapText="1"/>
    </xf>
    <xf numFmtId="0" fontId="3" fillId="0" borderId="4" xfId="0" applyFont="1" applyBorder="1"/>
    <xf numFmtId="14" fontId="0" fillId="9" borderId="1" xfId="0" applyNumberFormat="1" applyFill="1" applyBorder="1" applyAlignment="1">
      <alignment vertical="center" wrapText="1"/>
    </xf>
    <xf numFmtId="0" fontId="0" fillId="9" borderId="7" xfId="0" applyFill="1" applyBorder="1" applyAlignment="1">
      <alignment vertical="center" wrapText="1"/>
    </xf>
    <xf numFmtId="14" fontId="0" fillId="9" borderId="7" xfId="0" applyNumberFormat="1" applyFill="1" applyBorder="1" applyAlignment="1">
      <alignment vertical="center" wrapText="1"/>
    </xf>
    <xf numFmtId="0" fontId="1" fillId="2" borderId="8" xfId="0" applyFont="1" applyFill="1" applyBorder="1" applyAlignment="1">
      <alignment horizontal="center" vertical="center" wrapText="1"/>
    </xf>
    <xf numFmtId="0" fontId="3" fillId="0" borderId="0" xfId="0" applyFont="1" applyAlignment="1">
      <alignment horizontal="center" vertical="center"/>
    </xf>
    <xf numFmtId="0" fontId="18" fillId="3" borderId="7" xfId="0" applyFont="1" applyFill="1" applyBorder="1" applyAlignment="1">
      <alignment horizontal="center" vertical="center" wrapText="1"/>
    </xf>
    <xf numFmtId="0" fontId="0" fillId="9" borderId="1" xfId="0" applyFill="1" applyBorder="1" applyAlignment="1">
      <alignment horizontal="left" vertical="center" wrapText="1"/>
    </xf>
    <xf numFmtId="0" fontId="1" fillId="5" borderId="8"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0" fillId="0" borderId="1" xfId="0" applyBorder="1" applyAlignment="1">
      <alignment horizontal="center" vertical="center" wrapText="1" indent="1"/>
    </xf>
    <xf numFmtId="0" fontId="3" fillId="0" borderId="1"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3" fillId="0" borderId="0" xfId="0" applyFont="1" applyAlignment="1">
      <alignment vertical="center"/>
    </xf>
    <xf numFmtId="0" fontId="11" fillId="5" borderId="1" xfId="0" applyFont="1" applyFill="1" applyBorder="1" applyAlignment="1">
      <alignment horizontal="center" vertical="center"/>
    </xf>
    <xf numFmtId="0" fontId="12" fillId="6" borderId="4" xfId="0" applyFont="1" applyFill="1" applyBorder="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14" fillId="9" borderId="1" xfId="1" applyFill="1" applyBorder="1" applyAlignment="1">
      <alignment vertical="center"/>
    </xf>
    <xf numFmtId="0" fontId="14" fillId="9" borderId="7" xfId="1" applyFill="1" applyBorder="1" applyAlignment="1">
      <alignment vertical="center"/>
    </xf>
    <xf numFmtId="0" fontId="0" fillId="11" borderId="1" xfId="0" applyFill="1" applyBorder="1" applyAlignment="1">
      <alignment vertical="center" wrapText="1"/>
    </xf>
    <xf numFmtId="0" fontId="0" fillId="11" borderId="1" xfId="0" applyFill="1" applyBorder="1" applyAlignment="1">
      <alignment horizontal="left" vertical="center" wrapText="1"/>
    </xf>
    <xf numFmtId="0" fontId="0" fillId="15" borderId="1" xfId="0" applyFill="1" applyBorder="1" applyAlignment="1">
      <alignment horizontal="center" vertical="center" wrapText="1"/>
    </xf>
    <xf numFmtId="0" fontId="0" fillId="16" borderId="7" xfId="0"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horizontal="center"/>
    </xf>
    <xf numFmtId="14" fontId="24" fillId="9" borderId="1" xfId="0" applyNumberFormat="1" applyFont="1" applyFill="1" applyBorder="1"/>
    <xf numFmtId="0" fontId="0" fillId="9" borderId="1" xfId="0" applyFill="1" applyBorder="1" applyAlignment="1">
      <alignment vertical="center"/>
    </xf>
    <xf numFmtId="0" fontId="0" fillId="9" borderId="1" xfId="0" applyFill="1" applyBorder="1" applyAlignment="1">
      <alignment horizontal="center"/>
    </xf>
    <xf numFmtId="0" fontId="14" fillId="9" borderId="1" xfId="1" applyFill="1" applyBorder="1" applyAlignment="1">
      <alignment vertical="center" wrapText="1"/>
    </xf>
    <xf numFmtId="0" fontId="15" fillId="0" borderId="11" xfId="0" applyFont="1" applyBorder="1" applyAlignment="1">
      <alignment horizontal="center" vertical="center" wrapText="1" readingOrder="1"/>
    </xf>
    <xf numFmtId="0" fontId="14" fillId="0" borderId="12" xfId="1" applyBorder="1" applyAlignment="1">
      <alignment horizontal="center" vertical="center" wrapText="1" readingOrder="1"/>
    </xf>
    <xf numFmtId="0" fontId="15" fillId="0" borderId="13" xfId="0" applyFont="1" applyBorder="1" applyAlignment="1">
      <alignment horizontal="center" vertical="center" wrapText="1" readingOrder="1"/>
    </xf>
    <xf numFmtId="0" fontId="2" fillId="13" borderId="1" xfId="0" applyFont="1" applyFill="1" applyBorder="1" applyAlignment="1">
      <alignment horizontal="center" vertical="center" wrapText="1"/>
    </xf>
    <xf numFmtId="0" fontId="2" fillId="13" borderId="7" xfId="0" applyFont="1" applyFill="1" applyBorder="1" applyAlignment="1">
      <alignment horizontal="center" vertical="center" wrapText="1"/>
    </xf>
    <xf numFmtId="0" fontId="3" fillId="13" borderId="1" xfId="0" applyFont="1" applyFill="1" applyBorder="1" applyAlignment="1">
      <alignment horizontal="center" vertical="center"/>
    </xf>
    <xf numFmtId="0" fontId="19" fillId="9" borderId="7" xfId="0" applyFont="1" applyFill="1" applyBorder="1" applyAlignment="1">
      <alignment horizontal="center" vertical="center"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19" fillId="14" borderId="1" xfId="0" applyFont="1" applyFill="1" applyBorder="1" applyAlignment="1">
      <alignment horizontal="center" vertical="center" wrapText="1"/>
    </xf>
    <xf numFmtId="0" fontId="19" fillId="11" borderId="1" xfId="0" applyFont="1" applyFill="1" applyBorder="1" applyAlignment="1">
      <alignment horizontal="center" vertical="center" wrapText="1"/>
    </xf>
    <xf numFmtId="14" fontId="24" fillId="0" borderId="1" xfId="0" applyNumberFormat="1" applyFont="1" applyBorder="1" applyAlignment="1">
      <alignment vertical="center" wrapText="1"/>
    </xf>
    <xf numFmtId="14" fontId="24" fillId="9" borderId="1" xfId="0" applyNumberFormat="1" applyFont="1" applyFill="1" applyBorder="1" applyAlignment="1">
      <alignment vertical="center" wrapText="1"/>
    </xf>
    <xf numFmtId="0" fontId="15" fillId="0" borderId="0" xfId="0" applyFont="1" applyAlignment="1">
      <alignment horizontal="center" vertical="center" wrapText="1"/>
    </xf>
    <xf numFmtId="0" fontId="15" fillId="0" borderId="0" xfId="0" applyFont="1" applyAlignment="1">
      <alignment vertical="center" wrapText="1"/>
    </xf>
    <xf numFmtId="0" fontId="14" fillId="9" borderId="7" xfId="1" applyFill="1" applyBorder="1" applyAlignment="1">
      <alignment vertical="center" wrapText="1"/>
    </xf>
    <xf numFmtId="0" fontId="19" fillId="9" borderId="1" xfId="0" applyFont="1" applyFill="1" applyBorder="1" applyAlignment="1">
      <alignment horizontal="center" vertical="center" wrapText="1"/>
    </xf>
    <xf numFmtId="0" fontId="3" fillId="14" borderId="1" xfId="0" applyFont="1" applyFill="1" applyBorder="1" applyAlignment="1">
      <alignment horizontal="center" vertical="center"/>
    </xf>
    <xf numFmtId="0" fontId="0" fillId="9" borderId="4" xfId="0" applyFill="1" applyBorder="1" applyAlignment="1">
      <alignment horizontal="center" vertical="center" wrapText="1"/>
    </xf>
    <xf numFmtId="0" fontId="0" fillId="9" borderId="4" xfId="0" applyFill="1" applyBorder="1" applyAlignment="1">
      <alignment vertical="center" wrapText="1"/>
    </xf>
    <xf numFmtId="0" fontId="14" fillId="9" borderId="4" xfId="1" applyFill="1" applyBorder="1" applyAlignment="1">
      <alignment vertical="center" wrapText="1"/>
    </xf>
    <xf numFmtId="14" fontId="0" fillId="9" borderId="4" xfId="0" applyNumberFormat="1" applyFill="1" applyBorder="1" applyAlignment="1">
      <alignment vertical="center" wrapText="1"/>
    </xf>
    <xf numFmtId="0" fontId="25" fillId="0" borderId="11" xfId="0" applyFont="1" applyBorder="1" applyAlignment="1">
      <alignment wrapText="1" readingOrder="1"/>
    </xf>
    <xf numFmtId="0" fontId="3" fillId="9" borderId="1" xfId="0" applyFont="1" applyFill="1" applyBorder="1" applyAlignment="1">
      <alignment horizontal="center" vertical="center"/>
    </xf>
    <xf numFmtId="14" fontId="0" fillId="0" borderId="0" xfId="0" applyNumberFormat="1"/>
    <xf numFmtId="165"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xf>
    <xf numFmtId="165" fontId="2" fillId="0" borderId="10" xfId="0" applyNumberFormat="1" applyFont="1" applyBorder="1" applyAlignment="1">
      <alignment horizontal="center" vertical="center"/>
    </xf>
    <xf numFmtId="165" fontId="2" fillId="0" borderId="4" xfId="0" applyNumberFormat="1" applyFont="1" applyBorder="1" applyAlignment="1">
      <alignment horizontal="center" vertical="center"/>
    </xf>
    <xf numFmtId="165" fontId="2" fillId="0" borderId="7" xfId="0" applyNumberFormat="1" applyFont="1" applyBorder="1" applyAlignment="1">
      <alignment horizontal="center" vertical="center"/>
    </xf>
    <xf numFmtId="166" fontId="0" fillId="9" borderId="4" xfId="0" applyNumberFormat="1" applyFill="1" applyBorder="1" applyAlignment="1">
      <alignment vertical="center" wrapText="1"/>
    </xf>
    <xf numFmtId="166" fontId="24" fillId="9" borderId="1" xfId="0" applyNumberFormat="1" applyFont="1" applyFill="1" applyBorder="1" applyAlignment="1">
      <alignment vertical="center" wrapText="1"/>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9" borderId="17" xfId="0" applyFill="1" applyBorder="1" applyAlignment="1">
      <alignment vertical="center" wrapText="1"/>
    </xf>
    <xf numFmtId="0" fontId="0" fillId="9" borderId="5" xfId="0" applyFill="1" applyBorder="1" applyAlignment="1">
      <alignment vertical="center" wrapText="1"/>
    </xf>
    <xf numFmtId="0" fontId="18" fillId="2" borderId="18"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9" xfId="0" applyFont="1" applyFill="1" applyBorder="1" applyAlignment="1">
      <alignment vertical="center" wrapText="1"/>
    </xf>
    <xf numFmtId="0" fontId="18" fillId="3" borderId="16" xfId="0" applyFont="1" applyFill="1" applyBorder="1" applyAlignment="1">
      <alignment vertical="center" wrapText="1"/>
    </xf>
    <xf numFmtId="0" fontId="0" fillId="9" borderId="8" xfId="0" applyFill="1" applyBorder="1" applyAlignment="1">
      <alignment horizontal="center" vertical="center" wrapText="1"/>
    </xf>
    <xf numFmtId="0" fontId="0" fillId="9" borderId="15" xfId="0" applyFill="1" applyBorder="1" applyAlignment="1">
      <alignment vertical="center" wrapText="1"/>
    </xf>
    <xf numFmtId="14" fontId="24" fillId="9" borderId="7" xfId="0" applyNumberFormat="1" applyFont="1" applyFill="1" applyBorder="1" applyAlignment="1">
      <alignment vertical="center" wrapText="1"/>
    </xf>
    <xf numFmtId="0" fontId="15" fillId="9" borderId="0" xfId="0" applyFont="1" applyFill="1" applyAlignment="1">
      <alignment wrapText="1"/>
    </xf>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2" fillId="0" borderId="19" xfId="0" applyFont="1" applyBorder="1" applyAlignment="1">
      <alignment horizontal="center" vertical="center"/>
    </xf>
    <xf numFmtId="0" fontId="2" fillId="0" borderId="2" xfId="0" applyFont="1" applyBorder="1" applyAlignment="1">
      <alignment horizontal="center" vertical="center"/>
    </xf>
    <xf numFmtId="0" fontId="2" fillId="0" borderId="8" xfId="0" applyFont="1" applyBorder="1" applyAlignment="1">
      <alignment horizontal="center" vertical="center"/>
    </xf>
    <xf numFmtId="0" fontId="2" fillId="9" borderId="3" xfId="0" applyFont="1" applyFill="1" applyBorder="1" applyAlignment="1">
      <alignment horizontal="center" vertical="center"/>
    </xf>
    <xf numFmtId="0" fontId="0" fillId="9" borderId="1" xfId="0" applyFill="1" applyBorder="1" applyAlignment="1">
      <alignment horizontal="center" vertical="center"/>
    </xf>
    <xf numFmtId="0" fontId="25" fillId="9" borderId="1" xfId="0" applyFont="1" applyFill="1" applyBorder="1" applyAlignment="1">
      <alignment vertical="center" wrapText="1" readingOrder="1"/>
    </xf>
    <xf numFmtId="0" fontId="15" fillId="9" borderId="1" xfId="0" applyFont="1" applyFill="1" applyBorder="1" applyAlignment="1">
      <alignment vertical="center" wrapText="1"/>
    </xf>
    <xf numFmtId="0" fontId="0" fillId="9" borderId="5" xfId="0" applyFill="1" applyBorder="1" applyAlignment="1">
      <alignment horizontal="center" vertical="center" wrapText="1"/>
    </xf>
    <xf numFmtId="0" fontId="0" fillId="9" borderId="15" xfId="0" applyFill="1" applyBorder="1" applyAlignment="1">
      <alignment horizontal="center" vertical="center" wrapText="1"/>
    </xf>
    <xf numFmtId="0" fontId="0" fillId="14" borderId="3" xfId="0" applyFill="1" applyBorder="1" applyAlignment="1">
      <alignment horizontal="center" vertical="center" wrapText="1"/>
    </xf>
    <xf numFmtId="0" fontId="14" fillId="9" borderId="7" xfId="1" applyFill="1" applyBorder="1" applyAlignment="1">
      <alignment horizontal="center" vertical="center" wrapText="1" readingOrder="1"/>
    </xf>
    <xf numFmtId="0" fontId="25" fillId="9" borderId="20" xfId="0" applyFont="1" applyFill="1" applyBorder="1" applyAlignment="1">
      <alignment vertical="center" wrapText="1" readingOrder="1"/>
    </xf>
    <xf numFmtId="0" fontId="15" fillId="9" borderId="0" xfId="0" applyFont="1" applyFill="1" applyAlignment="1">
      <alignment horizontal="left" vertical="center" wrapText="1"/>
    </xf>
    <xf numFmtId="0" fontId="26" fillId="18" borderId="1" xfId="0" applyFont="1" applyFill="1" applyBorder="1" applyAlignment="1">
      <alignment wrapText="1"/>
    </xf>
    <xf numFmtId="0" fontId="0" fillId="9" borderId="16" xfId="0" applyFill="1" applyBorder="1" applyAlignment="1">
      <alignment horizontal="center" vertical="center" wrapText="1"/>
    </xf>
    <xf numFmtId="0" fontId="2" fillId="9" borderId="1" xfId="0" applyFont="1" applyFill="1" applyBorder="1" applyAlignment="1">
      <alignment horizontal="center" vertical="center" wrapText="1"/>
    </xf>
    <xf numFmtId="0" fontId="14" fillId="9" borderId="21" xfId="1" applyFill="1" applyBorder="1" applyAlignment="1">
      <alignment horizontal="center" vertical="center" wrapText="1" readingOrder="1"/>
    </xf>
    <xf numFmtId="0" fontId="25" fillId="9" borderId="22" xfId="0" applyFont="1" applyFill="1" applyBorder="1" applyAlignment="1">
      <alignment vertical="center" wrapText="1" readingOrder="1"/>
    </xf>
    <xf numFmtId="0" fontId="0" fillId="11" borderId="1" xfId="0" applyFill="1" applyBorder="1" applyAlignment="1">
      <alignment horizontal="center" vertical="center" wrapText="1" indent="1"/>
    </xf>
    <xf numFmtId="0" fontId="0" fillId="14" borderId="1" xfId="0" applyFill="1" applyBorder="1" applyAlignment="1">
      <alignment horizontal="center" vertical="center"/>
    </xf>
    <xf numFmtId="0" fontId="0" fillId="19" borderId="1" xfId="0" applyFill="1" applyBorder="1" applyAlignment="1">
      <alignment vertical="center" wrapText="1"/>
    </xf>
    <xf numFmtId="0" fontId="19" fillId="19" borderId="3" xfId="0" applyFont="1" applyFill="1" applyBorder="1" applyAlignment="1">
      <alignment horizontal="center" vertical="center" wrapText="1"/>
    </xf>
    <xf numFmtId="0" fontId="0" fillId="17" borderId="0" xfId="0" applyFill="1"/>
    <xf numFmtId="0" fontId="0" fillId="20" borderId="0" xfId="0" applyFill="1"/>
    <xf numFmtId="0" fontId="27" fillId="9" borderId="1" xfId="0" applyFont="1" applyFill="1" applyBorder="1" applyAlignment="1">
      <alignment vertical="center" wrapText="1"/>
    </xf>
    <xf numFmtId="0" fontId="0" fillId="9" borderId="1" xfId="0" applyFill="1" applyBorder="1" applyAlignment="1">
      <alignment horizontal="left" vertical="top" wrapText="1"/>
    </xf>
    <xf numFmtId="14" fontId="0" fillId="9" borderId="3" xfId="0" applyNumberFormat="1" applyFill="1" applyBorder="1" applyAlignment="1">
      <alignment horizontal="center" vertical="center" wrapText="1"/>
    </xf>
    <xf numFmtId="14" fontId="0" fillId="9" borderId="8" xfId="0" applyNumberFormat="1" applyFill="1" applyBorder="1" applyAlignment="1">
      <alignment horizontal="center" vertical="center" wrapText="1"/>
    </xf>
    <xf numFmtId="0" fontId="0" fillId="9" borderId="0" xfId="0" applyFill="1" applyAlignment="1">
      <alignment vertical="center" wrapText="1"/>
    </xf>
    <xf numFmtId="14" fontId="0" fillId="9" borderId="1" xfId="0" applyNumberFormat="1" applyFill="1" applyBorder="1" applyAlignment="1">
      <alignment horizontal="center" vertical="center" wrapText="1"/>
    </xf>
    <xf numFmtId="0" fontId="2" fillId="21" borderId="23" xfId="0" applyFont="1" applyFill="1" applyBorder="1" applyAlignment="1">
      <alignment horizontal="center" vertical="center"/>
    </xf>
    <xf numFmtId="14" fontId="2" fillId="21" borderId="23" xfId="0" applyNumberFormat="1" applyFont="1" applyFill="1" applyBorder="1" applyAlignment="1">
      <alignment horizontal="center" vertical="center"/>
    </xf>
    <xf numFmtId="0" fontId="2" fillId="14" borderId="3"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1" xfId="0" applyFont="1" applyFill="1" applyBorder="1" applyAlignment="1">
      <alignment vertical="center" wrapText="1"/>
    </xf>
    <xf numFmtId="0" fontId="2" fillId="21" borderId="1" xfId="0" applyFont="1" applyFill="1" applyBorder="1" applyAlignment="1">
      <alignment horizontal="center" vertical="center"/>
    </xf>
    <xf numFmtId="14" fontId="2" fillId="21" borderId="1" xfId="0" applyNumberFormat="1" applyFont="1" applyFill="1" applyBorder="1" applyAlignment="1">
      <alignment horizontal="center" vertical="center"/>
    </xf>
    <xf numFmtId="0" fontId="15" fillId="9" borderId="0" xfId="0" applyFont="1" applyFill="1" applyAlignment="1">
      <alignment vertical="center"/>
    </xf>
    <xf numFmtId="0" fontId="2" fillId="9" borderId="24"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9" borderId="21" xfId="0" applyFont="1" applyFill="1" applyBorder="1" applyAlignment="1">
      <alignment vertical="center" wrapText="1"/>
    </xf>
    <xf numFmtId="0" fontId="2" fillId="9" borderId="21" xfId="0" applyFont="1" applyFill="1" applyBorder="1" applyAlignment="1">
      <alignment horizontal="center" vertical="center" wrapText="1"/>
    </xf>
    <xf numFmtId="14" fontId="0" fillId="9" borderId="25" xfId="0" applyNumberFormat="1" applyFill="1" applyBorder="1" applyAlignment="1">
      <alignment horizontal="center" vertical="center" wrapText="1"/>
    </xf>
    <xf numFmtId="0" fontId="0" fillId="9" borderId="5" xfId="0" applyFill="1" applyBorder="1" applyAlignment="1">
      <alignment horizontal="center" vertical="center"/>
    </xf>
    <xf numFmtId="0" fontId="0" fillId="11" borderId="3" xfId="0" applyFill="1" applyBorder="1" applyAlignment="1">
      <alignment horizontal="center" vertical="center"/>
    </xf>
    <xf numFmtId="0" fontId="0" fillId="9" borderId="15" xfId="0" applyFill="1" applyBorder="1" applyAlignment="1">
      <alignment horizontal="center" vertical="center"/>
    </xf>
    <xf numFmtId="0" fontId="0" fillId="14" borderId="3" xfId="0" applyFill="1" applyBorder="1" applyAlignment="1">
      <alignment horizontal="center" vertical="center"/>
    </xf>
    <xf numFmtId="0" fontId="0" fillId="9" borderId="7" xfId="0" applyFill="1" applyBorder="1" applyAlignment="1">
      <alignment horizontal="center" vertical="center"/>
    </xf>
    <xf numFmtId="0" fontId="0" fillId="9" borderId="7" xfId="0" applyFill="1" applyBorder="1" applyAlignment="1">
      <alignment vertical="center"/>
    </xf>
    <xf numFmtId="14" fontId="24" fillId="9" borderId="7" xfId="0" applyNumberFormat="1" applyFont="1" applyFill="1" applyBorder="1" applyAlignment="1">
      <alignment vertical="center"/>
    </xf>
    <xf numFmtId="14" fontId="0" fillId="9" borderId="7" xfId="0" applyNumberFormat="1" applyFill="1" applyBorder="1" applyAlignment="1">
      <alignment vertical="center"/>
    </xf>
    <xf numFmtId="0" fontId="0" fillId="9" borderId="15" xfId="0" applyFill="1" applyBorder="1" applyAlignment="1">
      <alignment vertical="center"/>
    </xf>
    <xf numFmtId="0" fontId="0" fillId="9" borderId="2" xfId="0" applyFill="1" applyBorder="1" applyAlignment="1">
      <alignment horizontal="center" vertical="center"/>
    </xf>
    <xf numFmtId="14" fontId="0" fillId="9" borderId="2" xfId="0" applyNumberFormat="1" applyFill="1" applyBorder="1" applyAlignment="1">
      <alignment horizontal="center" vertical="center"/>
    </xf>
    <xf numFmtId="0" fontId="0" fillId="11" borderId="1" xfId="0" applyFill="1" applyBorder="1" applyAlignment="1">
      <alignment horizontal="center" vertical="center"/>
    </xf>
    <xf numFmtId="0" fontId="0" fillId="9" borderId="5" xfId="0" applyFill="1" applyBorder="1" applyAlignment="1">
      <alignment vertical="center"/>
    </xf>
    <xf numFmtId="0" fontId="0" fillId="9" borderId="8" xfId="0" applyFill="1" applyBorder="1" applyAlignment="1">
      <alignment horizontal="center" vertical="center"/>
    </xf>
    <xf numFmtId="14" fontId="0" fillId="9" borderId="8" xfId="0" applyNumberFormat="1" applyFill="1" applyBorder="1" applyAlignment="1">
      <alignment horizontal="center" vertical="center"/>
    </xf>
    <xf numFmtId="0" fontId="0" fillId="9" borderId="3" xfId="0" applyFill="1" applyBorder="1" applyAlignment="1">
      <alignment horizontal="center" vertical="center"/>
    </xf>
    <xf numFmtId="14" fontId="0" fillId="9" borderId="3" xfId="0" applyNumberFormat="1" applyFill="1" applyBorder="1" applyAlignment="1">
      <alignment horizontal="center" vertical="center"/>
    </xf>
    <xf numFmtId="14" fontId="0" fillId="9" borderId="1" xfId="0" applyNumberFormat="1" applyFill="1" applyBorder="1" applyAlignment="1">
      <alignment horizontal="center" vertical="center"/>
    </xf>
    <xf numFmtId="14" fontId="0" fillId="9" borderId="1" xfId="0" applyNumberFormat="1" applyFill="1" applyBorder="1" applyAlignment="1">
      <alignment vertical="center"/>
    </xf>
    <xf numFmtId="0" fontId="15" fillId="9" borderId="1" xfId="0" applyFont="1" applyFill="1" applyBorder="1" applyAlignment="1">
      <alignment vertical="center"/>
    </xf>
    <xf numFmtId="0" fontId="0" fillId="9" borderId="0" xfId="0" applyFill="1" applyAlignment="1">
      <alignment vertical="center"/>
    </xf>
    <xf numFmtId="0" fontId="2" fillId="9" borderId="1" xfId="0" applyFont="1" applyFill="1" applyBorder="1" applyAlignment="1">
      <alignment horizontal="center" vertical="center"/>
    </xf>
    <xf numFmtId="0" fontId="27" fillId="9" borderId="1" xfId="0" applyFont="1" applyFill="1" applyBorder="1" applyAlignment="1">
      <alignment vertical="center"/>
    </xf>
    <xf numFmtId="0" fontId="2" fillId="14" borderId="3" xfId="0" applyFont="1" applyFill="1" applyBorder="1" applyAlignment="1">
      <alignment horizontal="center" vertical="center"/>
    </xf>
    <xf numFmtId="0" fontId="2" fillId="9" borderId="1" xfId="0" applyFont="1" applyFill="1" applyBorder="1" applyAlignment="1">
      <alignment vertical="center"/>
    </xf>
    <xf numFmtId="0" fontId="2" fillId="11" borderId="1" xfId="0" applyFont="1" applyFill="1" applyBorder="1" applyAlignment="1">
      <alignment horizontal="center" vertical="center"/>
    </xf>
    <xf numFmtId="0" fontId="2" fillId="9" borderId="21" xfId="0" applyFont="1" applyFill="1" applyBorder="1" applyAlignment="1">
      <alignment horizontal="center" vertical="center"/>
    </xf>
    <xf numFmtId="0" fontId="2" fillId="9" borderId="21" xfId="0" applyFont="1" applyFill="1" applyBorder="1" applyAlignment="1">
      <alignment vertical="center"/>
    </xf>
    <xf numFmtId="0" fontId="1" fillId="5" borderId="25" xfId="0" applyFont="1" applyFill="1" applyBorder="1" applyAlignment="1">
      <alignment horizontal="center" vertical="center" wrapText="1"/>
    </xf>
    <xf numFmtId="0" fontId="0" fillId="9" borderId="3" xfId="0" applyFill="1" applyBorder="1" applyAlignment="1">
      <alignment vertical="center"/>
    </xf>
    <xf numFmtId="0" fontId="0" fillId="0" borderId="3" xfId="0" applyBorder="1" applyAlignment="1">
      <alignment vertical="center"/>
    </xf>
    <xf numFmtId="0" fontId="3" fillId="0" borderId="1" xfId="0" applyFont="1" applyBorder="1"/>
    <xf numFmtId="0" fontId="0" fillId="0" borderId="1" xfId="0" applyBorder="1" applyAlignment="1">
      <alignment horizontal="left" wrapText="1"/>
    </xf>
    <xf numFmtId="0" fontId="1" fillId="2" borderId="5" xfId="0" applyFont="1" applyFill="1" applyBorder="1" applyAlignment="1">
      <alignment horizontal="center" vertical="center" wrapText="1"/>
    </xf>
    <xf numFmtId="0" fontId="14" fillId="0" borderId="1" xfId="1" applyBorder="1" applyAlignment="1">
      <alignment horizontal="center" vertical="center"/>
    </xf>
    <xf numFmtId="0" fontId="14" fillId="11" borderId="1" xfId="1" applyFill="1" applyBorder="1" applyAlignment="1">
      <alignment horizontal="center" vertical="center"/>
    </xf>
    <xf numFmtId="0" fontId="3" fillId="11" borderId="1" xfId="0" applyFont="1" applyFill="1" applyBorder="1" applyAlignment="1">
      <alignment horizontal="center" vertical="center"/>
    </xf>
    <xf numFmtId="0" fontId="28" fillId="0" borderId="0" xfId="0" applyFont="1"/>
    <xf numFmtId="0" fontId="0" fillId="14" borderId="0" xfId="0" applyFill="1" applyAlignment="1">
      <alignment horizontal="center" vertical="center" wrapText="1"/>
    </xf>
    <xf numFmtId="0" fontId="2" fillId="14" borderId="23" xfId="0" applyFont="1" applyFill="1" applyBorder="1" applyAlignment="1">
      <alignment horizontal="center" vertical="center" wrapText="1"/>
    </xf>
    <xf numFmtId="0" fontId="0" fillId="14" borderId="7" xfId="0" applyFill="1" applyBorder="1" applyAlignment="1">
      <alignment horizontal="center" vertical="center" wrapText="1"/>
    </xf>
    <xf numFmtId="14" fontId="24" fillId="9" borderId="0" xfId="0" applyNumberFormat="1" applyFont="1" applyFill="1" applyAlignment="1">
      <alignment vertical="center" wrapText="1"/>
    </xf>
    <xf numFmtId="14" fontId="0" fillId="0" borderId="0" xfId="0" applyNumberFormat="1" applyAlignment="1">
      <alignment horizontal="center" vertical="center" wrapText="1"/>
    </xf>
    <xf numFmtId="14" fontId="0" fillId="9" borderId="7" xfId="0" applyNumberFormat="1" applyFill="1" applyBorder="1" applyAlignment="1">
      <alignment horizontal="center" vertical="center" wrapText="1"/>
    </xf>
    <xf numFmtId="0" fontId="2" fillId="9" borderId="7" xfId="0" applyFont="1" applyFill="1" applyBorder="1" applyAlignment="1">
      <alignment horizontal="center" vertical="center" wrapText="1"/>
    </xf>
    <xf numFmtId="0" fontId="29" fillId="22" borderId="1" xfId="0" applyFont="1" applyFill="1" applyBorder="1" applyAlignment="1">
      <alignment horizontal="center" vertical="center" wrapText="1"/>
    </xf>
    <xf numFmtId="14" fontId="24" fillId="9" borderId="21" xfId="0" applyNumberFormat="1" applyFont="1" applyFill="1" applyBorder="1" applyAlignment="1">
      <alignment vertical="center" wrapText="1"/>
    </xf>
    <xf numFmtId="0" fontId="0" fillId="9" borderId="8" xfId="0" applyFill="1" applyBorder="1" applyAlignment="1">
      <alignment vertical="center" wrapText="1"/>
    </xf>
    <xf numFmtId="0" fontId="3" fillId="0" borderId="7" xfId="0" applyFont="1" applyBorder="1" applyAlignment="1">
      <alignment horizontal="center" vertical="center"/>
    </xf>
    <xf numFmtId="0" fontId="14" fillId="0" borderId="7" xfId="1" applyBorder="1" applyAlignment="1">
      <alignment horizontal="center" vertical="center"/>
    </xf>
    <xf numFmtId="0" fontId="3" fillId="9" borderId="7" xfId="0" applyFont="1" applyFill="1" applyBorder="1" applyAlignment="1">
      <alignment horizontal="center" vertical="center"/>
    </xf>
    <xf numFmtId="0" fontId="0" fillId="9" borderId="9" xfId="0" applyFill="1" applyBorder="1" applyAlignment="1">
      <alignment vertical="center" wrapText="1"/>
    </xf>
    <xf numFmtId="0" fontId="0" fillId="11" borderId="15" xfId="0" applyFill="1" applyBorder="1" applyAlignment="1">
      <alignment vertical="center" wrapText="1"/>
    </xf>
    <xf numFmtId="14" fontId="0" fillId="9" borderId="0" xfId="0" applyNumberFormat="1" applyFill="1" applyAlignment="1">
      <alignment vertical="center" wrapText="1"/>
    </xf>
    <xf numFmtId="0" fontId="28" fillId="9" borderId="7" xfId="0" applyFont="1" applyFill="1" applyBorder="1" applyAlignment="1">
      <alignment horizontal="center" vertical="center" wrapText="1"/>
    </xf>
    <xf numFmtId="0" fontId="28" fillId="9" borderId="7" xfId="0" applyFont="1" applyFill="1" applyBorder="1" applyAlignment="1">
      <alignment vertical="center" wrapText="1"/>
    </xf>
    <xf numFmtId="0" fontId="15" fillId="18" borderId="0" xfId="0" applyFont="1" applyFill="1" applyAlignment="1">
      <alignment wrapText="1"/>
    </xf>
    <xf numFmtId="0" fontId="1" fillId="2" borderId="1" xfId="0" applyFont="1" applyFill="1" applyBorder="1" applyAlignment="1">
      <alignment horizontal="left" vertical="center" wrapText="1"/>
    </xf>
    <xf numFmtId="0" fontId="3" fillId="0" borderId="7" xfId="0" applyFont="1" applyBorder="1" applyAlignment="1">
      <alignment horizontal="left" vertical="center"/>
    </xf>
    <xf numFmtId="0" fontId="28" fillId="0" borderId="1" xfId="0" applyFont="1" applyBorder="1"/>
    <xf numFmtId="0" fontId="2" fillId="14" borderId="1"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8" xfId="0" applyFont="1" applyBorder="1" applyAlignment="1">
      <alignment horizontal="center" vertical="center"/>
    </xf>
    <xf numFmtId="0" fontId="0" fillId="13" borderId="5" xfId="0" applyFill="1" applyBorder="1" applyAlignment="1">
      <alignment horizontal="center" vertical="center" wrapText="1"/>
    </xf>
    <xf numFmtId="0" fontId="2" fillId="13" borderId="5" xfId="0" applyFont="1" applyFill="1" applyBorder="1" applyAlignment="1">
      <alignment horizontal="center" vertical="center" wrapText="1"/>
    </xf>
    <xf numFmtId="14" fontId="2" fillId="9" borderId="1" xfId="0" applyNumberFormat="1" applyFont="1" applyFill="1" applyBorder="1" applyAlignment="1">
      <alignment vertical="center" wrapText="1"/>
    </xf>
    <xf numFmtId="0" fontId="2" fillId="13" borderId="15" xfId="0" applyFont="1" applyFill="1" applyBorder="1" applyAlignment="1">
      <alignment horizontal="center" vertical="center" wrapText="1"/>
    </xf>
    <xf numFmtId="0" fontId="0" fillId="0" borderId="1" xfId="0" applyBorder="1" applyAlignment="1">
      <alignment horizontal="left" indent="2"/>
    </xf>
    <xf numFmtId="0" fontId="29" fillId="22" borderId="7" xfId="0" applyFont="1" applyFill="1" applyBorder="1" applyAlignment="1">
      <alignment horizontal="center" vertical="center" wrapText="1"/>
    </xf>
    <xf numFmtId="0" fontId="30" fillId="0" borderId="0" xfId="0" applyFont="1" applyAlignment="1">
      <alignment wrapText="1"/>
    </xf>
    <xf numFmtId="0" fontId="0" fillId="23" borderId="15" xfId="0" applyFill="1" applyBorder="1" applyAlignment="1">
      <alignment horizontal="center" vertical="center" wrapText="1"/>
    </xf>
    <xf numFmtId="0" fontId="0" fillId="9" borderId="7" xfId="0" applyFill="1" applyBorder="1" applyAlignment="1">
      <alignment horizontal="left" vertical="top" wrapText="1"/>
    </xf>
    <xf numFmtId="0" fontId="2" fillId="9" borderId="1" xfId="0" applyFont="1" applyFill="1" applyBorder="1" applyAlignment="1">
      <alignment horizontal="left" vertical="top" wrapText="1"/>
    </xf>
    <xf numFmtId="0" fontId="28" fillId="9" borderId="7" xfId="0" applyFont="1" applyFill="1" applyBorder="1" applyAlignment="1">
      <alignment horizontal="left" vertical="top" wrapText="1"/>
    </xf>
    <xf numFmtId="0" fontId="30" fillId="0" borderId="0" xfId="0" applyFont="1"/>
    <xf numFmtId="0" fontId="31" fillId="9" borderId="7" xfId="1" applyFont="1" applyFill="1" applyBorder="1" applyAlignment="1">
      <alignment vertical="center" wrapText="1"/>
    </xf>
    <xf numFmtId="0" fontId="24" fillId="0" borderId="0" xfId="0" applyFont="1" applyAlignment="1">
      <alignment horizontal="center"/>
    </xf>
    <xf numFmtId="0" fontId="32" fillId="9" borderId="7" xfId="1" applyFont="1" applyFill="1" applyBorder="1" applyAlignment="1">
      <alignment vertical="center" wrapText="1"/>
    </xf>
    <xf numFmtId="0" fontId="15" fillId="0" borderId="1" xfId="0" applyFont="1" applyBorder="1" applyAlignment="1">
      <alignment horizontal="center" vertical="center"/>
    </xf>
    <xf numFmtId="0" fontId="1" fillId="2" borderId="15" xfId="0" applyFont="1" applyFill="1" applyBorder="1" applyAlignment="1">
      <alignment horizontal="center" vertical="center" wrapText="1"/>
    </xf>
    <xf numFmtId="0" fontId="33" fillId="9" borderId="1" xfId="0" applyFont="1" applyFill="1" applyBorder="1" applyAlignment="1">
      <alignment horizontal="center" vertical="center" wrapText="1"/>
    </xf>
    <xf numFmtId="0" fontId="27" fillId="21" borderId="23" xfId="0" applyFont="1" applyFill="1" applyBorder="1"/>
    <xf numFmtId="0" fontId="15" fillId="0" borderId="0" xfId="0" applyFont="1" applyAlignment="1">
      <alignment horizontal="center"/>
    </xf>
    <xf numFmtId="0" fontId="0" fillId="23" borderId="1" xfId="0" applyFill="1" applyBorder="1" applyAlignment="1">
      <alignment horizontal="center" vertical="center" wrapText="1"/>
    </xf>
    <xf numFmtId="0" fontId="0" fillId="9" borderId="7" xfId="0" applyFill="1" applyBorder="1" applyAlignment="1">
      <alignment horizontal="left" vertical="center" wrapText="1"/>
    </xf>
    <xf numFmtId="0" fontId="27" fillId="21" borderId="1" xfId="0" applyFont="1" applyFill="1" applyBorder="1"/>
    <xf numFmtId="0" fontId="0" fillId="0" borderId="4" xfId="0" applyBorder="1" applyAlignment="1">
      <alignment horizontal="center" vertical="center"/>
    </xf>
    <xf numFmtId="0" fontId="0" fillId="23" borderId="1" xfId="0" applyFill="1" applyBorder="1" applyAlignment="1">
      <alignment horizontal="center" vertical="center"/>
    </xf>
    <xf numFmtId="0" fontId="0" fillId="9" borderId="3" xfId="0" applyFill="1" applyBorder="1" applyAlignment="1">
      <alignment vertical="center" wrapText="1"/>
    </xf>
    <xf numFmtId="0" fontId="24" fillId="0" borderId="25" xfId="0" applyFont="1" applyBorder="1" applyAlignment="1">
      <alignment vertical="center"/>
    </xf>
    <xf numFmtId="0" fontId="2" fillId="21" borderId="7" xfId="0" applyFont="1" applyFill="1" applyBorder="1" applyAlignment="1">
      <alignment horizontal="center" vertical="center" wrapText="1"/>
    </xf>
    <xf numFmtId="0" fontId="0" fillId="0" borderId="15" xfId="0" applyBorder="1" applyAlignment="1">
      <alignment horizontal="center" vertical="center"/>
    </xf>
    <xf numFmtId="0" fontId="0" fillId="0" borderId="17" xfId="0" applyBorder="1" applyAlignment="1">
      <alignment horizontal="center" vertical="center"/>
    </xf>
    <xf numFmtId="0" fontId="34" fillId="24" borderId="29" xfId="0" applyFont="1" applyFill="1" applyBorder="1" applyAlignment="1">
      <alignment horizontal="center" vertical="center" wrapText="1"/>
    </xf>
    <xf numFmtId="0" fontId="0" fillId="23" borderId="0" xfId="0" applyFill="1" applyAlignment="1">
      <alignment vertical="center" wrapText="1"/>
    </xf>
    <xf numFmtId="0" fontId="18" fillId="2" borderId="15" xfId="0" applyFont="1" applyFill="1" applyBorder="1" applyAlignment="1">
      <alignment horizontal="center" vertical="center" wrapText="1"/>
    </xf>
    <xf numFmtId="0" fontId="18" fillId="5" borderId="7" xfId="0" applyFont="1" applyFill="1" applyBorder="1" applyAlignment="1">
      <alignment horizontal="center" vertical="center" wrapText="1"/>
    </xf>
    <xf numFmtId="0" fontId="35" fillId="22" borderId="7" xfId="0" applyFont="1" applyFill="1" applyBorder="1" applyAlignment="1">
      <alignment horizontal="center" vertical="center" wrapText="1"/>
    </xf>
    <xf numFmtId="0" fontId="2" fillId="0" borderId="0" xfId="0" applyFont="1" applyAlignment="1">
      <alignment vertical="center"/>
    </xf>
    <xf numFmtId="14" fontId="0" fillId="0" borderId="0" xfId="0" applyNumberFormat="1" applyAlignment="1">
      <alignment horizontal="left"/>
    </xf>
    <xf numFmtId="0" fontId="2" fillId="23" borderId="1" xfId="0" applyFont="1" applyFill="1" applyBorder="1" applyAlignment="1">
      <alignment horizontal="center" vertical="center" wrapText="1"/>
    </xf>
    <xf numFmtId="0" fontId="2" fillId="0" borderId="5" xfId="0" applyFont="1" applyBorder="1" applyAlignment="1">
      <alignment horizontal="center" vertical="center"/>
    </xf>
    <xf numFmtId="0" fontId="2" fillId="9" borderId="21" xfId="0" applyFont="1" applyFill="1" applyBorder="1" applyAlignment="1">
      <alignment horizontal="left" vertical="center" wrapText="1"/>
    </xf>
    <xf numFmtId="0" fontId="2" fillId="21" borderId="1" xfId="0" applyFont="1" applyFill="1" applyBorder="1" applyAlignment="1">
      <alignment horizontal="center" vertical="center" wrapText="1"/>
    </xf>
    <xf numFmtId="0" fontId="28" fillId="0" borderId="0" xfId="0" applyFont="1" applyAlignment="1">
      <alignment horizontal="center"/>
    </xf>
    <xf numFmtId="0" fontId="0" fillId="9" borderId="7" xfId="0" applyFill="1" applyBorder="1" applyAlignment="1">
      <alignment horizontal="center" wrapText="1"/>
    </xf>
    <xf numFmtId="0" fontId="18" fillId="2" borderId="21" xfId="0" applyFont="1" applyFill="1" applyBorder="1" applyAlignment="1">
      <alignment horizontal="center" vertical="center" wrapText="1"/>
    </xf>
    <xf numFmtId="0" fontId="18" fillId="2" borderId="21" xfId="0" applyFont="1" applyFill="1" applyBorder="1" applyAlignment="1">
      <alignment vertical="center" wrapText="1"/>
    </xf>
    <xf numFmtId="0" fontId="18" fillId="3" borderId="24" xfId="0" applyFont="1" applyFill="1" applyBorder="1" applyAlignment="1">
      <alignment vertical="center" wrapText="1"/>
    </xf>
    <xf numFmtId="14" fontId="2" fillId="9" borderId="21" xfId="0" applyNumberFormat="1" applyFont="1" applyFill="1" applyBorder="1" applyAlignment="1">
      <alignment horizontal="center" vertical="center" wrapText="1"/>
    </xf>
    <xf numFmtId="0" fontId="2" fillId="21" borderId="21" xfId="0" applyFont="1" applyFill="1" applyBorder="1" applyAlignment="1">
      <alignment horizontal="center" vertical="center" wrapText="1"/>
    </xf>
    <xf numFmtId="14" fontId="2" fillId="9" borderId="21" xfId="0" applyNumberFormat="1" applyFont="1" applyFill="1" applyBorder="1" applyAlignment="1">
      <alignment vertical="center" wrapText="1"/>
    </xf>
    <xf numFmtId="0" fontId="14" fillId="9" borderId="21" xfId="1" applyFill="1" applyBorder="1" applyAlignment="1">
      <alignment vertical="center" wrapText="1"/>
    </xf>
    <xf numFmtId="0" fontId="2" fillId="9" borderId="21" xfId="0" applyFont="1" applyFill="1" applyBorder="1" applyAlignment="1">
      <alignment horizontal="center" wrapText="1"/>
    </xf>
    <xf numFmtId="0" fontId="2" fillId="0" borderId="21" xfId="0" applyFont="1" applyBorder="1" applyAlignment="1">
      <alignment horizontal="center" vertical="center" wrapText="1"/>
    </xf>
    <xf numFmtId="0" fontId="2" fillId="14" borderId="21" xfId="0" applyFont="1" applyFill="1" applyBorder="1" applyAlignment="1">
      <alignment horizontal="center" vertical="center" wrapText="1"/>
    </xf>
    <xf numFmtId="0" fontId="14" fillId="9" borderId="21" xfId="1" applyFill="1" applyBorder="1" applyAlignment="1">
      <alignment horizontal="left" vertical="center" wrapText="1"/>
    </xf>
    <xf numFmtId="14" fontId="2" fillId="9" borderId="21" xfId="0" applyNumberFormat="1" applyFont="1" applyFill="1" applyBorder="1" applyAlignment="1">
      <alignment horizontal="center" vertical="center" wrapText="1" indent="1"/>
    </xf>
    <xf numFmtId="0" fontId="2" fillId="9" borderId="21" xfId="0" applyFont="1" applyFill="1" applyBorder="1" applyAlignment="1">
      <alignment horizontal="center" vertical="center" wrapText="1" indent="1"/>
    </xf>
    <xf numFmtId="0" fontId="2" fillId="9" borderId="30" xfId="0" applyFont="1" applyFill="1" applyBorder="1" applyAlignment="1">
      <alignment horizontal="center" vertical="center" wrapText="1"/>
    </xf>
    <xf numFmtId="0" fontId="2" fillId="9" borderId="31" xfId="0" applyFont="1" applyFill="1" applyBorder="1" applyAlignment="1">
      <alignment horizontal="center" vertical="center" wrapText="1"/>
    </xf>
    <xf numFmtId="14" fontId="2" fillId="9" borderId="31" xfId="0" applyNumberFormat="1" applyFont="1" applyFill="1" applyBorder="1" applyAlignment="1">
      <alignment horizontal="center" vertical="center" wrapText="1"/>
    </xf>
    <xf numFmtId="0" fontId="2" fillId="9" borderId="31" xfId="0" applyFont="1" applyFill="1" applyBorder="1" applyAlignment="1">
      <alignment horizontal="center" wrapText="1"/>
    </xf>
    <xf numFmtId="0" fontId="2" fillId="0" borderId="31" xfId="0" applyFont="1" applyBorder="1" applyAlignment="1">
      <alignment horizontal="center" vertical="center" wrapText="1"/>
    </xf>
    <xf numFmtId="0" fontId="2" fillId="9" borderId="31" xfId="0" applyFont="1" applyFill="1" applyBorder="1" applyAlignment="1">
      <alignment horizontal="left" vertical="center" wrapText="1"/>
    </xf>
    <xf numFmtId="0" fontId="0" fillId="0" borderId="27" xfId="0" applyBorder="1"/>
    <xf numFmtId="14" fontId="2" fillId="9" borderId="7" xfId="0" applyNumberFormat="1" applyFont="1" applyFill="1" applyBorder="1" applyAlignment="1">
      <alignment horizontal="center" vertical="center" wrapText="1"/>
    </xf>
    <xf numFmtId="0" fontId="2" fillId="9" borderId="7" xfId="0" applyFont="1" applyFill="1" applyBorder="1" applyAlignment="1">
      <alignment horizontal="center" wrapText="1"/>
    </xf>
    <xf numFmtId="0" fontId="2" fillId="14" borderId="7" xfId="0" applyFont="1" applyFill="1" applyBorder="1" applyAlignment="1">
      <alignment horizontal="center" vertical="center" wrapText="1"/>
    </xf>
    <xf numFmtId="0" fontId="2" fillId="9" borderId="7" xfId="0" applyFont="1" applyFill="1" applyBorder="1" applyAlignment="1">
      <alignment horizontal="left" vertical="center" wrapText="1"/>
    </xf>
    <xf numFmtId="0" fontId="2" fillId="9" borderId="7" xfId="0" applyFont="1" applyFill="1" applyBorder="1" applyAlignment="1">
      <alignment horizontal="center" vertical="center" wrapText="1" indent="1"/>
    </xf>
    <xf numFmtId="0" fontId="2" fillId="9" borderId="0" xfId="0" applyFont="1" applyFill="1" applyAlignment="1">
      <alignment horizontal="center" wrapText="1"/>
    </xf>
    <xf numFmtId="0" fontId="2" fillId="9" borderId="31" xfId="0" applyFont="1" applyFill="1" applyBorder="1" applyAlignment="1">
      <alignment horizontal="center" vertical="top" wrapText="1"/>
    </xf>
    <xf numFmtId="0" fontId="2" fillId="9" borderId="21" xfId="0" applyFont="1" applyFill="1" applyBorder="1" applyAlignment="1">
      <alignment horizontal="center" vertical="top" wrapText="1"/>
    </xf>
    <xf numFmtId="14" fontId="2" fillId="9" borderId="21" xfId="0" applyNumberFormat="1" applyFont="1" applyFill="1" applyBorder="1" applyAlignment="1">
      <alignment horizontal="left" vertical="center" wrapText="1"/>
    </xf>
    <xf numFmtId="0" fontId="14" fillId="9" borderId="21" xfId="1" applyFill="1" applyBorder="1" applyAlignment="1">
      <alignment horizontal="center" vertical="center" wrapText="1"/>
    </xf>
    <xf numFmtId="0" fontId="17" fillId="0" borderId="1" xfId="0" applyFont="1" applyBorder="1"/>
    <xf numFmtId="14" fontId="0" fillId="0" borderId="5" xfId="0" applyNumberFormat="1" applyBorder="1"/>
    <xf numFmtId="0" fontId="0" fillId="0" borderId="3" xfId="0" applyBorder="1"/>
    <xf numFmtId="0" fontId="3" fillId="0" borderId="7" xfId="0" applyFont="1" applyBorder="1" applyAlignment="1">
      <alignment wrapText="1"/>
    </xf>
    <xf numFmtId="0" fontId="0" fillId="0" borderId="7" xfId="0" applyBorder="1"/>
    <xf numFmtId="0" fontId="17" fillId="0" borderId="7" xfId="0" applyFont="1" applyBorder="1"/>
    <xf numFmtId="0" fontId="0" fillId="0" borderId="7" xfId="0" applyBorder="1" applyAlignment="1">
      <alignment horizontal="center"/>
    </xf>
    <xf numFmtId="0" fontId="0" fillId="0" borderId="4" xfId="0" applyBorder="1" applyAlignment="1">
      <alignment horizontal="center"/>
    </xf>
    <xf numFmtId="0" fontId="0" fillId="0" borderId="4" xfId="0" applyBorder="1"/>
    <xf numFmtId="0" fontId="3" fillId="8" borderId="3" xfId="0" applyFont="1" applyFill="1" applyBorder="1" applyAlignment="1">
      <alignment horizontal="center" wrapText="1"/>
    </xf>
    <xf numFmtId="0" fontId="0" fillId="8" borderId="3" xfId="0" applyFill="1" applyBorder="1" applyAlignment="1">
      <alignment horizontal="center"/>
    </xf>
    <xf numFmtId="0" fontId="0" fillId="0" borderId="3" xfId="0" applyBorder="1" applyAlignment="1">
      <alignment horizontal="center"/>
    </xf>
    <xf numFmtId="0" fontId="15" fillId="0" borderId="3" xfId="0" applyFont="1" applyBorder="1" applyAlignment="1">
      <alignment wrapText="1"/>
    </xf>
    <xf numFmtId="0" fontId="0" fillId="0" borderId="3" xfId="0" applyBorder="1" applyAlignment="1">
      <alignment wrapText="1"/>
    </xf>
    <xf numFmtId="14" fontId="2" fillId="23" borderId="21" xfId="0" applyNumberFormat="1" applyFont="1" applyFill="1" applyBorder="1" applyAlignment="1">
      <alignment horizontal="center" vertical="center" wrapText="1"/>
    </xf>
    <xf numFmtId="0" fontId="2" fillId="23" borderId="21" xfId="0" applyFont="1" applyFill="1" applyBorder="1" applyAlignment="1">
      <alignment horizontal="center" vertical="center" wrapText="1"/>
    </xf>
    <xf numFmtId="0" fontId="2" fillId="9" borderId="21" xfId="0" applyFont="1" applyFill="1" applyBorder="1" applyAlignment="1">
      <alignment horizontal="center" vertical="center" wrapText="1" indent="2"/>
    </xf>
    <xf numFmtId="14" fontId="14" fillId="9" borderId="21" xfId="1" applyNumberFormat="1" applyFill="1" applyBorder="1" applyAlignment="1">
      <alignment horizontal="center" vertical="center" wrapText="1"/>
    </xf>
    <xf numFmtId="14" fontId="2" fillId="14" borderId="21" xfId="0" applyNumberFormat="1" applyFont="1" applyFill="1" applyBorder="1" applyAlignment="1">
      <alignment horizontal="center" vertical="center" wrapText="1"/>
    </xf>
    <xf numFmtId="0" fontId="0" fillId="0" borderId="1" xfId="0" applyBorder="1" applyAlignment="1">
      <alignment vertical="top" wrapText="1"/>
    </xf>
    <xf numFmtId="14" fontId="2" fillId="9" borderId="21" xfId="0" applyNumberFormat="1" applyFont="1" applyFill="1" applyBorder="1" applyAlignment="1">
      <alignment horizontal="center" vertical="top" wrapText="1"/>
    </xf>
    <xf numFmtId="0" fontId="19" fillId="0" borderId="18" xfId="0" applyFont="1" applyBorder="1" applyAlignment="1">
      <alignment horizontal="center" vertical="center"/>
    </xf>
    <xf numFmtId="0" fontId="0" fillId="0" borderId="32" xfId="0" applyBorder="1" applyAlignment="1">
      <alignment horizontal="center" vertical="center" wrapText="1"/>
    </xf>
    <xf numFmtId="0" fontId="2" fillId="9" borderId="5" xfId="0" applyFont="1" applyFill="1" applyBorder="1" applyAlignment="1">
      <alignment horizontal="center" vertical="center" wrapText="1"/>
    </xf>
    <xf numFmtId="0" fontId="36" fillId="0" borderId="0" xfId="0" applyFont="1" applyAlignment="1">
      <alignment vertical="center" wrapText="1"/>
    </xf>
    <xf numFmtId="0" fontId="15" fillId="0" borderId="0" xfId="0" applyFont="1" applyAlignment="1">
      <alignment horizontal="center" vertical="center"/>
    </xf>
    <xf numFmtId="14" fontId="2" fillId="9" borderId="1" xfId="0" applyNumberFormat="1" applyFont="1" applyFill="1" applyBorder="1" applyAlignment="1">
      <alignment horizontal="center" vertical="center" wrapText="1"/>
    </xf>
    <xf numFmtId="0" fontId="15" fillId="0" borderId="1" xfId="0" applyFont="1" applyBorder="1" applyAlignment="1">
      <alignment horizontal="center"/>
    </xf>
    <xf numFmtId="14" fontId="2" fillId="9" borderId="24" xfId="0" applyNumberFormat="1" applyFont="1" applyFill="1" applyBorder="1" applyAlignment="1">
      <alignment horizontal="center" vertical="center" wrapText="1"/>
    </xf>
    <xf numFmtId="0" fontId="2" fillId="9" borderId="33" xfId="0" applyFont="1" applyFill="1" applyBorder="1" applyAlignment="1">
      <alignment horizontal="center" vertical="center" wrapText="1"/>
    </xf>
    <xf numFmtId="14" fontId="2" fillId="9" borderId="33" xfId="0" applyNumberFormat="1" applyFont="1" applyFill="1" applyBorder="1" applyAlignment="1">
      <alignment horizontal="center" vertical="center" wrapText="1"/>
    </xf>
    <xf numFmtId="14" fontId="2" fillId="9" borderId="34" xfId="0" applyNumberFormat="1" applyFont="1" applyFill="1" applyBorder="1" applyAlignment="1">
      <alignment horizontal="center" vertical="center" wrapText="1"/>
    </xf>
    <xf numFmtId="14" fontId="14" fillId="9" borderId="7" xfId="1" applyNumberFormat="1" applyFill="1" applyBorder="1" applyAlignment="1">
      <alignment horizontal="center" vertical="center" wrapText="1"/>
    </xf>
    <xf numFmtId="0" fontId="19" fillId="25" borderId="1" xfId="0" applyFont="1" applyFill="1" applyBorder="1"/>
    <xf numFmtId="0" fontId="0" fillId="0" borderId="0" xfId="0" applyAlignment="1">
      <alignment horizontal="right"/>
    </xf>
    <xf numFmtId="0" fontId="0" fillId="0" borderId="1" xfId="0" applyBorder="1" applyAlignment="1">
      <alignment horizontal="right"/>
    </xf>
    <xf numFmtId="0" fontId="18" fillId="5" borderId="7" xfId="0" applyFont="1" applyFill="1" applyBorder="1" applyAlignment="1">
      <alignment vertical="center" wrapText="1"/>
    </xf>
    <xf numFmtId="0" fontId="35" fillId="22" borderId="7" xfId="0" applyFont="1" applyFill="1" applyBorder="1" applyAlignment="1">
      <alignment vertical="center" wrapText="1"/>
    </xf>
    <xf numFmtId="0" fontId="2" fillId="21" borderId="1" xfId="0" applyFont="1" applyFill="1" applyBorder="1" applyAlignment="1">
      <alignment vertical="center" wrapText="1"/>
    </xf>
    <xf numFmtId="0" fontId="0" fillId="0" borderId="32" xfId="0" applyBorder="1" applyAlignment="1">
      <alignment vertical="center"/>
    </xf>
    <xf numFmtId="0" fontId="0" fillId="0" borderId="32" xfId="0" applyBorder="1" applyAlignment="1">
      <alignment vertical="center" wrapText="1"/>
    </xf>
    <xf numFmtId="14" fontId="33" fillId="23" borderId="21" xfId="0" applyNumberFormat="1" applyFont="1" applyFill="1" applyBorder="1" applyAlignment="1">
      <alignment horizontal="center" vertical="center" wrapText="1"/>
    </xf>
    <xf numFmtId="0" fontId="18" fillId="3" borderId="24" xfId="0" applyFont="1" applyFill="1" applyBorder="1" applyAlignment="1">
      <alignment horizontal="center" vertical="center" wrapText="1"/>
    </xf>
    <xf numFmtId="14" fontId="37" fillId="9" borderId="21" xfId="0" applyNumberFormat="1" applyFont="1" applyFill="1" applyBorder="1" applyAlignment="1">
      <alignment horizontal="center" vertical="center" wrapText="1"/>
    </xf>
    <xf numFmtId="0" fontId="2" fillId="9" borderId="34" xfId="0" applyFont="1" applyFill="1" applyBorder="1" applyAlignment="1">
      <alignment horizontal="center" vertical="center" wrapText="1"/>
    </xf>
    <xf numFmtId="0" fontId="15" fillId="18" borderId="35" xfId="0" applyFont="1" applyFill="1" applyBorder="1" applyAlignment="1">
      <alignment horizontal="center" vertical="center" wrapText="1"/>
    </xf>
    <xf numFmtId="14" fontId="2" fillId="11" borderId="1" xfId="0" applyNumberFormat="1" applyFont="1" applyFill="1" applyBorder="1" applyAlignment="1">
      <alignment vertical="center" wrapText="1"/>
    </xf>
    <xf numFmtId="0" fontId="30" fillId="0" borderId="0" xfId="0" applyFont="1" applyAlignment="1">
      <alignment vertical="center" wrapText="1"/>
    </xf>
    <xf numFmtId="14" fontId="2" fillId="13" borderId="21" xfId="0" applyNumberFormat="1" applyFont="1" applyFill="1" applyBorder="1" applyAlignment="1">
      <alignment horizontal="center" vertical="center" wrapText="1"/>
    </xf>
    <xf numFmtId="0" fontId="18" fillId="2" borderId="1" xfId="0" applyFont="1" applyFill="1" applyBorder="1" applyAlignment="1">
      <alignment horizontal="left" vertical="center" wrapText="1"/>
    </xf>
    <xf numFmtId="0" fontId="24" fillId="0" borderId="0" xfId="0" applyFont="1"/>
    <xf numFmtId="0" fontId="19" fillId="0" borderId="1" xfId="0" applyFont="1" applyBorder="1" applyAlignment="1">
      <alignment vertical="top" wrapText="1"/>
    </xf>
    <xf numFmtId="0" fontId="20" fillId="10" borderId="26" xfId="0" applyFont="1" applyFill="1" applyBorder="1" applyAlignment="1">
      <alignment horizontal="center" vertical="center"/>
    </xf>
    <xf numFmtId="0" fontId="20" fillId="10" borderId="27" xfId="0" applyFont="1" applyFill="1" applyBorder="1" applyAlignment="1">
      <alignment horizontal="center" vertical="center"/>
    </xf>
    <xf numFmtId="0" fontId="20" fillId="10" borderId="28" xfId="0" applyFont="1" applyFill="1" applyBorder="1" applyAlignment="1">
      <alignment horizontal="center" vertical="center"/>
    </xf>
    <xf numFmtId="0" fontId="20" fillId="10" borderId="14" xfId="0" applyFont="1" applyFill="1" applyBorder="1" applyAlignment="1">
      <alignment horizontal="center" vertical="center"/>
    </xf>
    <xf numFmtId="0" fontId="19" fillId="0" borderId="32" xfId="0" applyFont="1" applyBorder="1" applyAlignment="1">
      <alignment horizontal="left"/>
    </xf>
    <xf numFmtId="0" fontId="2" fillId="0" borderId="5" xfId="0" applyFont="1" applyBorder="1" applyAlignment="1">
      <alignment wrapText="1"/>
    </xf>
    <xf numFmtId="0" fontId="9" fillId="7" borderId="0" xfId="0" applyFont="1" applyFill="1" applyAlignment="1"/>
    <xf numFmtId="0" fontId="0" fillId="0" borderId="0" xfId="0" applyAlignment="1"/>
    <xf numFmtId="0" fontId="10" fillId="0" borderId="6" xfId="0" applyFont="1" applyBorder="1" applyAlignment="1"/>
    <xf numFmtId="0" fontId="10" fillId="0" borderId="3" xfId="0" applyFont="1" applyBorder="1" applyAlignment="1"/>
  </cellXfs>
  <cellStyles count="2">
    <cellStyle name="Hyperlink" xfId="1" builtinId="8"/>
    <cellStyle name="Normal" xfId="0" builtinId="0"/>
  </cellStyles>
  <dxfs count="602">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vertical="center"/>
    </dxf>
    <dxf>
      <alignment vertical="cent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wrapText="0"/>
    </dxf>
    <dxf>
      <fill>
        <patternFill patternType="solid">
          <fgColor indexed="64"/>
          <bgColor theme="0"/>
        </patternFill>
      </fill>
      <alignment vertical="center" wrapText="0"/>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ill>
        <patternFill patternType="solid">
          <fgColor indexed="64"/>
          <bgColor theme="0"/>
        </patternFill>
      </fill>
      <alignment vertical="cent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ill>
        <patternFill patternType="solid">
          <fgColor indexed="64"/>
          <bgColor theme="0"/>
        </patternFill>
      </fill>
      <alignment vertical="cent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ill>
        <patternFill patternType="solid">
          <fgColor indexed="64"/>
          <bgColor theme="0"/>
        </patternFill>
      </fill>
      <alignment vertical="cent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ill>
        <patternFill patternType="solid">
          <fgColor indexed="64"/>
          <bgColor theme="0"/>
        </patternFill>
      </fill>
      <alignment vertical="cent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ill>
        <patternFill patternType="solid">
          <fgColor indexed="64"/>
          <bgColor theme="0"/>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0"/>
      </font>
      <fill>
        <patternFill patternType="solid">
          <fgColor indexed="64"/>
          <bgColor theme="7" tint="-0.249977111117893"/>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ont>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rial"/>
        <scheme val="min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name val="Arial"/>
        <scheme val="minor"/>
      </font>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ont>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rial"/>
        <scheme val="min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name val="Arial"/>
        <scheme val="minor"/>
      </font>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ont>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rial"/>
        <scheme val="min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name val="Arial"/>
        <scheme val="minor"/>
      </font>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ont>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rial"/>
        <scheme val="min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name val="Arial"/>
        <scheme val="minor"/>
      </font>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theme" Target="theme/theme1.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6220A33-2EC9-42BC-BFB2-498044676AF3}" name="Table1456789111231413161718151920" displayName="Table1456789111231413161718151920" ref="A1:AE7" totalsRowShown="0" headerRowDxfId="601" dataDxfId="600" tableBorderDxfId="599">
  <autoFilter ref="A1:AE7" xr:uid="{B5D083CE-8877-4237-BEDA-8FC85C398B86}"/>
  <tableColumns count="31">
    <tableColumn id="1" xr3:uid="{741B717D-0105-4ED3-83A7-AC29117732F3}" name="S.No" dataDxfId="598"/>
    <tableColumn id="27" xr3:uid="{6A4E17C2-34EF-41C1-AABD-2FBEDD090090}" name="Application Name" dataDxfId="597"/>
    <tableColumn id="26" xr3:uid="{765DC199-2079-4831-AE85-3FC496211A35}" name="Sprint Start Date" dataDxfId="596"/>
    <tableColumn id="25" xr3:uid="{04F4D1D1-85E1-4C67-8F0B-AB6470732C5F}" name="Sprint End Date" dataDxfId="595"/>
    <tableColumn id="2" xr3:uid="{83331368-9876-4A7D-9F0E-14F089690491}" name="Sprint " dataDxfId="594"/>
    <tableColumn id="3" xr3:uid="{DC76CADF-9020-4A7C-9D9C-916C67144C55}" name="Developer" dataDxfId="593"/>
    <tableColumn id="4" xr3:uid="{F2448B74-FC6F-40B6-BB2C-3E809DD4E300}" name="Story ID/Defect ID" dataDxfId="592"/>
    <tableColumn id="5" xr3:uid="{94AA7592-A519-419B-BA23-750428317170}" name="Description" dataDxfId="591"/>
    <tableColumn id="6" xr3:uid="{1FA12C2A-7A6F-41FF-966C-8BCDFED90FFD}" name="Status" dataDxfId="590"/>
    <tableColumn id="7" xr3:uid="{5EEFF4C5-C08E-45C2-9C5B-88518D61D1D6}" name="Estimated(sp)" dataDxfId="589"/>
    <tableColumn id="8" xr3:uid="{BA792626-B4F0-4C6C-9632-08C08818A2D3}" name="Actual(sp)" dataDxfId="588"/>
    <tableColumn id="28" xr3:uid="{96DE9396-C1D8-48E5-8DB5-91217E31171A}" name="Actual Hours Worklog" dataDxfId="587"/>
    <tableColumn id="30" xr3:uid="{6CFE59B8-913E-479A-94AE-BBA2C8DDA8CD}" name="Dev Start Date" dataDxfId="586"/>
    <tableColumn id="31" xr3:uid="{C33A2A58-55D1-4AB0-BBB0-3F04BCC22250}" name="Dev End Date" dataDxfId="585"/>
    <tableColumn id="9" xr3:uid="{CAF8CC54-1870-4678-8C6B-8B0337CD2430}" name="Unit testing" dataDxfId="584"/>
    <tableColumn id="10" xr3:uid="{909A5846-70BD-44CE-8AC7-A92FBD059CD6}" name="Peer Tested By" dataDxfId="583"/>
    <tableColumn id="11" xr3:uid="{E59268A3-BE22-460A-ACFB-B31BF0EF8728}" name="Peer Tested Defects, if any" dataDxfId="582"/>
    <tableColumn id="12" xr3:uid="{61F9B1C8-1948-4F76-9ED3-6A810FDB53A0}" name="Peer Reviewed By" dataDxfId="581"/>
    <tableColumn id="13" xr3:uid="{1272CDE2-67F7-4067-972B-CA5DCDE32F56}" name="Peer Code Review Comments, if any" dataDxfId="580"/>
    <tableColumn id="14" xr3:uid="{6764C5E9-EDB0-44BC-8362-112959AAB038}" name="PR Number/Link" dataDxfId="579" dataCellStyle="Hyperlink"/>
    <tableColumn id="15" xr3:uid="{CA5FB586-DCD7-457E-AEC1-E483D3750F38}" name="PR Created Date" dataDxfId="578"/>
    <tableColumn id="16" xr3:uid="{8612843A-4C20-41EA-AE32-A7B89EB6069D}" name="PR Approved Date" dataDxfId="577"/>
    <tableColumn id="17" xr3:uid="{A3D2146A-F465-4FE5-A95D-4F60D5030CD9}" name="Reviewer 1" dataDxfId="576"/>
    <tableColumn id="18" xr3:uid="{5F692853-89C3-4948-9AE0-A2BAB006CF4A}" name="Code Review Comments, if any" dataDxfId="575"/>
    <tableColumn id="19" xr3:uid="{D413EE2E-CC30-41F3-B7EF-F644E45839FA}" name="Reviewer 2" dataDxfId="574"/>
    <tableColumn id="20" xr3:uid="{925C92C7-6D45-4041-8A57-9FB48124BE0D}" name="Approved Date" dataDxfId="573"/>
    <tableColumn id="21" xr3:uid="{33B07530-D696-40D8-8EC9-EDB075A47D07}" name="Code Review Comments, if any2" dataDxfId="572"/>
    <tableColumn id="22" xr3:uid="{34AA6664-718A-460B-A823-4C3ED3CEBA58}" name="Internal PO -POV Comments" dataDxfId="571"/>
    <tableColumn id="23" xr3:uid="{F39AAFE9-80AB-4717-9D92-02392E17FC15}" name="Client PO -POV Comments" dataDxfId="570"/>
    <tableColumn id="24" xr3:uid="{4FD69D61-9AF7-4EB2-B02A-420E004AC032}" name="Comments" dataDxfId="569"/>
    <tableColumn id="29" xr3:uid="{33EB6C4E-011C-444A-907E-F20CC446770E}" name="Does this story meets expectations" dataDxfId="56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F6846CE-798D-4787-A645-8BE31616CD38}" name="Table14567891112314131617181519" displayName="Table14567891112314131617181519" ref="A1:AE7" totalsRowShown="0" headerRowDxfId="567" dataDxfId="566" tableBorderDxfId="565">
  <autoFilter ref="A1:AE7" xr:uid="{B5D083CE-8877-4237-BEDA-8FC85C398B86}"/>
  <tableColumns count="31">
    <tableColumn id="1" xr3:uid="{035E4360-9745-4221-B152-1075E42945EB}" name="S.No" dataDxfId="564"/>
    <tableColumn id="27" xr3:uid="{8F196672-E635-4710-8610-4B3C98824E59}" name="Application Name" dataDxfId="563"/>
    <tableColumn id="26" xr3:uid="{491B56D7-FB3A-487F-AF5C-BF9F5E0D054C}" name="Sprint Start Date" dataDxfId="562"/>
    <tableColumn id="25" xr3:uid="{48733583-D4FB-409E-8078-45D1D4006EC0}" name="Sprint End Date" dataDxfId="561"/>
    <tableColumn id="2" xr3:uid="{9C8301D1-3944-4084-BD55-0D4D2A6FCBE9}" name="Sprint " dataDxfId="560"/>
    <tableColumn id="3" xr3:uid="{4B4A7FE6-58E9-479D-9168-5AFAE764336D}" name="Developer" dataDxfId="559"/>
    <tableColumn id="4" xr3:uid="{FF4866BE-51DB-4BC4-A992-78FCB7299863}" name="Story ID/Defect ID" dataDxfId="558"/>
    <tableColumn id="5" xr3:uid="{741E5EAE-57B7-4A2D-BF15-1478844C5C92}" name="Description" dataDxfId="557"/>
    <tableColumn id="6" xr3:uid="{077A67F5-ED3C-4355-A160-78A940AD7C92}" name="Status" dataDxfId="556"/>
    <tableColumn id="7" xr3:uid="{E1C31FA1-344B-43F4-B712-A68EAEEF5B7A}" name="Estimated(sp)" dataDxfId="555"/>
    <tableColumn id="8" xr3:uid="{39A9EA75-6DB1-4B48-9B9A-C6EA2CB58C29}" name="Actual(sp)" dataDxfId="554"/>
    <tableColumn id="28" xr3:uid="{46A81FD8-F423-40C2-8FEB-35EF2D2AAB10}" name="Actual Hours Worklog" dataDxfId="553"/>
    <tableColumn id="30" xr3:uid="{C7815FD7-0BF9-457D-A88D-51DB23D39813}" name="Dev Start Date" dataDxfId="552"/>
    <tableColumn id="31" xr3:uid="{BE9AE8FA-35AF-48B0-841D-575370C72C2B}" name="Dev End Date" dataDxfId="551"/>
    <tableColumn id="9" xr3:uid="{2C76A844-8FB1-4D7C-8060-86F2E97519B9}" name="Unit testing" dataDxfId="550"/>
    <tableColumn id="10" xr3:uid="{C1B8E252-E3EA-4308-87CB-B81D62D8DADF}" name="Peer Tested By" dataDxfId="549"/>
    <tableColumn id="11" xr3:uid="{92F626CC-02BA-43EE-8F3A-47B1754B9B6E}" name="Peer Tested Defects, if any" dataDxfId="548"/>
    <tableColumn id="12" xr3:uid="{4D9EAECB-818A-418D-86B6-730F14676072}" name="Peer Reviewed By" dataDxfId="547"/>
    <tableColumn id="13" xr3:uid="{DE208C7D-A28E-427C-BDAB-1CC71467FE5A}" name="Peer Code Review Comments, if any" dataDxfId="546"/>
    <tableColumn id="14" xr3:uid="{12881BB5-6BF9-4E45-B75A-81A9B88EEB85}" name="PR Number/Link" dataDxfId="545" dataCellStyle="Hyperlink"/>
    <tableColumn id="15" xr3:uid="{327894CE-6CA0-4909-BBEE-7BAB5F642F64}" name="PR Created Date" dataDxfId="544"/>
    <tableColumn id="16" xr3:uid="{61EF9249-2377-4CBC-B25E-34E92D870624}" name="PR Approved Date" dataDxfId="543"/>
    <tableColumn id="17" xr3:uid="{7A83F9E3-6708-4FE2-9E54-BDD98C1F2495}" name="Reviewer 1" dataDxfId="542"/>
    <tableColumn id="18" xr3:uid="{DAA30A0F-ED98-4578-AB93-AC524E0B92EA}" name="Code Review Comments, if any" dataDxfId="541"/>
    <tableColumn id="19" xr3:uid="{457AAE55-E641-45BC-86DB-11DB751F7B91}" name="Reviewer 2" dataDxfId="540"/>
    <tableColumn id="20" xr3:uid="{50252941-FE9F-4EE1-B133-388163C8CF34}" name="Approved Date" dataDxfId="539"/>
    <tableColumn id="21" xr3:uid="{CFB684BE-CD8C-4AE6-B830-9CC12D4CA6D2}" name="Code Review Comments, if any2" dataDxfId="538"/>
    <tableColumn id="22" xr3:uid="{B3F6C37C-10A4-451C-8371-FDEA9B55BEC4}" name="Internal PO -POV Comments" dataDxfId="537"/>
    <tableColumn id="23" xr3:uid="{E506E1A3-9BC5-49F5-A19E-63C9C0E5DA3F}" name="Client PO -POV Comments" dataDxfId="536"/>
    <tableColumn id="24" xr3:uid="{0CF85E70-7DC1-4236-8C2B-86BAC288913A}" name="Comments" dataDxfId="535"/>
    <tableColumn id="29" xr3:uid="{028AC819-8EE4-46C2-8E63-3C5C0E7FB0FB}" name="Does this story meets expectations" dataDxfId="53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54DD38F-A8C6-4F46-8599-2610FB930041}" name="Table145678911123141316171815" displayName="Table145678911123141316171815" ref="A1:AE5" totalsRowShown="0" headerRowDxfId="533" dataDxfId="532" tableBorderDxfId="531">
  <autoFilter ref="A1:AE5" xr:uid="{B5D083CE-8877-4237-BEDA-8FC85C398B86}"/>
  <tableColumns count="31">
    <tableColumn id="1" xr3:uid="{5560B5DB-BF59-4D39-90E2-5BD87AFA4252}" name="S.No" dataDxfId="530"/>
    <tableColumn id="27" xr3:uid="{57F73BB5-7DB4-43C6-B74A-2098C334993C}" name="Application Name" dataDxfId="529"/>
    <tableColumn id="26" xr3:uid="{B51EAC14-D9EB-445A-9EAB-932198C43C21}" name="Sprint Start Date" dataDxfId="528"/>
    <tableColumn id="25" xr3:uid="{D2C2E7B5-45FA-4C67-88F6-53078187F9EE}" name="Sprint End Date" dataDxfId="527"/>
    <tableColumn id="2" xr3:uid="{0352384C-B15C-4C93-A523-6CAA71DDF3BD}" name="Sprint " dataDxfId="526"/>
    <tableColumn id="3" xr3:uid="{682F0041-8B24-409D-831E-D8346DEFBF5A}" name="Developer" dataDxfId="525"/>
    <tableColumn id="4" xr3:uid="{7C39D0F7-CB7F-4233-8972-F57E90D08803}" name="Story ID/Defect ID" dataDxfId="524"/>
    <tableColumn id="5" xr3:uid="{AB838CE6-458E-4ECC-9CC7-925C55F49047}" name="Description" dataDxfId="523"/>
    <tableColumn id="6" xr3:uid="{48580F42-E1B7-473C-B265-E2D6A4727D76}" name="Status" dataDxfId="522"/>
    <tableColumn id="7" xr3:uid="{C135A0E9-184B-480F-97BE-644150DF9657}" name="Estimated(sp)" dataDxfId="521"/>
    <tableColumn id="8" xr3:uid="{9B745A3D-0460-4C0E-9161-71DF800BBF50}" name="Actual(sp)" dataDxfId="520"/>
    <tableColumn id="28" xr3:uid="{3C174060-E553-4196-90C9-CA58C1F4DFB8}" name="Actual Hours Worklog" dataDxfId="519"/>
    <tableColumn id="30" xr3:uid="{8B1D6D6D-326B-458F-B6F5-710E9BDE3024}" name="Dev Start Date" dataDxfId="518"/>
    <tableColumn id="31" xr3:uid="{D076BAB9-9AE2-4ECD-A8D8-B89EEF5981DF}" name="Dev End Date" dataDxfId="517"/>
    <tableColumn id="9" xr3:uid="{BD891B5C-EB69-4F15-8204-9A33BE6A4697}" name="Unit testing" dataDxfId="516"/>
    <tableColumn id="10" xr3:uid="{1E66A27E-15DF-4A24-948A-094F3A461815}" name="Peer Tested By" dataDxfId="515"/>
    <tableColumn id="11" xr3:uid="{9F040C8E-D489-426C-BA95-B6C3982B6375}" name="Peer Tested Defects, if any" dataDxfId="514"/>
    <tableColumn id="12" xr3:uid="{8D0D2E09-CBD9-446C-9F60-6638D0E9718D}" name="Peer Reviewed By" dataDxfId="513"/>
    <tableColumn id="13" xr3:uid="{646AC9AB-18CC-4FDE-8AEF-3DEB37C42DBF}" name="Peer Code Review Comments, if any" dataDxfId="512"/>
    <tableColumn id="14" xr3:uid="{5C583FC1-8E98-4B8A-AA22-BA4BDEB16EB5}" name="PR Number/Link" dataDxfId="511" dataCellStyle="Hyperlink"/>
    <tableColumn id="15" xr3:uid="{D56A3B8E-A414-4321-B998-5F78E5723042}" name="PR Created Date" dataDxfId="510"/>
    <tableColumn id="16" xr3:uid="{A3966D69-228C-419F-993F-34AEA334B8E7}" name="PR Approved Date" dataDxfId="509"/>
    <tableColumn id="17" xr3:uid="{A737A711-1D46-49D0-BAF6-EB84E15C56C7}" name="Reviewer 1" dataDxfId="508"/>
    <tableColumn id="18" xr3:uid="{B794BEF4-7FF9-405B-811A-DF300F7700E7}" name="Code Review Comments, if any" dataDxfId="507"/>
    <tableColumn id="19" xr3:uid="{6F283694-09D8-434B-AEBA-9BC4EF700550}" name="Reviewer 2" dataDxfId="506"/>
    <tableColumn id="20" xr3:uid="{7E5DA0A7-1F6C-4D9D-A675-87ACE91CCA61}" name="Approved Date" dataDxfId="505"/>
    <tableColumn id="21" xr3:uid="{518F1C1B-661B-4E24-BDB7-973CE861073E}" name="Code Review Comments, if any2" dataDxfId="504"/>
    <tableColumn id="22" xr3:uid="{4F867544-EBCD-41F1-BF87-F1FC3B558BDB}" name="Internal PO -POV Comments" dataDxfId="503"/>
    <tableColumn id="23" xr3:uid="{5288A17E-D091-4950-87F6-977B540BD0E0}" name="Client PO -POV Comments" dataDxfId="502"/>
    <tableColumn id="24" xr3:uid="{3B0AB988-81D6-4AA2-9473-8A13C8A43F30}" name="Comments" dataDxfId="501"/>
    <tableColumn id="29" xr3:uid="{5A11128D-9CD1-4AEC-9064-87F479258A5E}" name="Does this story meets expectations" dataDxfId="50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5ED30C-A9F1-4AA8-8654-EC77E9C10423}" name="Table1456789111231413161718" displayName="Table1456789111231413161718" ref="A1:AE8" totalsRowShown="0" headerRowDxfId="499" dataDxfId="498" tableBorderDxfId="497">
  <autoFilter ref="A1:AE8" xr:uid="{B5D083CE-8877-4237-BEDA-8FC85C398B86}"/>
  <tableColumns count="31">
    <tableColumn id="1" xr3:uid="{A7C675D4-D795-42BF-A4C2-96B6EF1DBAB7}" name="S.No" dataDxfId="496"/>
    <tableColumn id="27" xr3:uid="{CEBEDC82-8694-40FC-B59D-5E553BB52488}" name="Application Name" dataDxfId="495"/>
    <tableColumn id="26" xr3:uid="{632FE8EB-F150-4C79-82AE-062FCA9487FF}" name="Sprint Start Date" dataDxfId="494"/>
    <tableColumn id="25" xr3:uid="{B7C406F4-4709-4E2E-B3F5-8615B45F3D74}" name="Sprint End Date" dataDxfId="493"/>
    <tableColumn id="2" xr3:uid="{37B678F9-BFE2-4724-9333-02B782381EE3}" name="Sprint " dataDxfId="492"/>
    <tableColumn id="3" xr3:uid="{05FBC1A4-5956-49F1-8765-F063FBE4559B}" name="Developer" dataDxfId="491"/>
    <tableColumn id="4" xr3:uid="{B1742A0D-D35D-4C93-B416-35BD32908F05}" name="Story ID/Defect ID" dataDxfId="490"/>
    <tableColumn id="5" xr3:uid="{0826F569-027D-4922-A59D-16A6C6FD5E0F}" name="Description" dataDxfId="489"/>
    <tableColumn id="6" xr3:uid="{4974E240-C5AE-4EBF-B2E9-A7C624279237}" name="Status" dataDxfId="488"/>
    <tableColumn id="7" xr3:uid="{FA7664A8-21AB-48D3-B9CF-BC57765D89B6}" name="Estimated(sp)" dataDxfId="487"/>
    <tableColumn id="8" xr3:uid="{C24CDEE4-07F6-4189-9287-875C2336E483}" name="Actual(sp)" dataDxfId="486"/>
    <tableColumn id="28" xr3:uid="{7A5E71EF-BBC3-451A-9625-4532CAB8753F}" name="Actual Hours Worklog" dataDxfId="485"/>
    <tableColumn id="30" xr3:uid="{B29DF315-C76A-480E-881A-EF57001B4017}" name="Dev Start Date" dataDxfId="484"/>
    <tableColumn id="31" xr3:uid="{6A062AE3-E0D4-47A7-B026-1BC78F9A2F04}" name="Dev End Date" dataDxfId="483"/>
    <tableColumn id="9" xr3:uid="{B119137E-81FD-437E-8144-4BE8170675A6}" name="Unit testing" dataDxfId="482"/>
    <tableColumn id="10" xr3:uid="{34FEB3BC-D81A-41F3-BC29-B5E8A2BD9195}" name="Peer Tested By" dataDxfId="481"/>
    <tableColumn id="11" xr3:uid="{F1B59ACA-E074-4539-895F-BCFD1BC192FB}" name="Peer Tested Defects, if any" dataDxfId="480"/>
    <tableColumn id="12" xr3:uid="{18F3529D-0215-43B0-A4E8-3FD747C554AA}" name="Peer Reviewed By" dataDxfId="479"/>
    <tableColumn id="13" xr3:uid="{42348FD6-893E-4218-A7F0-4A1316D555AE}" name="Peer Code Review Comments, if any" dataDxfId="478"/>
    <tableColumn id="14" xr3:uid="{F7B221A4-66F8-480B-BE41-E125036B27C0}" name="PR Number/Link" dataDxfId="477" dataCellStyle="Hyperlink"/>
    <tableColumn id="15" xr3:uid="{666E1AC9-4D09-493E-83B1-5E762FCAF7B4}" name="PR Created Date" dataDxfId="476"/>
    <tableColumn id="16" xr3:uid="{979A8D4B-E415-4365-A180-3433F3E2CE6F}" name="PR Approved Date" dataDxfId="475"/>
    <tableColumn id="17" xr3:uid="{6C84295F-6A12-489D-9C21-0AE31683AE2E}" name="Reviewer 1" dataDxfId="474"/>
    <tableColumn id="18" xr3:uid="{A57A8ECA-0D4E-4F85-ADC7-40764E89B973}" name="Code Review Comments, if any" dataDxfId="473"/>
    <tableColumn id="19" xr3:uid="{59BD9F82-139B-4D85-A248-3870CBEB76CB}" name="Reviewer 2" dataDxfId="472"/>
    <tableColumn id="20" xr3:uid="{07530B8E-A1FA-40AD-A100-C34A0B0C6AB8}" name="Approved Date" dataDxfId="471"/>
    <tableColumn id="21" xr3:uid="{87CF61C9-0CF0-4C11-81AD-83C646A21326}" name="Code Review Comments, if any2" dataDxfId="470"/>
    <tableColumn id="22" xr3:uid="{343AB408-BF03-4698-9EF3-D431F2F15810}" name="Internal PO -POV Comments" dataDxfId="469"/>
    <tableColumn id="23" xr3:uid="{233E8E60-4DED-47D8-8295-F6C320C72330}" name="Client PO -POV Comments" dataDxfId="468"/>
    <tableColumn id="24" xr3:uid="{41B033DE-66EC-4CF8-933B-9E200AC7E4CF}" name="Comments" dataDxfId="467"/>
    <tableColumn id="29" xr3:uid="{4DAE7D89-EDCF-4ED0-9081-99F5B79F2C09}" name="Does this story meets expectations" dataDxfId="46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7B5823B-73E2-4277-A6AC-DB0F0F3EF329}" name="Table14567891112314131617" displayName="Table14567891112314131617" ref="A1:AC7" totalsRowShown="0" headerRowDxfId="465" dataDxfId="464" tableBorderDxfId="463">
  <autoFilter ref="A1:AC7" xr:uid="{B5D083CE-8877-4237-BEDA-8FC85C398B86}"/>
  <tableColumns count="29">
    <tableColumn id="1" xr3:uid="{7B5917BA-E228-43DD-A4A7-23119D8BDC6E}" name="S.No" dataDxfId="462"/>
    <tableColumn id="27" xr3:uid="{1F00E997-8D6C-40EA-A4ED-4B9DD4DE37B2}" name="Application Name" dataDxfId="461"/>
    <tableColumn id="26" xr3:uid="{F00CB33A-75F5-4A45-B882-010C817D981E}" name="Sprint Start Date" dataDxfId="460"/>
    <tableColumn id="25" xr3:uid="{A587BFBB-0B4C-4EA3-B228-0657027B273E}" name="Sprint End Date" dataDxfId="459"/>
    <tableColumn id="2" xr3:uid="{7AF2FABF-E50C-4617-83FD-F46302A87A7B}" name="Sprint " dataDxfId="458"/>
    <tableColumn id="3" xr3:uid="{B66CED9C-7870-496A-83B7-2C63770C6C17}" name="Developer" dataDxfId="457"/>
    <tableColumn id="4" xr3:uid="{5539813B-5EC2-4754-852B-5D2BB7709508}" name="Story ID/Defect ID" dataDxfId="456"/>
    <tableColumn id="5" xr3:uid="{407ADC29-F835-4D26-A81F-50E553F6C5F2}" name="Description" dataDxfId="455"/>
    <tableColumn id="6" xr3:uid="{4ECCDA4D-0A4B-4F1C-9468-9D0966A5BD13}" name="Status" dataDxfId="454"/>
    <tableColumn id="7" xr3:uid="{83174ECD-0414-4B31-B849-B14A70603F63}" name="Estimated(sp)" dataDxfId="453"/>
    <tableColumn id="8" xr3:uid="{2E5ACCFB-2461-4453-A36D-1C8CBCE75DE2}" name="Actual(sp)" dataDxfId="452"/>
    <tableColumn id="28" xr3:uid="{74E8274D-7627-443F-8175-91E18F3CA864}" name="Actual Hours Worklog" dataDxfId="451"/>
    <tableColumn id="9" xr3:uid="{6976C37C-CADB-4B99-AB4E-216D0BDD81B0}" name="Unit testing" dataDxfId="450"/>
    <tableColumn id="10" xr3:uid="{410AB37B-9709-484E-92AE-7569CC86048A}" name="Peer Tested By" dataDxfId="449"/>
    <tableColumn id="11" xr3:uid="{61C65CE3-55B9-4B7C-8D0E-55A76554F415}" name="Peer Tested Defects, if any" dataDxfId="448"/>
    <tableColumn id="12" xr3:uid="{F5D3B48D-F870-4575-92E9-5A54399FA4F8}" name="Peer Reviewed By" dataDxfId="447"/>
    <tableColumn id="13" xr3:uid="{74965667-82EE-433C-82D3-BECD3FF8E5EE}" name="Peer Code Review Comments, if any" dataDxfId="446"/>
    <tableColumn id="14" xr3:uid="{90791E0C-7EF4-413F-851E-6ADEC13E83CB}" name="PR Number/Link" dataDxfId="445" dataCellStyle="Hyperlink"/>
    <tableColumn id="15" xr3:uid="{B8B0CB14-6A08-4B99-AC34-55113E1031A5}" name="PR Created Date" dataDxfId="444"/>
    <tableColumn id="16" xr3:uid="{01989F4A-DDAA-468F-A530-7786BC237750}" name="PR Approved Date" dataDxfId="443"/>
    <tableColumn id="17" xr3:uid="{528E561E-D379-49B3-ADE6-AE952F97448C}" name="Reviewer 1" dataDxfId="442"/>
    <tableColumn id="18" xr3:uid="{5DACF166-1DD4-49CE-9650-F8248A95C6E3}" name="Code Review Comments, if any" dataDxfId="441"/>
    <tableColumn id="19" xr3:uid="{1321EDCA-71C1-47AC-947B-CB0C28330425}" name="Reviewer 2" dataDxfId="440"/>
    <tableColumn id="20" xr3:uid="{D954C1BD-823F-490E-99AF-CEEDD4BE27C0}" name="Approved Date" dataDxfId="439"/>
    <tableColumn id="21" xr3:uid="{A1E3F828-6E84-43D4-B17A-8EF700BCB245}" name="Code Review Comments, if any2" dataDxfId="438"/>
    <tableColumn id="22" xr3:uid="{56318467-CCEB-4079-9037-96E4DC47CA20}" name="Internal PO -POV Comments" dataDxfId="437"/>
    <tableColumn id="23" xr3:uid="{95FA6870-5E98-4312-A95F-4E5455F9AB64}" name="Client PO -POV Comments" dataDxfId="436"/>
    <tableColumn id="24" xr3:uid="{D9E41F92-4182-4EFD-A0DB-81BE75761DAF}" name="Comments" dataDxfId="435"/>
    <tableColumn id="29" xr3:uid="{96E79C54-116F-454D-A59D-A5E5050F6EE1}" name="Does this story meets expectations" dataDxfId="4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91DC1E2-9C00-44FE-A809-448765D25CAE}" name="Table145678911123141316" displayName="Table145678911123141316" ref="A1:AC8" totalsRowShown="0" headerRowDxfId="433" dataDxfId="432" tableBorderDxfId="431">
  <autoFilter ref="A1:AC8" xr:uid="{B5D083CE-8877-4237-BEDA-8FC85C398B86}"/>
  <tableColumns count="29">
    <tableColumn id="1" xr3:uid="{2FEAE3DF-4CD0-455F-B8C1-F749853BEDE3}" name="S.No" dataDxfId="430"/>
    <tableColumn id="27" xr3:uid="{FF958A25-5813-4C61-B81E-A0848DB83B86}" name="Application Name" dataDxfId="429"/>
    <tableColumn id="26" xr3:uid="{B6B64DE8-71FC-4716-8246-3F90B1A0D61A}" name="Sprint Start Date" dataDxfId="428"/>
    <tableColumn id="25" xr3:uid="{61BD11CA-A703-48D4-912E-11EF0D9642C4}" name="Sprint End Date" dataDxfId="427"/>
    <tableColumn id="2" xr3:uid="{D2920303-82C8-447E-9250-B1F2ECB4B243}" name="Sprint " dataDxfId="426"/>
    <tableColumn id="3" xr3:uid="{66C3059C-2717-4A79-9BA8-D1C3BCD435E5}" name="Developer" dataDxfId="425"/>
    <tableColumn id="4" xr3:uid="{778D1273-67E0-4068-8DA8-F014EC12A2B1}" name="Story ID/Defect ID" dataDxfId="424"/>
    <tableColumn id="5" xr3:uid="{F91D6EFB-56C8-4C7E-A56F-C00C28A4B3AD}" name="Description" dataDxfId="423"/>
    <tableColumn id="6" xr3:uid="{365D3108-2DB2-40EC-B5F1-42794E4CB546}" name="Status" dataDxfId="422"/>
    <tableColumn id="7" xr3:uid="{6F6DC9B9-4F96-4467-9023-83A3B80CACD9}" name="Estimated(sp)" dataDxfId="421"/>
    <tableColumn id="8" xr3:uid="{4D3470EC-1751-4C10-BD4D-3186DF1A6C12}" name="Actual(sp)" dataDxfId="420"/>
    <tableColumn id="28" xr3:uid="{9B7419B2-F3AC-4FC8-AD1A-B7D58BA89B0D}" name="Actual Hours Worklog" dataDxfId="419"/>
    <tableColumn id="9" xr3:uid="{C9556D28-D64B-4118-BC42-27465B215E22}" name="Unit testing" dataDxfId="418"/>
    <tableColumn id="10" xr3:uid="{5C48F4CC-F04D-478B-B684-9B590718370C}" name="Peer Tested By" dataDxfId="417"/>
    <tableColumn id="11" xr3:uid="{CDDD529E-AB84-4FB8-8DEA-6FF352E167A4}" name="Peer Tested Defects, if any" dataDxfId="416"/>
    <tableColumn id="12" xr3:uid="{9C2D06EE-0857-40B4-8EAB-3F8ADA548679}" name="Peer Reviewed By" dataDxfId="415"/>
    <tableColumn id="13" xr3:uid="{39A88AC5-9510-4CF2-B24F-9089DEBDA391}" name="Peer Code Review Comments, if any" dataDxfId="414"/>
    <tableColumn id="14" xr3:uid="{8B6D64F6-30ED-42A0-8917-5BDF51BEBEDE}" name="PR Number/Link" dataDxfId="413" dataCellStyle="Hyperlink"/>
    <tableColumn id="15" xr3:uid="{921F06D4-8B55-4200-8695-8B6E3AB14E48}" name="PR Created Date" dataDxfId="412"/>
    <tableColumn id="16" xr3:uid="{CF9376FB-5D59-426C-8238-7BE87147A5CD}" name="PR Approved Date" dataDxfId="411"/>
    <tableColumn id="17" xr3:uid="{DDFF72C2-15C4-4396-9838-7018447B8A85}" name="Reviewer 1" dataDxfId="410"/>
    <tableColumn id="18" xr3:uid="{3BEFB164-4015-4922-911E-545B1A568549}" name="Code Review Comments, if any" dataDxfId="409"/>
    <tableColumn id="19" xr3:uid="{CE116EDF-64AA-4530-B823-5E49B4CAFEC1}" name="Reviewer 2" dataDxfId="408"/>
    <tableColumn id="20" xr3:uid="{CF2EB470-E3E3-4939-8A71-2FB1A7136650}" name="Approved Date" dataDxfId="407"/>
    <tableColumn id="21" xr3:uid="{1B33E9BF-19D6-4892-8CF2-20BC96F4204B}" name="Code Review Comments, if any2" dataDxfId="406"/>
    <tableColumn id="22" xr3:uid="{EDA69DD6-2DE5-4BDD-886A-5EF52A5B6DF3}" name="Internal PO -POV Comments" dataDxfId="405"/>
    <tableColumn id="23" xr3:uid="{67E4E29D-EBE6-4679-B9C1-AB5795577071}" name="Client PO -POV Comments" dataDxfId="404"/>
    <tableColumn id="24" xr3:uid="{19AC750D-96D2-4102-8B7D-51807DF65D32}" name="Comments" dataDxfId="403"/>
    <tableColumn id="29" xr3:uid="{1A17FA91-5158-4BC8-9025-A9B81706ADBC}" name="Does this story meets expectations" dataDxfId="40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1C01723-F718-4262-A751-A04EF9C914F5}" name="Table1456789111231413" displayName="Table1456789111231413" ref="A1:AC7" totalsRowShown="0" headerRowDxfId="401" dataDxfId="400" tableBorderDxfId="399">
  <autoFilter ref="A1:AC7" xr:uid="{B5D083CE-8877-4237-BEDA-8FC85C398B86}"/>
  <tableColumns count="29">
    <tableColumn id="1" xr3:uid="{CF4D785D-944C-43D9-B4FA-BD5E789688D8}" name="S.No" dataDxfId="398"/>
    <tableColumn id="27" xr3:uid="{780B2ABE-928F-4532-B06F-EEC39E3F8C7D}" name="Application Name" dataDxfId="397"/>
    <tableColumn id="26" xr3:uid="{867E90B8-F69A-4997-BEB1-96A9DCC53296}" name="Sprint Start Date" dataDxfId="396"/>
    <tableColumn id="25" xr3:uid="{F7F3DCB2-8CC4-4AB9-A4AA-6F5DBE19CCCE}" name="Sprint End Date" dataDxfId="395"/>
    <tableColumn id="2" xr3:uid="{24F536AD-604D-4661-A5C9-90385CA3F282}" name="Sprint " dataDxfId="394"/>
    <tableColumn id="3" xr3:uid="{A39E6CA0-6615-489C-AA86-723BA98FEF01}" name="Developer" dataDxfId="393"/>
    <tableColumn id="4" xr3:uid="{C50E354A-07F8-4080-87F0-6D8CA9775F39}" name="Story ID/Defect ID" dataDxfId="392"/>
    <tableColumn id="5" xr3:uid="{2FF1089C-A435-4A28-BFAC-F2E81D4F16BA}" name="Description" dataDxfId="391"/>
    <tableColumn id="6" xr3:uid="{0BD91A39-8292-45E6-8D2A-6B821F022336}" name="Status" dataDxfId="390"/>
    <tableColumn id="7" xr3:uid="{23391D6F-0301-40C5-AFB8-81DFB7CEE53D}" name="Estimated(sp)" dataDxfId="389"/>
    <tableColumn id="8" xr3:uid="{CAEE2130-9D04-4496-8E45-E915EF964E2F}" name="Actual(sp)" dataDxfId="388"/>
    <tableColumn id="28" xr3:uid="{737C484E-E877-47B7-A014-2001E202DB3C}" name="Actual Hours Worklog" dataDxfId="387"/>
    <tableColumn id="9" xr3:uid="{439F50EF-46E8-4C87-84E4-2A17B8EA4E24}" name="Unit testing" dataDxfId="386"/>
    <tableColumn id="10" xr3:uid="{FDF43F70-9E1B-48C1-A4E7-B4A74401F248}" name="Peer Tested By" dataDxfId="385"/>
    <tableColumn id="11" xr3:uid="{3D023123-246F-4B77-B9DC-333F79C6CA32}" name="Peer Tested Defects, if any" dataDxfId="384"/>
    <tableColumn id="12" xr3:uid="{CAFEBF69-5044-43E2-8322-C2AFB388D799}" name="Peer Reviewed By" dataDxfId="383"/>
    <tableColumn id="13" xr3:uid="{FAF673E6-6245-445E-AEDA-BB3346D0CF87}" name="Peer Code Review Comments, if any" dataDxfId="382"/>
    <tableColumn id="14" xr3:uid="{62D9603D-7858-429C-A9C3-1530D413DEF1}" name="PR Number/Link" dataDxfId="381" dataCellStyle="Hyperlink"/>
    <tableColumn id="15" xr3:uid="{AAAD376D-8CC7-4729-BD36-70F96EDCB7BB}" name="PR Created Date" dataDxfId="380"/>
    <tableColumn id="16" xr3:uid="{7BC9DE5E-3D97-4D49-8BED-8115E33D6E49}" name="PR Approved Date" dataDxfId="379"/>
    <tableColumn id="17" xr3:uid="{98A2E278-5AC0-4280-B559-FC7EEFB0C1E5}" name="Reviewer 1" dataDxfId="378"/>
    <tableColumn id="18" xr3:uid="{7F34315D-81B5-46D4-8C96-E15877766D9E}" name="Code Review Comments, if any" dataDxfId="377"/>
    <tableColumn id="19" xr3:uid="{A158E154-A05B-4D61-B9D9-DCA61B020D42}" name="Reviewer 2" dataDxfId="376"/>
    <tableColumn id="20" xr3:uid="{A7B0102E-6B42-4CF0-B55C-1B2A6B2034E2}" name="Approved Date" dataDxfId="375"/>
    <tableColumn id="21" xr3:uid="{FE7E6DE3-44EE-40B0-B7BF-C5404AA7D801}" name="Code Review Comments, if any2" dataDxfId="374"/>
    <tableColumn id="22" xr3:uid="{3099E556-5D31-4EB9-B868-EDABB5D64703}" name="Internal PO -POV Comments" dataDxfId="373"/>
    <tableColumn id="23" xr3:uid="{AAA8A5A1-C541-481C-B7B0-1FA93342BA6F}" name="Client PO -POV Comments" dataDxfId="372"/>
    <tableColumn id="24" xr3:uid="{9446EC4B-0132-4237-8864-E1F0D3A07FFB}" name="Comments" dataDxfId="371"/>
    <tableColumn id="29" xr3:uid="{4DBD3635-D968-4A56-8549-44893B340C0F}" name="Does this story meets expectations" dataDxfId="37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51F155A-DB4C-4760-B110-41805CE79F25}" name="Table14567891112314" displayName="Table14567891112314" ref="A1:AC11" totalsRowShown="0" headerRowDxfId="369" dataDxfId="368" tableBorderDxfId="367">
  <autoFilter ref="A1:AC11" xr:uid="{B5D083CE-8877-4237-BEDA-8FC85C398B86}"/>
  <tableColumns count="29">
    <tableColumn id="1" xr3:uid="{EB88088D-5C0D-494D-9ECE-6995E4843319}" name="S.No" dataDxfId="366"/>
    <tableColumn id="27" xr3:uid="{9D08445E-7725-4552-B97D-0CD9D95DDF86}" name="Application Name" dataDxfId="365"/>
    <tableColumn id="26" xr3:uid="{75356431-C05E-4488-98CF-F1D52D8D819F}" name="Sprint Start Date" dataDxfId="364"/>
    <tableColumn id="25" xr3:uid="{9B978D71-B0A0-4900-B9C6-E78ECAAC037C}" name="Sprint End Date" dataDxfId="363"/>
    <tableColumn id="2" xr3:uid="{9584198E-A2A2-48DB-9C85-0AE0D7D5E075}" name="Sprint " dataDxfId="362"/>
    <tableColumn id="3" xr3:uid="{DCF29797-85CB-4722-A283-49E684BED749}" name="Developer" dataDxfId="361"/>
    <tableColumn id="4" xr3:uid="{3F1CAAE0-6B12-42EC-9F56-8AF86074C06A}" name="Story ID/Defect ID" dataDxfId="360"/>
    <tableColumn id="5" xr3:uid="{E5DB671B-6508-4974-99B3-2103E6D00E8A}" name="Description" dataDxfId="359"/>
    <tableColumn id="6" xr3:uid="{9EA9CEDC-5E70-432E-9ACD-17B40A5DC093}" name="Status" dataDxfId="358"/>
    <tableColumn id="7" xr3:uid="{E0A73A2D-BEF4-4F7B-A4F7-CB1E800310AE}" name="Estimated(sp)" dataDxfId="357"/>
    <tableColumn id="8" xr3:uid="{859AF13E-5231-456D-BBD5-2C8A5F95F270}" name="Actual(sp)" dataDxfId="356"/>
    <tableColumn id="28" xr3:uid="{C53C5997-BFF6-4C98-A0EC-C78384963E63}" name="Actual Hours Worklog" dataDxfId="355"/>
    <tableColumn id="9" xr3:uid="{8BAEB506-F586-4E16-9483-C283E000AF19}" name="Unit testing" dataDxfId="354"/>
    <tableColumn id="10" xr3:uid="{D7082313-B408-4AB2-A868-B0BC8F1D9FCC}" name="Peer Tested By" dataDxfId="353"/>
    <tableColumn id="11" xr3:uid="{3CA5BC7E-724C-49DA-AB9E-BE5210E2107E}" name="Peer Tested Defects, if any" dataDxfId="352"/>
    <tableColumn id="12" xr3:uid="{A1733B38-7937-44E5-BA0D-E92EAA817E3C}" name="Peer Reviewed By" dataDxfId="351"/>
    <tableColumn id="13" xr3:uid="{99A12E02-280A-4186-BBEE-AA606D5DCB0C}" name="Peer Code Review Comments, if any" dataDxfId="350"/>
    <tableColumn id="14" xr3:uid="{97FB9A62-7CF5-4587-A352-52BC76EDFF4E}" name="PR Number/Link" dataDxfId="349" dataCellStyle="Hyperlink"/>
    <tableColumn id="15" xr3:uid="{6C9115B3-8289-4F77-AC02-74AEBCDF1856}" name="PR Created Date" dataDxfId="348"/>
    <tableColumn id="16" xr3:uid="{6068E3D5-7626-447B-9D7D-20009BEB55CD}" name="PR Approved Date" dataDxfId="347"/>
    <tableColumn id="17" xr3:uid="{0503071D-AE41-452E-BDB6-7FE637AE0F90}" name="Reviewer 1" dataDxfId="346"/>
    <tableColumn id="18" xr3:uid="{0ECD8266-99D1-461A-B593-7C6E6C269B1F}" name="Code Review Comments, if any" dataDxfId="345"/>
    <tableColumn id="19" xr3:uid="{C756F9BA-236E-4D70-A4AA-FAB789EEB34D}" name="Reviewer 2" dataDxfId="344"/>
    <tableColumn id="20" xr3:uid="{534888E2-AF7E-4FF0-BC30-29151E3979BC}" name="Approved Date" dataDxfId="343"/>
    <tableColumn id="21" xr3:uid="{4BC82C41-8865-4703-943D-9F27D34B68D1}" name="Code Review Comments, if any2" dataDxfId="342"/>
    <tableColumn id="22" xr3:uid="{CDD67A5C-E416-496C-9651-D6167F091169}" name="Internal PO -POV Comments" dataDxfId="341"/>
    <tableColumn id="23" xr3:uid="{4EE97821-39DB-43B6-AEA7-07ED806E84E2}" name="Client PO -POV Comments" dataDxfId="340"/>
    <tableColumn id="24" xr3:uid="{5027C5DB-99C4-4FE9-AA8E-CA10BA7E0C6F}" name="Comments" dataDxfId="339"/>
    <tableColumn id="29" xr3:uid="{EE62D8A4-615C-4411-9345-BD575D73A57E}" name="Does this story meets expectations" dataDxfId="33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64D376-E454-40DB-83C3-E4F0A11C73EF}" name="Table145678911123" displayName="Table145678911123" ref="A1:AC11" totalsRowShown="0" headerRowDxfId="337" dataDxfId="336" tableBorderDxfId="335">
  <autoFilter ref="A1:AC11" xr:uid="{B5D083CE-8877-4237-BEDA-8FC85C398B86}"/>
  <tableColumns count="29">
    <tableColumn id="1" xr3:uid="{96FF2C04-1395-4147-AD24-BC6C3BB32F46}" name="S.No" dataDxfId="334"/>
    <tableColumn id="27" xr3:uid="{3C305F14-0396-43F8-AD70-76530B6521CE}" name="Application Name" dataDxfId="333"/>
    <tableColumn id="26" xr3:uid="{612257F9-FCF6-4F71-89D7-ED2A51034D89}" name="Sprint Start Date" dataDxfId="332"/>
    <tableColumn id="25" xr3:uid="{5DF96ED1-2D8B-4806-9B2A-C66C2D2B26C8}" name="Sprint End Date" dataDxfId="331"/>
    <tableColumn id="2" xr3:uid="{C697D772-9CCB-4483-B4D8-75A6F529A59F}" name="Sprint " dataDxfId="330"/>
    <tableColumn id="3" xr3:uid="{D2BA806E-D626-4F10-936D-B865F1593AFA}" name="Developer" dataDxfId="329"/>
    <tableColumn id="4" xr3:uid="{BBF4B5A6-3193-401C-BD2A-0657C09A341D}" name="Story ID/Defect ID" dataDxfId="328"/>
    <tableColumn id="5" xr3:uid="{26D3FB75-DF7B-4A1E-AB9F-B8A3D3816E8E}" name="Description" dataDxfId="327"/>
    <tableColumn id="6" xr3:uid="{58535968-40BF-4DE4-854C-C3BBE39EF536}" name="Status" dataDxfId="326"/>
    <tableColumn id="7" xr3:uid="{4F257744-0AEF-4AA6-8F43-313E20F6B389}" name="Estimated(sp)" dataDxfId="325"/>
    <tableColumn id="8" xr3:uid="{FECE9C5F-4BB9-44B8-A184-E373DA2D4101}" name="Actual(sp)" dataDxfId="324"/>
    <tableColumn id="28" xr3:uid="{91FCA1DC-61D3-4DDC-8AD5-E56A0232549E}" name="Actual Hours Worklog" dataDxfId="323"/>
    <tableColumn id="9" xr3:uid="{3B454A69-17FB-40E7-AF86-F96C67C3DB76}" name="Unit testing" dataDxfId="322"/>
    <tableColumn id="10" xr3:uid="{48011996-373F-446D-A5E7-E063E0B65FB7}" name="Peer Tested By" dataDxfId="321"/>
    <tableColumn id="11" xr3:uid="{7462C69A-3BA3-4CBB-AA42-C97FE33A7EA1}" name="Peer Tested Defects, if any" dataDxfId="320"/>
    <tableColumn id="12" xr3:uid="{F4C4ED8F-9BF4-4E72-9C8E-BEA5777629F5}" name="Peer Reviewed By" dataDxfId="319"/>
    <tableColumn id="13" xr3:uid="{807D20F2-1903-46DE-BD87-EB486886CFD6}" name="Peer Code Review Comments, if any" dataDxfId="318"/>
    <tableColumn id="14" xr3:uid="{D5F70EE9-7C76-4065-BC4F-5CEF41AD9171}" name="PR Number/Link" dataDxfId="317" dataCellStyle="Hyperlink"/>
    <tableColumn id="15" xr3:uid="{80EBB5CE-4E69-40A9-84F7-D32CBA61F513}" name="PR Created Date" dataDxfId="316"/>
    <tableColumn id="16" xr3:uid="{2BA0616F-478D-419F-9830-90A5E929EB9A}" name="PR Approved Date" dataDxfId="315"/>
    <tableColumn id="17" xr3:uid="{8D67009A-9DC4-4EE8-BBE0-7C55443BE1C8}" name="Reviewer 1" dataDxfId="314"/>
    <tableColumn id="18" xr3:uid="{10D3B880-E3E8-4BAE-B788-41444BA3688F}" name="Code Review Comments, if any" dataDxfId="313"/>
    <tableColumn id="19" xr3:uid="{19DF63B4-87D9-46F3-BC14-BF6B14FBA36B}" name="Reviewer 2" dataDxfId="312"/>
    <tableColumn id="20" xr3:uid="{BC60267C-BB5C-45B6-889E-87938C983674}" name="Approved Date" dataDxfId="311"/>
    <tableColumn id="21" xr3:uid="{F229656F-E94C-4C70-9A1D-F82F58D15337}" name="Code Review Comments, if any2" dataDxfId="310"/>
    <tableColumn id="22" xr3:uid="{D7E4E9CB-BB56-4CCD-8257-D0CD54B9837A}" name="Internal PO -POV Comments" dataDxfId="309"/>
    <tableColumn id="23" xr3:uid="{BDDEA2D4-0665-4EFB-B806-3DFA53FA632D}" name="Client PO -POV Comments" dataDxfId="308"/>
    <tableColumn id="24" xr3:uid="{6D19640F-8464-4A98-8269-40C8B50F9AFA}" name="Comments" dataDxfId="307"/>
    <tableColumn id="29" xr3:uid="{A038538B-09BA-452B-ADC6-7E9A0F807EB4}" name="Does this story meets expectations" dataDxfId="30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0617995-672A-4A64-A98F-FD959C3E3D21}" name="Table14567891112" displayName="Table14567891112" ref="A1:AB7" totalsRowShown="0" headerRowDxfId="305" dataDxfId="304" tableBorderDxfId="303">
  <autoFilter ref="A1:AB7" xr:uid="{B5D083CE-8877-4237-BEDA-8FC85C398B86}"/>
  <tableColumns count="28">
    <tableColumn id="1" xr3:uid="{5687E868-52CB-44A9-9DF4-79DEC4CCA412}" name="S.No" dataDxfId="302"/>
    <tableColumn id="27" xr3:uid="{3058223F-7BFF-4129-BC2D-19138556F29C}" name="Application Name" dataDxfId="301"/>
    <tableColumn id="26" xr3:uid="{275806FC-68D5-4336-804D-B97776E3894A}" name="Sprint Start Date" dataDxfId="300"/>
    <tableColumn id="25" xr3:uid="{80FAF06A-2E95-4E6A-80E0-68994A5363E1}" name="Sprint End Date" dataDxfId="299"/>
    <tableColumn id="2" xr3:uid="{475F7306-9EF3-4D3B-89DD-4C50C04D42FB}" name="Sprint " dataDxfId="298"/>
    <tableColumn id="3" xr3:uid="{918FAA73-29A5-49B3-B935-94DC88F8E2C6}" name="Developer" dataDxfId="297"/>
    <tableColumn id="4" xr3:uid="{7839BB14-B8A1-49DE-96ED-E71F2942FBF2}" name="Story ID/Defect ID" dataDxfId="296"/>
    <tableColumn id="5" xr3:uid="{066F61E3-DBE9-43D6-A095-96EEC03B18A8}" name="Description" dataDxfId="295"/>
    <tableColumn id="6" xr3:uid="{D9ED1377-4C5E-4D9B-85C5-FB1C141EA343}" name="Status" dataDxfId="294"/>
    <tableColumn id="7" xr3:uid="{2732CC80-D090-4193-A80F-61062A51A474}" name="Estimated(sp)" dataDxfId="293"/>
    <tableColumn id="8" xr3:uid="{C0615D10-EE9D-4033-ACE6-BB4770228C4D}" name="Actual(sp)" dataDxfId="292"/>
    <tableColumn id="28" xr3:uid="{3EF1B598-6D77-4DC0-88DB-16563B6EDE6E}" name="Actual Hours Worklog" dataDxfId="291"/>
    <tableColumn id="9" xr3:uid="{2DFED1C0-6B13-434C-909B-9ADC90360454}" name="Unit testing" dataDxfId="290"/>
    <tableColumn id="10" xr3:uid="{90E059D1-520E-4503-91CC-3B371A97CA82}" name="Peer Tested By" dataDxfId="289"/>
    <tableColumn id="11" xr3:uid="{C9226DFC-4554-4F12-8D39-609CFA1A9737}" name="Peer Tested Defects, if any" dataDxfId="288"/>
    <tableColumn id="12" xr3:uid="{C332E451-B36E-457A-B085-17AFDB62E144}" name="Peer Reviewed By" dataDxfId="287"/>
    <tableColumn id="13" xr3:uid="{A541CBC3-3DF5-4BA6-917B-FD305AF55C0B}" name="Peer Code Review Comments, if any" dataDxfId="286"/>
    <tableColumn id="14" xr3:uid="{9837CC46-6233-498B-A0F4-039B7CC1D208}" name="PR Number/Link" dataDxfId="285" dataCellStyle="Hyperlink"/>
    <tableColumn id="15" xr3:uid="{193C8AED-1B7C-44EA-9A93-945053A6D038}" name="PR Created Date" dataDxfId="284"/>
    <tableColumn id="16" xr3:uid="{BE6CFEB8-F617-44AF-9F75-0DBCD5B34551}" name="PR Approved Date" dataDxfId="283"/>
    <tableColumn id="17" xr3:uid="{97C291AB-2F90-46C1-9288-496857B4D3F9}" name="Reviewer 1" dataDxfId="282"/>
    <tableColumn id="18" xr3:uid="{099F6B39-DB46-4299-B683-216413BE9724}" name="Code Review Comments, if any" dataDxfId="281"/>
    <tableColumn id="19" xr3:uid="{596CBA4B-1EF7-4A9A-908A-5C9BA981EB38}" name="Reviewer 2" dataDxfId="280"/>
    <tableColumn id="20" xr3:uid="{DE7A8E38-2DFF-4B40-8F31-48CC21C5891B}" name="Approved Date" dataDxfId="279"/>
    <tableColumn id="21" xr3:uid="{62D92BE7-E4D2-4E23-A4E8-662B6641E098}" name="Code Review Comments, if any2" dataDxfId="278"/>
    <tableColumn id="22" xr3:uid="{922E94CF-BC04-4AC2-A815-1E27DD461AEE}" name="Internal PO -POV Comments" dataDxfId="277"/>
    <tableColumn id="23" xr3:uid="{3AD20011-8F59-4D21-8117-F18341D66DDC}" name="Client PO -POV Comments" dataDxfId="276"/>
    <tableColumn id="24" xr3:uid="{6746F376-6114-4C72-833E-A47D33A85828}" name="Comments" dataDxfId="27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F988D30-FAC5-4AA7-A4A8-00719291BDDB}" name="Table145678911" displayName="Table145678911" ref="A1:AB13" totalsRowShown="0" headerRowDxfId="274" dataDxfId="273" tableBorderDxfId="272">
  <autoFilter ref="A1:AB13" xr:uid="{B5D083CE-8877-4237-BEDA-8FC85C398B86}"/>
  <tableColumns count="28">
    <tableColumn id="1" xr3:uid="{27E0A393-C9D2-49E9-B22E-46D69E087D8F}" name="S.No" dataDxfId="271"/>
    <tableColumn id="27" xr3:uid="{FC887715-A63D-439E-9E33-72B1142FE9F6}" name="Application Name" dataDxfId="270"/>
    <tableColumn id="26" xr3:uid="{D3A1DC11-CCE9-4339-A27A-B1213A6F099A}" name="Sprint Start Date" dataDxfId="269"/>
    <tableColumn id="25" xr3:uid="{DB9E5BAC-384D-48FD-89A1-57C7E7DDC42C}" name="Sprint End Date" dataDxfId="268"/>
    <tableColumn id="2" xr3:uid="{29754DDB-4A15-4930-98AD-2B1C654AD433}" name="Sprint " dataDxfId="267"/>
    <tableColumn id="3" xr3:uid="{D6922389-9283-40F6-817C-3DBEDCD61D58}" name="Developer" dataDxfId="266"/>
    <tableColumn id="4" xr3:uid="{5269D5DB-D80A-4381-8311-9CDA9E105A91}" name="Story ID/Defect ID" dataDxfId="265"/>
    <tableColumn id="5" xr3:uid="{09524E4A-362A-481E-BC9E-2AAD43058ECC}" name="Description" dataDxfId="264"/>
    <tableColumn id="6" xr3:uid="{03ADC2FA-6A28-44E1-AE8A-18F29B758656}" name="Status" dataDxfId="263"/>
    <tableColumn id="7" xr3:uid="{2A856F4A-BC99-4153-8E8B-AFE31B1EBCB6}" name="Estimated(sp)" dataDxfId="262"/>
    <tableColumn id="8" xr3:uid="{2FAE7E8E-FFA6-4063-AC5B-6DB367FBB914}" name="Actual(sp)" dataDxfId="261"/>
    <tableColumn id="28" xr3:uid="{8948EA25-449E-40E0-875D-E79121088BF0}" name="Actual Hours Worklog" dataDxfId="260"/>
    <tableColumn id="9" xr3:uid="{577B78AA-3D87-4025-BA87-BA8331FE2F0B}" name="Unit testing" dataDxfId="259"/>
    <tableColumn id="10" xr3:uid="{2BCED7A9-5C11-415B-8C7E-117587CCF1E5}" name="Peer Tested By" dataDxfId="258"/>
    <tableColumn id="11" xr3:uid="{C9E67904-73E0-4238-8C6E-CAB191067C4D}" name="Peer Tested Defects, if any" dataDxfId="257"/>
    <tableColumn id="12" xr3:uid="{627B9B0C-3485-404F-A823-5C8A27F5A559}" name="Peer Reviewed By" dataDxfId="256"/>
    <tableColumn id="13" xr3:uid="{6F6FD53C-A7E9-4A20-9D39-CCF8C68BA2A3}" name="Peer Code Review Comments, if any" dataDxfId="255"/>
    <tableColumn id="14" xr3:uid="{39C67F30-4F33-4A85-9503-C93A9532C7A4}" name="PR Number/Link" dataDxfId="254" dataCellStyle="Hyperlink"/>
    <tableColumn id="15" xr3:uid="{F3F0511E-B882-41CA-B6A7-2C20C798FF86}" name="PR Created Date" dataDxfId="253"/>
    <tableColumn id="16" xr3:uid="{5AB346CA-F032-4542-916E-72B60DA48D6C}" name="PR Approved Date" dataDxfId="252"/>
    <tableColumn id="17" xr3:uid="{655A7507-AF6F-48C8-ADB5-86FDEFEDC763}" name="Reviewer 1" dataDxfId="251"/>
    <tableColumn id="18" xr3:uid="{497327A7-C4D0-4204-A4DE-83036F0C505A}" name="Code Review Comments, if any" dataDxfId="250"/>
    <tableColumn id="19" xr3:uid="{262DD43F-52E7-43EC-BF0F-430EF52771F4}" name="Reviewer 2" dataDxfId="249"/>
    <tableColumn id="20" xr3:uid="{481C7EE2-0D9E-4E85-8759-648C816C2C0A}" name="Approved Date" dataDxfId="248"/>
    <tableColumn id="21" xr3:uid="{C4712709-ED2D-44F6-9D7D-06EFEE8EBA5C}" name="Code Review Comments, if any2" dataDxfId="247"/>
    <tableColumn id="22" xr3:uid="{14782F7C-A584-4E72-A700-38A9E081CAFA}" name="Internal PO -POV Comments" dataDxfId="246"/>
    <tableColumn id="23" xr3:uid="{1CE7BF50-9B39-4451-99F2-73194D17E722}" name="Client PO -POV Comments" dataDxfId="245"/>
    <tableColumn id="24" xr3:uid="{5AE48598-DC34-4DFB-A093-AA8033D72029}" name="Comments" dataDxfId="24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15904B6-E3DA-4D04-A10C-4EDFF96F324A}" name="Table145678910" displayName="Table145678910" ref="A1:AB13" totalsRowShown="0" headerRowDxfId="243" dataDxfId="242" tableBorderDxfId="241">
  <autoFilter ref="A1:AB13" xr:uid="{B5D083CE-8877-4237-BEDA-8FC85C398B86}"/>
  <tableColumns count="28">
    <tableColumn id="1" xr3:uid="{3A853ADC-1F74-4C1E-A98D-227E6ABBEC5A}" name="S.No" dataDxfId="240"/>
    <tableColumn id="27" xr3:uid="{D53FD3A0-43AA-48BA-B0BF-1CF2CF92CEC5}" name="Application Name" dataDxfId="239"/>
    <tableColumn id="26" xr3:uid="{81D534A7-84D1-44B0-9ABC-E9A446DF41E6}" name="Sprint Start Date" dataDxfId="238"/>
    <tableColumn id="25" xr3:uid="{F1D2B73D-8CE2-46B0-A9D6-678FFE904507}" name="Sprint End Date" dataDxfId="237"/>
    <tableColumn id="2" xr3:uid="{EEFFF7C9-83A8-4C6D-BE11-17C0B2AD980F}" name="Sprint " dataDxfId="236"/>
    <tableColumn id="3" xr3:uid="{A18C1848-2F99-4CAA-919E-B48D0E027F96}" name="Developer" dataDxfId="235"/>
    <tableColumn id="4" xr3:uid="{4D91773C-AEEC-49BF-9C18-0541078C854A}" name="Story ID/Defect ID" dataDxfId="234"/>
    <tableColumn id="5" xr3:uid="{764208E3-C96E-41DD-B62E-BDAC2ED2F4A3}" name="Description" dataDxfId="233"/>
    <tableColumn id="6" xr3:uid="{15927ECA-BC5B-4740-9677-872DAD878034}" name="Status" dataDxfId="232"/>
    <tableColumn id="7" xr3:uid="{FFC8F7FD-974F-4FD4-ACE4-F82E0FA7323C}" name="Estimated(sp)" dataDxfId="231"/>
    <tableColumn id="8" xr3:uid="{5B1480C4-8510-48CD-B1E7-78114062E517}" name="Actual(sp)" dataDxfId="230"/>
    <tableColumn id="28" xr3:uid="{55BC45E7-BE22-46DD-8AA3-F738EBE9E3F0}" name="Actual Hours Worklog" dataDxfId="229"/>
    <tableColumn id="9" xr3:uid="{FFA9B709-53C6-4946-8D62-E9051BC4A823}" name="Unit testing" dataDxfId="228"/>
    <tableColumn id="10" xr3:uid="{281FA337-0F6C-4D8E-BBF6-A83CCAFC2C6B}" name="Peer Tested By" dataDxfId="227"/>
    <tableColumn id="11" xr3:uid="{79AECCF0-21A9-4C1E-A132-8B8F1702070E}" name="Peer Tested Defects, if any" dataDxfId="226"/>
    <tableColumn id="12" xr3:uid="{CA27860F-6255-46F0-B2C2-DA111D1A9155}" name="Peer Reviewed By" dataDxfId="225"/>
    <tableColumn id="13" xr3:uid="{DE204A47-3127-4B38-9F0C-87E07735274E}" name="Peer Code Review Comments, if any" dataDxfId="224"/>
    <tableColumn id="14" xr3:uid="{EBEAB238-AF04-4867-9DE3-8A726CF05F97}" name="PR Number/Link" dataDxfId="223" dataCellStyle="Hyperlink"/>
    <tableColumn id="15" xr3:uid="{C03867B6-1F21-48AA-B5AC-AE853F93DC2F}" name="PR Created Date" dataDxfId="222"/>
    <tableColumn id="16" xr3:uid="{82708403-3AF6-47E4-9FA8-FFA42A842D4E}" name="PR Approved Date" dataDxfId="221"/>
    <tableColumn id="17" xr3:uid="{F05C06BF-69EF-4869-9225-352FCE060113}" name="Reviewer 1" dataDxfId="220"/>
    <tableColumn id="18" xr3:uid="{1E7DF35C-73AF-49D1-8CA6-ADEB71474302}" name="Code Review Comments, if any" dataDxfId="219"/>
    <tableColumn id="19" xr3:uid="{B8628B8C-DE2E-4860-AFE8-49206AF44336}" name="Reviewer 2" dataDxfId="218"/>
    <tableColumn id="20" xr3:uid="{6F948AA7-3E0A-4470-A371-EB372930CF60}" name="Approved Date" dataDxfId="217"/>
    <tableColumn id="21" xr3:uid="{187DD627-0562-41B0-9145-D9CFB15F3AAD}" name="Code Review Comments, if any2" dataDxfId="216"/>
    <tableColumn id="22" xr3:uid="{1F0C689B-6414-4A71-8D2A-0800817F9191}" name="Internal PO -POV Comments" dataDxfId="215"/>
    <tableColumn id="23" xr3:uid="{9EE32EE4-D754-4C92-949D-652CB50505E5}" name="Client PO -POV Comments" dataDxfId="214"/>
    <tableColumn id="24" xr3:uid="{9EED726C-D6CB-4980-AE97-78EE919C88E0}" name="Comments" dataDxfId="2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DF2C7BF-4637-4858-ABE0-6CD489906D5A}" name="Table1456789" displayName="Table1456789" ref="A1:AB4" totalsRowShown="0" headerRowDxfId="212" dataDxfId="211" tableBorderDxfId="210">
  <autoFilter ref="A1:AB4" xr:uid="{B5D083CE-8877-4237-BEDA-8FC85C398B86}"/>
  <tableColumns count="28">
    <tableColumn id="1" xr3:uid="{F7F1C500-5619-40C4-9F41-755D8FD27C2E}" name="S.No" dataDxfId="209"/>
    <tableColumn id="27" xr3:uid="{B74CF510-D82B-457B-A348-6C6E0C014817}" name="Application Name" dataDxfId="208"/>
    <tableColumn id="26" xr3:uid="{BED6AC2E-1E5A-4071-9561-CF57F7266737}" name="Sprint Start Date" dataDxfId="207"/>
    <tableColumn id="25" xr3:uid="{3241032A-831E-49BB-9855-5784EAA2BB17}" name="Sprint End Date" dataDxfId="206"/>
    <tableColumn id="2" xr3:uid="{51F1A8E6-0871-46A2-A2AF-6F24B5808712}" name="Sprint " dataDxfId="205"/>
    <tableColumn id="3" xr3:uid="{7F971F20-FBC4-4FA2-AB57-5164BB2C713B}" name="Developer" dataDxfId="204"/>
    <tableColumn id="4" xr3:uid="{6DB22699-E3E4-40D9-BD40-F6AE4164467B}" name="Story ID/Defect ID" dataDxfId="203"/>
    <tableColumn id="5" xr3:uid="{173869D6-48CA-4C01-9A03-A9FB1F7CECA5}" name="Description" dataDxfId="202"/>
    <tableColumn id="6" xr3:uid="{15635255-FD3F-4A43-BEF1-7AECD7262948}" name="Status" dataDxfId="201"/>
    <tableColumn id="7" xr3:uid="{E591B7D4-9A7E-4EFA-B2C0-6EDFC01002FF}" name="Estimated(sp)" dataDxfId="200"/>
    <tableColumn id="8" xr3:uid="{8A51FA31-58CD-44AC-8400-77C2DD258406}" name="Actual(sp)" dataDxfId="199"/>
    <tableColumn id="28" xr3:uid="{C29AAC3E-BE33-4204-9EED-392089134551}" name="Actual Hours Worklog" dataDxfId="198"/>
    <tableColumn id="9" xr3:uid="{F0EB6C3D-B734-4ED0-B4E1-76F0A37BEBD1}" name="Unit testing" dataDxfId="197"/>
    <tableColumn id="10" xr3:uid="{8D69D604-92C1-4809-9455-110CDFC14E2E}" name="Peer Tested By" dataDxfId="196"/>
    <tableColumn id="11" xr3:uid="{95F13CBC-9487-468E-9C30-54ABE68357E1}" name="Peer Tested Defects, if any" dataDxfId="195"/>
    <tableColumn id="12" xr3:uid="{FF8A6A52-E0F1-4589-8D88-5A4C2DFAB6E0}" name="Peer Reviewed By" dataDxfId="194"/>
    <tableColumn id="13" xr3:uid="{BB2CBE10-6DE0-4BAA-BE6E-38A4B88C6100}" name="Peer Code Review Comments, if any" dataDxfId="193"/>
    <tableColumn id="14" xr3:uid="{D2C040EC-988B-49FE-AE48-C8537AAFE033}" name="PR Number/Link" dataDxfId="192" dataCellStyle="Hyperlink"/>
    <tableColumn id="15" xr3:uid="{DD308913-D140-48EC-A047-49E77A722688}" name="PR Created Date" dataDxfId="191"/>
    <tableColumn id="16" xr3:uid="{290BECA9-D3A6-4002-A52C-C0C6CCCE9715}" name="PR Approved Date" dataDxfId="190"/>
    <tableColumn id="17" xr3:uid="{33C3FF86-989F-43AB-85EF-3FE59B1FF915}" name="Reviewer 1" dataDxfId="189"/>
    <tableColumn id="18" xr3:uid="{055F890F-8929-450C-9AD6-FF76CE7BCF46}" name="Code Review Comments, if any" dataDxfId="188"/>
    <tableColumn id="19" xr3:uid="{3226E515-22B1-49E0-ADBE-9CEA896EF025}" name="Reviewer 2" dataDxfId="187"/>
    <tableColumn id="20" xr3:uid="{A9F613F2-CC58-4013-8C34-5E2B1B8D90A7}" name="Approved Date" dataDxfId="186"/>
    <tableColumn id="21" xr3:uid="{F182C6F6-1DA6-4DF4-8675-47A0A04E8C83}" name="Code Review Comments, if any2" dataDxfId="185"/>
    <tableColumn id="22" xr3:uid="{85C456D5-2835-4D49-8D4E-CB9C32A23A5C}" name="Internal PO -POV Comments" dataDxfId="184"/>
    <tableColumn id="23" xr3:uid="{94A5445F-CDE2-4E49-8565-D1C35D8D7C60}" name="Client PO -POV Comments" dataDxfId="183"/>
    <tableColumn id="24" xr3:uid="{8A6DBC14-D83D-4D27-A4CD-1CEB932DC160}" name="Comments" dataDxfId="18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A28B50-418B-4FB2-8DCB-0FB8DC3FD88D}" name="Table145678" displayName="Table145678" ref="A1:AB11" totalsRowShown="0" headerRowDxfId="181" dataDxfId="180" tableBorderDxfId="179">
  <autoFilter ref="A1:AB11" xr:uid="{B5D083CE-8877-4237-BEDA-8FC85C398B86}"/>
  <tableColumns count="28">
    <tableColumn id="1" xr3:uid="{D08BF0AE-551F-41F8-BB52-B07D83E31372}" name="S.No" dataDxfId="178"/>
    <tableColumn id="27" xr3:uid="{6B1094E1-3015-4C70-A47B-F4AE0292CD7F}" name="Application Name" dataDxfId="177"/>
    <tableColumn id="26" xr3:uid="{7563C36F-ED20-4433-9794-3270430DE6DE}" name="Sprint Start Date" dataDxfId="176">
      <calculatedColumnFormula>Dashboard!$F$1</calculatedColumnFormula>
    </tableColumn>
    <tableColumn id="25" xr3:uid="{1D836F4F-64F2-4F48-B280-0B2D52B0CAFA}" name="Sprint End Date" dataDxfId="175">
      <calculatedColumnFormula>Dashboard!$H$1</calculatedColumnFormula>
    </tableColumn>
    <tableColumn id="2" xr3:uid="{7199C721-32A2-4310-A753-6011CB32CFE5}" name="Sprint " dataDxfId="174"/>
    <tableColumn id="3" xr3:uid="{2CEA3D07-DC7A-4AF4-BA2A-FB2FB5040ECE}" name="Developer" dataDxfId="173"/>
    <tableColumn id="4" xr3:uid="{E876F734-CF3A-455E-9B25-3AB2A4E72BAB}" name="Story ID/Defect ID" dataDxfId="172"/>
    <tableColumn id="5" xr3:uid="{90F21A38-4C7F-4F0F-AAD0-FAB4EA32384D}" name="Description" dataDxfId="171"/>
    <tableColumn id="6" xr3:uid="{F8F1075C-8F8D-47AC-9937-0E4AC6824EBE}" name="Status" dataDxfId="170"/>
    <tableColumn id="7" xr3:uid="{B3795C79-36F9-4E40-A3F3-43E141147EAB}" name="Estimated(sp)" dataDxfId="169"/>
    <tableColumn id="8" xr3:uid="{DE08EBD8-EDE2-449D-85DF-3632A93E1FCE}" name="Actual(sp)" dataDxfId="168"/>
    <tableColumn id="28" xr3:uid="{E2CC8E1B-3D84-4352-A8B0-9EEB5FC2C6FA}" name="Actual Hours Worklog" dataDxfId="167"/>
    <tableColumn id="9" xr3:uid="{AA83CCDC-1D8D-4F8E-A145-BFB429B4FA12}" name="Unit testing" dataDxfId="166"/>
    <tableColumn id="10" xr3:uid="{EA185E6F-DF51-44A3-B021-21C38402C65B}" name="Peer Tested By" dataDxfId="165"/>
    <tableColumn id="11" xr3:uid="{A6FE5E32-F3E5-43FC-AE6D-39F9BFBD0F54}" name="Peer Tested Defects, if any" dataDxfId="164"/>
    <tableColumn id="12" xr3:uid="{98C6D932-530D-4015-B7AE-2B29871AA21E}" name="Peer Reviewed By" dataDxfId="163"/>
    <tableColumn id="13" xr3:uid="{76DA37D7-A52C-4DFC-A69A-25DFA7831E01}" name="Peer Code Review Comments, if any" dataDxfId="162"/>
    <tableColumn id="14" xr3:uid="{D2AC4933-9813-42E2-8CEE-1A4DC9EFD61D}" name="PR Number/Link" dataDxfId="161" dataCellStyle="Hyperlink"/>
    <tableColumn id="15" xr3:uid="{623B6C05-8371-49F4-B010-C6A7C6945737}" name="PR Created Date" dataDxfId="160"/>
    <tableColumn id="16" xr3:uid="{F148383D-CEE7-4E6B-8F06-B86E4B0FB831}" name="PR Approved Date" dataDxfId="159"/>
    <tableColumn id="17" xr3:uid="{98A401FC-3F31-43E4-9284-FBBABE85D1B9}" name="Reviewer 1" dataDxfId="158"/>
    <tableColumn id="18" xr3:uid="{1E174FD4-4620-48B0-AF4C-397B75065A22}" name="Code Review Comments, if any" dataDxfId="157"/>
    <tableColumn id="19" xr3:uid="{3DE5FF41-DFAC-4156-8F09-E667F69B5841}" name="Reviewer 2" dataDxfId="156"/>
    <tableColumn id="20" xr3:uid="{5A7F0C90-C896-4288-974B-45CBFCA6391E}" name="Approved Date" dataDxfId="155"/>
    <tableColumn id="21" xr3:uid="{D94C9F1B-8B02-42B8-8622-ACA94ADC4D8C}" name="Code Review Comments, if any2" dataDxfId="154"/>
    <tableColumn id="22" xr3:uid="{E01B60E1-C88E-4BB0-99A7-533D8DFF1A72}" name="Internal PO -POV Comments" dataDxfId="153"/>
    <tableColumn id="23" xr3:uid="{5EE31EC2-1855-4CF2-BF03-7D908F94824A}" name="Client PO -POV Comments" dataDxfId="152"/>
    <tableColumn id="24" xr3:uid="{88FFA5C1-7493-433A-8D26-17B44A313354}" name="Comments" dataDxfId="15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7C8D18-2B3C-47EA-918F-A7237B0B9B09}" name="Table14567" displayName="Table14567" ref="A1:AB8" totalsRowShown="0" headerRowDxfId="150" dataDxfId="149" tableBorderDxfId="148">
  <autoFilter ref="A1:AB8" xr:uid="{B5D083CE-8877-4237-BEDA-8FC85C398B86}"/>
  <tableColumns count="28">
    <tableColumn id="1" xr3:uid="{FE36A3FD-B4C6-43B7-9D53-36BE8E7D1C3E}" name="S.No" dataDxfId="147"/>
    <tableColumn id="27" xr3:uid="{203F195B-7E3C-4C16-BF15-90B37E12E7DC}" name="Application Name" dataDxfId="146">
      <calculatedColumnFormula>Dashboard!$J$1</calculatedColumnFormula>
    </tableColumn>
    <tableColumn id="26" xr3:uid="{D149EA7F-459C-4DAE-B45D-6312977C9746}" name="Sprint Start Date" dataDxfId="145">
      <calculatedColumnFormula>Dashboard!$F$1</calculatedColumnFormula>
    </tableColumn>
    <tableColumn id="25" xr3:uid="{9E99094F-21DF-4C30-B0E7-FBA0791A5C6D}" name="Sprint End Date" dataDxfId="144">
      <calculatedColumnFormula>Dashboard!$H$1</calculatedColumnFormula>
    </tableColumn>
    <tableColumn id="2" xr3:uid="{AE4AF239-92A3-4517-9CFE-B183BD0D2D24}" name="Sprint " dataDxfId="143"/>
    <tableColumn id="3" xr3:uid="{153FE878-B8C4-4AFA-BF10-B3B6B0A909DE}" name="Developer" dataDxfId="142"/>
    <tableColumn id="4" xr3:uid="{20A9F1C3-2211-43C5-B86C-B2E759076838}" name="Story ID/Defect ID" dataDxfId="141"/>
    <tableColumn id="5" xr3:uid="{FCBA3690-D0D5-47E9-AEFC-28604B06098F}" name="Description" dataDxfId="140"/>
    <tableColumn id="6" xr3:uid="{B6A77C9E-3062-4DDD-A5C4-04F946CE8782}" name="Status" dataDxfId="139"/>
    <tableColumn id="7" xr3:uid="{1D19713A-8D70-47AF-A01E-1B4D44C8F6A3}" name="Estimated(sp)" dataDxfId="138"/>
    <tableColumn id="8" xr3:uid="{89FB8514-7031-49A4-BF19-461B86FFABBB}" name="Actual(sp)" dataDxfId="137"/>
    <tableColumn id="28" xr3:uid="{CA32C63F-A601-4B05-B35C-1DFC1D794682}" name="Actual Hours Worklog" dataDxfId="136"/>
    <tableColumn id="9" xr3:uid="{4D076B9B-C666-41AD-886B-AC40F7A48844}" name="Unit testing" dataDxfId="135"/>
    <tableColumn id="10" xr3:uid="{BC5C9775-9034-471C-AF4B-6D3516346A49}" name="Peer Tested By" dataDxfId="134"/>
    <tableColumn id="11" xr3:uid="{B7C546D4-23E2-40CA-92EC-A3FB68E08F53}" name="Peer Tested Defects, if any" dataDxfId="133"/>
    <tableColumn id="12" xr3:uid="{473F8A60-C446-44AD-8277-F09E624F3F04}" name="Peer Reviewed By" dataDxfId="132"/>
    <tableColumn id="13" xr3:uid="{A65749D4-1246-48D3-B3AC-D58F6F998CE1}" name="Peer Code Review Comments, if any" dataDxfId="131"/>
    <tableColumn id="14" xr3:uid="{21DA8627-25B9-4BC5-BE49-3FD90ABC5794}" name="PR Number/Link" dataDxfId="130" dataCellStyle="Hyperlink"/>
    <tableColumn id="15" xr3:uid="{9F5D6553-14E3-490F-89C1-51A168E20D55}" name="PR Created Date" dataDxfId="129"/>
    <tableColumn id="16" xr3:uid="{28C362ED-EB6E-471F-8C5E-485850BC127C}" name="PR Approved Date" dataDxfId="128"/>
    <tableColumn id="17" xr3:uid="{8070B599-57AD-49D7-885E-E6B1328B308A}" name="Reviewer 1" dataDxfId="127"/>
    <tableColumn id="18" xr3:uid="{FE70AC7B-CA26-4277-901B-5297569D1CB4}" name="Code Review Comments, if any" dataDxfId="126"/>
    <tableColumn id="19" xr3:uid="{2742DEEF-79F8-47A3-AB9A-C9A43707092F}" name="Reviewer 2" dataDxfId="125"/>
    <tableColumn id="20" xr3:uid="{A80D74B6-8991-4C66-B013-0E6BFA6EE224}" name="Approved Date" dataDxfId="124"/>
    <tableColumn id="21" xr3:uid="{D0FDBEE1-7F2A-4F98-8A78-0A449DAE5787}" name="Code Review Comments, if any2" dataDxfId="123"/>
    <tableColumn id="22" xr3:uid="{6DD0E190-9B3E-4971-B800-5370D671A307}" name="Internal PO -POV Comments" dataDxfId="122"/>
    <tableColumn id="23" xr3:uid="{96875E7F-7F6B-4829-9789-932F2650C494}" name="Client PO -POV Comments" dataDxfId="121"/>
    <tableColumn id="24" xr3:uid="{8689B219-7A7C-4FFC-B8DC-E1069606F963}" name="Comments" dataDxfId="12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963241-59C7-4AEE-A542-23373443FDAF}" name="Table1456" displayName="Table1456" ref="A1:AB9" totalsRowShown="0" headerRowDxfId="119" dataDxfId="118" tableBorderDxfId="117">
  <autoFilter ref="A1:AB9" xr:uid="{B5D083CE-8877-4237-BEDA-8FC85C398B86}"/>
  <tableColumns count="28">
    <tableColumn id="1" xr3:uid="{7C3D7ADB-4C2A-4299-BC76-B69266E6BCFB}" name="S.No" dataDxfId="116"/>
    <tableColumn id="27" xr3:uid="{397F17D8-B00D-46CA-9C35-5AF72940F4C1}" name="Application Name" dataDxfId="115">
      <calculatedColumnFormula>Dashboard!$J$1</calculatedColumnFormula>
    </tableColumn>
    <tableColumn id="26" xr3:uid="{14663A41-E7B4-4F88-8E37-EAC43CBA8EED}" name="Sprint Start Date" dataDxfId="114">
      <calculatedColumnFormula>Dashboard!$F$1</calculatedColumnFormula>
    </tableColumn>
    <tableColumn id="25" xr3:uid="{B17B49D2-7532-4FE6-8A4A-FF7323BE5676}" name="Sprint End Date" dataDxfId="113">
      <calculatedColumnFormula>Dashboard!$H$1</calculatedColumnFormula>
    </tableColumn>
    <tableColumn id="2" xr3:uid="{587DF94E-BD39-4F67-A8CD-8FB9173725DB}" name="Sprint " dataDxfId="112"/>
    <tableColumn id="3" xr3:uid="{DA241936-C465-43BC-930F-DABCA247779C}" name="Developer" dataDxfId="111"/>
    <tableColumn id="4" xr3:uid="{A005E668-3673-4ED7-B993-67D6C88D7DBD}" name="Story ID/Defect ID" dataDxfId="110"/>
    <tableColumn id="5" xr3:uid="{A79A4294-4EDC-4F16-91CD-2D5413D86784}" name="Description" dataDxfId="109"/>
    <tableColumn id="6" xr3:uid="{72CC8669-F50D-486D-9972-0C454C4455C8}" name="Status" dataDxfId="108"/>
    <tableColumn id="7" xr3:uid="{2C206ACB-5323-499B-9E5E-F6F6DA45028B}" name="Estimated(sp)" dataDxfId="107"/>
    <tableColumn id="8" xr3:uid="{58BB306F-1568-4423-ACB3-60F16CF3970C}" name="Actual(sp)" dataDxfId="106"/>
    <tableColumn id="28" xr3:uid="{C73400DD-87BF-47C7-975F-E371DF1E22BD}" name="Actual Hours Worklog" dataDxfId="105"/>
    <tableColumn id="9" xr3:uid="{D2ADDDEF-D1DC-4152-B660-CF6A07460167}" name="Unit testing" dataDxfId="104"/>
    <tableColumn id="10" xr3:uid="{F852F5D4-1106-415C-B228-12806A8DAE1B}" name="Peer Tested By" dataDxfId="103"/>
    <tableColumn id="11" xr3:uid="{CE6FCA6D-1D4F-4F80-89E6-4C9D1D5C70BB}" name="Peer Tested Defects, if any" dataDxfId="102"/>
    <tableColumn id="12" xr3:uid="{3BD2BB92-A438-421D-9821-9A7D465B7A82}" name="Peer Reviewed By" dataDxfId="101"/>
    <tableColumn id="13" xr3:uid="{6CBB7825-33F4-4821-B299-63D1A1227B69}" name="Peer Code Review Comments, if any" dataDxfId="100"/>
    <tableColumn id="14" xr3:uid="{35980D86-53FA-4130-B494-A9D5233E3F01}" name="PR Number/Link" dataDxfId="99" dataCellStyle="Hyperlink"/>
    <tableColumn id="15" xr3:uid="{9EEA6F3E-BAFD-43F4-8E50-C4F3FBB2E562}" name="PR Created Date" dataDxfId="98"/>
    <tableColumn id="16" xr3:uid="{61CF11CE-93EA-4034-8C74-3E416C84DCDF}" name="PR Approved Date" dataDxfId="97"/>
    <tableColumn id="17" xr3:uid="{94A48024-06F0-40DD-A07D-242E4DB1F3E5}" name="Reviewer 1" dataDxfId="96"/>
    <tableColumn id="18" xr3:uid="{A1828C23-FB2F-4523-BC56-CA12456D08F0}" name="Code Review Comments, if any" dataDxfId="95"/>
    <tableColumn id="19" xr3:uid="{B74F7717-2797-4F1E-9E18-4C2660FAEE0A}" name="Reviewer 2" dataDxfId="94"/>
    <tableColumn id="20" xr3:uid="{C894699D-D14F-496D-A5AD-BE0B46AE7A7D}" name="Approved Date" dataDxfId="93"/>
    <tableColumn id="21" xr3:uid="{80DEB42D-B475-46AC-8CFC-4B1895DA7FAE}" name="Code Review Comments, if any2" dataDxfId="92"/>
    <tableColumn id="22" xr3:uid="{FCCFB1FE-C065-4173-9ABE-8DC093E9A381}" name="Internal PO -POV Comments" dataDxfId="91"/>
    <tableColumn id="23" xr3:uid="{50834678-21F7-4582-A848-D1ECE17F0333}" name="Client PO -POV Comments" dataDxfId="90"/>
    <tableColumn id="24" xr3:uid="{322A1752-EFBC-496A-9845-2DCF1832D67A}" name="Comments" dataDxfId="8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9BA83F-E887-4CDE-AC2B-F3FC06ABECA6}" name="Table14" displayName="Table14" ref="A1:AB14" totalsRowShown="0" headerRowDxfId="88" dataDxfId="87" tableBorderDxfId="86">
  <autoFilter ref="A1:AB14" xr:uid="{B5D083CE-8877-4237-BEDA-8FC85C398B86}"/>
  <tableColumns count="28">
    <tableColumn id="1" xr3:uid="{41BE50FC-7050-4C58-AC4F-8EC14AC734FC}" name="S.No" dataDxfId="85"/>
    <tableColumn id="27" xr3:uid="{37EFF2FF-FA34-4087-A038-04DE2696E3E0}" name="Application Name" dataDxfId="84">
      <calculatedColumnFormula>Dashboard!$J$1</calculatedColumnFormula>
    </tableColumn>
    <tableColumn id="26" xr3:uid="{D7DA1BB9-3862-46BA-9E4D-827006B4868C}" name="Sprint Start Date" dataDxfId="83">
      <calculatedColumnFormula>Dashboard!$F$1</calculatedColumnFormula>
    </tableColumn>
    <tableColumn id="25" xr3:uid="{7C9E8FF7-AE9C-4606-99BB-5F9549D24D4D}" name="Sprint End Date" dataDxfId="82">
      <calculatedColumnFormula>Dashboard!$H$1</calculatedColumnFormula>
    </tableColumn>
    <tableColumn id="2" xr3:uid="{9819744D-CA23-4673-B267-0FBDBFCEBCDD}" name="Sprint " dataDxfId="81"/>
    <tableColumn id="3" xr3:uid="{110938D7-C6A0-41A4-A2F5-1F7BC5C665F2}" name="Developer" dataDxfId="80"/>
    <tableColumn id="4" xr3:uid="{CD544506-D9A1-4886-93C7-8CB31CC942CD}" name="Story ID/Defect ID" dataDxfId="79"/>
    <tableColumn id="5" xr3:uid="{BEA20EDC-6395-43C1-8601-3DAC59DD17BB}" name="Description" dataDxfId="78"/>
    <tableColumn id="6" xr3:uid="{985BFB05-8C36-44D8-AF96-E6551F35D4A1}" name="Status" dataDxfId="77"/>
    <tableColumn id="7" xr3:uid="{73BEA14A-FD7F-4C1E-8251-39DFB7A10EC0}" name="Estimated(hrs/sp)" dataDxfId="76"/>
    <tableColumn id="8" xr3:uid="{A3795B2B-F987-4D08-ABE3-71A98F7E91DE}" name="Actual(hrs/sp)" dataDxfId="75"/>
    <tableColumn id="28" xr3:uid="{C2A25A63-BDC1-4910-A78B-F0310B4AF510}" name="Column1" dataDxfId="74"/>
    <tableColumn id="9" xr3:uid="{32A57504-A61C-40F4-9B7F-38200A7474B0}" name="Unit testing" dataDxfId="73"/>
    <tableColumn id="10" xr3:uid="{1DCEF738-61FA-4887-80AD-4FADCBF44E66}" name="Peer Tested By" dataDxfId="72"/>
    <tableColumn id="11" xr3:uid="{FDF0EC36-8E97-4F76-92E6-4AB2A3AE1701}" name="Peer Tested Defects, if any" dataDxfId="71"/>
    <tableColumn id="12" xr3:uid="{9B44792F-E018-49DA-B9F5-B3283EBC4943}" name="Peer Reviewed By" dataDxfId="70"/>
    <tableColumn id="13" xr3:uid="{AFA34C19-9112-457B-BF4C-DDEF6B2AC93C}" name="Peer Code Review Comments, if any" dataDxfId="69"/>
    <tableColumn id="14" xr3:uid="{CD19068E-3CAE-4FB1-97F4-C5043FE75CF0}" name="PR Number/Link" dataDxfId="68" dataCellStyle="Hyperlink"/>
    <tableColumn id="15" xr3:uid="{412A5459-69F3-43C9-AFE8-B0D1FC4C130A}" name="PR Created Date" dataDxfId="67"/>
    <tableColumn id="16" xr3:uid="{4CCDFE4F-4DA1-45A7-8945-D753E6F4E702}" name="PR Approved Date" dataDxfId="66"/>
    <tableColumn id="17" xr3:uid="{7FF74396-9ECF-404D-ACAB-937B4642CE43}" name="Reviewer 1" dataDxfId="65"/>
    <tableColumn id="18" xr3:uid="{3B525376-477F-41C2-B811-5B23816AD7F5}" name="Code Review Comments, if any" dataDxfId="64"/>
    <tableColumn id="19" xr3:uid="{2EC8AE35-C46E-4B7E-BB87-88390A759C47}" name="Reviewer 2" dataDxfId="63"/>
    <tableColumn id="20" xr3:uid="{D711EC47-786E-43C6-90D7-FA567DAEDFFD}" name="Approved Date" dataDxfId="62"/>
    <tableColumn id="21" xr3:uid="{8D2C0CE8-82B0-4199-AE68-251585A82EC1}" name="Code Review Comments, if any2" dataDxfId="61"/>
    <tableColumn id="22" xr3:uid="{DE7A6AF3-9D4E-4713-8A6F-6CDFDAF0C4B2}" name="Internal PO -POV Comments" dataDxfId="60"/>
    <tableColumn id="23" xr3:uid="{592F155A-B3C4-4B8D-95D4-F1E30340A486}" name="Client PO -POV Comments" dataDxfId="59"/>
    <tableColumn id="24" xr3:uid="{9EBB99F0-85DF-40B6-A30B-9ACF401DDDE1}" name="Comments" dataDxfId="5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ED8C46-6D5E-445E-8E6F-550FCBC4EAAC}" name="Table145" displayName="Table145" ref="A1:AB20" totalsRowShown="0" headerRowDxfId="57" dataDxfId="56" tableBorderDxfId="55">
  <autoFilter ref="A1:AB20" xr:uid="{B5D083CE-8877-4237-BEDA-8FC85C398B86}"/>
  <tableColumns count="28">
    <tableColumn id="1" xr3:uid="{29D699AB-86EB-4277-B710-CFD75A01BB39}" name="S.No" dataDxfId="54"/>
    <tableColumn id="27" xr3:uid="{DF54801E-C5B1-4A48-BB3A-E1F72ECA746D}" name="Application Name" dataDxfId="53">
      <calculatedColumnFormula>Dashboard!$J$1</calculatedColumnFormula>
    </tableColumn>
    <tableColumn id="26" xr3:uid="{3B1A170C-6584-4997-9EAB-F739F1820FF5}" name="Sprint Start Date" dataDxfId="52">
      <calculatedColumnFormula>Dashboard!$F$1</calculatedColumnFormula>
    </tableColumn>
    <tableColumn id="25" xr3:uid="{DA3952AD-7545-4240-86F3-4662D94179B9}" name="Sprint End Date" dataDxfId="51">
      <calculatedColumnFormula>Dashboard!$H$1</calculatedColumnFormula>
    </tableColumn>
    <tableColumn id="2" xr3:uid="{2C5E2673-6C5D-4B14-8C62-539EBEF72BF5}" name="Sprint " dataDxfId="50"/>
    <tableColumn id="3" xr3:uid="{7F1BA60D-2EBF-4EEC-8677-B51872227E8F}" name="Developer" dataDxfId="49"/>
    <tableColumn id="4" xr3:uid="{6DD2EAB3-4CAE-4C27-AD74-7FB6EF94AB5C}" name="Story ID/Defect ID" dataDxfId="48"/>
    <tableColumn id="5" xr3:uid="{F2B8B910-C0D5-4892-9E13-40E617EE6179}" name="Description" dataDxfId="47"/>
    <tableColumn id="6" xr3:uid="{72992BA4-4A35-4E0F-8F54-C60A3FB1B2FA}" name="Status" dataDxfId="46"/>
    <tableColumn id="7" xr3:uid="{71F4C4B4-4EB1-4D72-A17C-5E530C8B6198}" name="Estimated(hrs/sp)" dataDxfId="45"/>
    <tableColumn id="8" xr3:uid="{85B3A8DE-38C5-4388-A1A6-63F2A4F83F43}" name="Actual(hrs/sp)" dataDxfId="44"/>
    <tableColumn id="28" xr3:uid="{3646C635-E7A8-4218-90B2-EA4F6E1D4685}" name="Actual Hours Worklog" dataDxfId="43"/>
    <tableColumn id="9" xr3:uid="{C45DB149-0D55-4A2A-9C24-6F7651BA025C}" name="Unit testing" dataDxfId="42"/>
    <tableColumn id="10" xr3:uid="{273E4A28-1A38-49C5-B719-5AEDE2FA968B}" name="Peer Tested By" dataDxfId="41"/>
    <tableColumn id="11" xr3:uid="{E730EC23-14B5-43AD-8DDB-18B4F3F81DB9}" name="Peer Tested Defects, if any" dataDxfId="40"/>
    <tableColumn id="12" xr3:uid="{4599CB68-DDC9-4683-AE11-79F87B2491F0}" name="Peer Reviewed By" dataDxfId="39"/>
    <tableColumn id="13" xr3:uid="{9763CC63-BA7D-45D5-BE5D-E8D47BEC0097}" name="Peer Code Review Comments, if any" dataDxfId="38"/>
    <tableColumn id="14" xr3:uid="{B9DDBB82-2CDD-42F3-B92D-B953019B3F15}" name="PR Number/Link" dataDxfId="37" dataCellStyle="Hyperlink"/>
    <tableColumn id="15" xr3:uid="{8C2A114E-83E3-4B37-8A3D-247C1F191DE4}" name="PR Created Date" dataDxfId="36"/>
    <tableColumn id="16" xr3:uid="{58141EC2-5C3F-44F6-A2D1-F5BC08CA1D3E}" name="PR Approved Date" dataDxfId="35"/>
    <tableColumn id="17" xr3:uid="{24D51848-6084-43F7-AF7E-4B7BBC62B034}" name="Reviewer 1" dataDxfId="34"/>
    <tableColumn id="18" xr3:uid="{61FC6A50-6CA2-490C-B1C1-10B6F6843B20}" name="Code Review Comments, if any" dataDxfId="33"/>
    <tableColumn id="19" xr3:uid="{3CC2E2F2-7634-4C95-9D75-416FBF861CAE}" name="Reviewer 2" dataDxfId="32"/>
    <tableColumn id="20" xr3:uid="{E63F8152-648B-4237-A4FA-80DE3892C5B1}" name="Approved Date" dataDxfId="31"/>
    <tableColumn id="21" xr3:uid="{4CE7C005-19E8-4518-B2D5-079B14E6CE66}" name="Code Review Comments, if any2" dataDxfId="30"/>
    <tableColumn id="22" xr3:uid="{F56F19A6-FEA4-4FCA-A30A-83B2E87C528B}" name="Internal PO -POV Comments" dataDxfId="29"/>
    <tableColumn id="23" xr3:uid="{56B6DACB-E119-4885-B03B-DE1146431820}" name="Client PO -POV Comments" dataDxfId="28"/>
    <tableColumn id="24" xr3:uid="{07F116E8-8ACB-4DB8-86C9-973743C02947}" name="Comments" dataDxfId="27"/>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083CE-8877-4237-BEDA-8FC85C398B86}" name="Table1" displayName="Table1" ref="A1:X13" totalsRowShown="0" headerRowDxfId="26" dataDxfId="25" tableBorderDxfId="24">
  <autoFilter ref="A1:X13" xr:uid="{B5D083CE-8877-4237-BEDA-8FC85C398B86}"/>
  <tableColumns count="24">
    <tableColumn id="1" xr3:uid="{5C13F481-B225-4BC5-B89B-CC796FFAA177}" name="S.No" dataDxfId="23"/>
    <tableColumn id="2" xr3:uid="{077E576E-7B08-48F7-AEFF-AEE440723673}" name="Sprint " dataDxfId="22"/>
    <tableColumn id="3" xr3:uid="{804A4921-38A5-4B9D-9EAE-4339D7D2567A}" name="Developer" dataDxfId="21"/>
    <tableColumn id="4" xr3:uid="{38DB3E6E-1728-440D-BB06-297786623A0D}" name="Story ID/Defect ID" dataDxfId="20"/>
    <tableColumn id="5" xr3:uid="{FC362BF2-2617-4178-BA06-E3914C162DA5}" name="Description" dataDxfId="19"/>
    <tableColumn id="6" xr3:uid="{872DDB87-4377-45F6-BAF1-DEB1EF38678F}" name="Status" dataDxfId="18"/>
    <tableColumn id="7" xr3:uid="{ACEFC883-99AA-4C3C-99CA-FEDBA008A5C0}" name="Estimated(hrs/sp)" dataDxfId="17"/>
    <tableColumn id="8" xr3:uid="{84B0687A-102A-4799-9639-99099E01A4A2}" name="Actual(hrs/sp)" dataDxfId="16"/>
    <tableColumn id="9" xr3:uid="{AEBAA936-16F9-4514-9010-1C260979194B}" name="Unit testing" dataDxfId="15"/>
    <tableColumn id="10" xr3:uid="{6A525E7C-3795-4880-8997-7A62310A19C3}" name="Peer Tested By" dataDxfId="14"/>
    <tableColumn id="11" xr3:uid="{4E97E338-37D3-4EE9-AADB-A878288B0D51}" name="Peer Tested Defects, if any" dataDxfId="13"/>
    <tableColumn id="12" xr3:uid="{7D7CA531-A19E-4DA6-8F0A-8343EDC7AE87}" name="Peer Reviewed By" dataDxfId="12"/>
    <tableColumn id="13" xr3:uid="{71FBAC5D-DB6A-41A6-B3D5-AFBCFCE26409}" name="Peer Code Review Comments, if any" dataDxfId="11"/>
    <tableColumn id="14" xr3:uid="{4956B0D3-ACEF-4012-BBD8-F19C8E5F69C9}" name="PR Number/Link" dataDxfId="10" dataCellStyle="Hyperlink"/>
    <tableColumn id="15" xr3:uid="{595F3DE3-E1DD-4BA8-8556-B86D075D8540}" name="PR Created Date" dataDxfId="9"/>
    <tableColumn id="16" xr3:uid="{2D7ADCB9-394C-4C54-AAED-FD75C25F55DE}" name="PR Approved Date" dataDxfId="8"/>
    <tableColumn id="17" xr3:uid="{9DAD811B-4A02-4040-B2C4-84898BBC1442}" name="Reviewer 1" dataDxfId="7"/>
    <tableColumn id="18" xr3:uid="{B1990FAE-E556-4694-8825-4DC57586E99A}" name="Code Review Comments, if any" dataDxfId="6"/>
    <tableColumn id="19" xr3:uid="{B82E6AAF-AED0-48F4-A72F-B4E83993984E}" name="Reviewer 2" dataDxfId="5"/>
    <tableColumn id="20" xr3:uid="{13B8396F-EA41-4857-8547-A1A9A97EAAB1}" name="Approved Date" dataDxfId="4"/>
    <tableColumn id="21" xr3:uid="{F2EED079-F5DA-448A-8A9A-5E138FFC7A18}" name="Code Review Comments, if any2" dataDxfId="3"/>
    <tableColumn id="22" xr3:uid="{3DDA98C2-A278-45A3-90AE-53DBD2FB9C73}" name="Internal PO -POV Comments" dataDxfId="2"/>
    <tableColumn id="23" xr3:uid="{6941FB13-1702-4E9A-9D64-B025919D48D7}" name="Client PO -POV Comments" dataDxfId="1"/>
    <tableColumn id="24" xr3:uid="{84759697-CA98-4B12-8853-696AAE8C14F0}"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19:33c225e109bb48d58dd1e9a89b0261a7@thread.v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ev.azure.com/heartlandschools/Meal%20Orders/_git/MealOrdersAutomation/pullrequest/48688" TargetMode="External"/><Relationship Id="rId2" Type="http://schemas.openxmlformats.org/officeDocument/2006/relationships/hyperlink" Target="https://dev.azure.com/heartlandschools/Mosaic/_git/BOH/pullrequest/48968" TargetMode="External"/><Relationship Id="rId1" Type="http://schemas.openxmlformats.org/officeDocument/2006/relationships/hyperlink" Target="https://dev.azure.com/heartlandschools/Mosaic/_git/BOH/pullrequest/48933" TargetMode="External"/><Relationship Id="rId5" Type="http://schemas.openxmlformats.org/officeDocument/2006/relationships/hyperlink" Target="https://dev.azure.com/heartlandschools/Mosaic/_git/FOH/pullrequest/49025" TargetMode="External"/><Relationship Id="rId4" Type="http://schemas.openxmlformats.org/officeDocument/2006/relationships/hyperlink" Target="https://dev.azure.com/heartlandschools/Mosaic/_git/BOH/pullrequest/48758"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ev.azure.com/heartlandschools/Mosaic/_git/FOH/pullrequest/48724" TargetMode="External"/><Relationship Id="rId2" Type="http://schemas.openxmlformats.org/officeDocument/2006/relationships/hyperlink" Target="https://dev.azure.com/heartlandschools/Meal%20Orders/_git/MealOrdersAutomation/pullrequest/48688" TargetMode="External"/><Relationship Id="rId1" Type="http://schemas.openxmlformats.org/officeDocument/2006/relationships/hyperlink" Target="https://dev.azure.com/heartlandschools/Mosaic/_git/BOH/pullrequest/48694" TargetMode="External"/><Relationship Id="rId5" Type="http://schemas.openxmlformats.org/officeDocument/2006/relationships/hyperlink" Target="https://dev.azure.com/heartlandschools/Mosaic/_git/BOH/pullrequest/48674" TargetMode="External"/><Relationship Id="rId4" Type="http://schemas.openxmlformats.org/officeDocument/2006/relationships/hyperlink" Target="https://dev.azure.com/heartlandschools/Mosaic/_git/BOH/pullrequest/4873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ev.azure.com/heartlandschools/Mosaic/_git/BOH/pullrequest/48432" TargetMode="External"/><Relationship Id="rId2" Type="http://schemas.openxmlformats.org/officeDocument/2006/relationships/hyperlink" Target="https://dev.azure.com/heartlandschools/Mosaic/_git/FOH/pullrequest/48362" TargetMode="External"/><Relationship Id="rId1" Type="http://schemas.openxmlformats.org/officeDocument/2006/relationships/hyperlink" Target="https://dev.azure.com/heartlandschools/Mosaic/_git/BOH/pullrequest/48383" TargetMode="External"/><Relationship Id="rId5" Type="http://schemas.openxmlformats.org/officeDocument/2006/relationships/hyperlink" Target="https://dev.azure.com/heartlandschools/Mosaic/_git/BOH/pullrequest/48431" TargetMode="External"/><Relationship Id="rId4" Type="http://schemas.openxmlformats.org/officeDocument/2006/relationships/hyperlink" Target="https://dev.azure.com/heartlandschools/Mosaic/_git/BOH/pullrequest/4840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ev.azure.com/heartlandschools/Mosaic/_git/BOH/pullrequest/48072" TargetMode="External"/><Relationship Id="rId2" Type="http://schemas.openxmlformats.org/officeDocument/2006/relationships/hyperlink" Target="https://dev.azure.com/heartlandschools/Mosaic/_git/BOH/pullrequest/48116" TargetMode="External"/><Relationship Id="rId1" Type="http://schemas.openxmlformats.org/officeDocument/2006/relationships/hyperlink" Target="https://dev.azure.com/heartlandschools/Mosaic/_git/BOH/pullrequest/48101" TargetMode="External"/><Relationship Id="rId5" Type="http://schemas.openxmlformats.org/officeDocument/2006/relationships/hyperlink" Target="https://dev.azure.com/heartlandschools/Mosaic/_git/BOH/pullrequest/47977?_a=files" TargetMode="External"/><Relationship Id="rId4" Type="http://schemas.openxmlformats.org/officeDocument/2006/relationships/hyperlink" Target="https://dev.azure.com/heartlandschools/Mosaic/_git/BOH/pullrequest/48030"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dev.azure.com/heartlandschools/Mosaic/_git/BOH/pullrequest/47828" TargetMode="External"/><Relationship Id="rId1" Type="http://schemas.openxmlformats.org/officeDocument/2006/relationships/hyperlink" Target="https://dev.azure.com/heartlandschools/Meal%20Orders/_git/MealOrdersAutomation/pullrequest/47595"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dev.azure.com/heartlandschools/Mosaic/_git/BOH/pullrequest/47555?_a=files" TargetMode="External"/><Relationship Id="rId2" Type="http://schemas.openxmlformats.org/officeDocument/2006/relationships/hyperlink" Target="https://dev.azure.com/heartlandschools/Mosaic/_git/FOH/pullrequest/47362" TargetMode="External"/><Relationship Id="rId1" Type="http://schemas.openxmlformats.org/officeDocument/2006/relationships/hyperlink" Target="https://dev.azure.com/heartlandschools/Mosaic/_git/BOH/pullrequest/47367" TargetMode="External"/><Relationship Id="rId5" Type="http://schemas.openxmlformats.org/officeDocument/2006/relationships/hyperlink" Target="https://dev.azure.com/heartlandschools/Meal%20Orders/_git/MealOrdersAutomation/pullrequest/47595" TargetMode="External"/><Relationship Id="rId4" Type="http://schemas.openxmlformats.org/officeDocument/2006/relationships/hyperlink" Target="https://dev.azure.com/heartlandschools/Mosaic/_git/BOH/pullrequest/47586"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dev.azure.com/heartlandschools/Meal%20Orders/_git/MealOrdersAutomation/pullrequest/46761" TargetMode="External"/><Relationship Id="rId7" Type="http://schemas.openxmlformats.org/officeDocument/2006/relationships/hyperlink" Target="https://dev.azure.com/heartlandschools/Meal%20Orders/_git/Meal%20Orders/pullrequest/47358" TargetMode="External"/><Relationship Id="rId2" Type="http://schemas.openxmlformats.org/officeDocument/2006/relationships/hyperlink" Target="https://dev.azure.com/heartlandschools/Mosaic/_git/BOH/pullrequest/47124?_a=files" TargetMode="External"/><Relationship Id="rId1" Type="http://schemas.openxmlformats.org/officeDocument/2006/relationships/hyperlink" Target="https://dev.azure.com/heartlandschools/Mosaic/_git/FOH/pullrequest/47117?_a=files" TargetMode="External"/><Relationship Id="rId6" Type="http://schemas.openxmlformats.org/officeDocument/2006/relationships/hyperlink" Target="https://dev.azure.com/heartlandschools/Meal%20Orders/_git/Meal%20Orders/pullrequest/47226" TargetMode="External"/><Relationship Id="rId5" Type="http://schemas.openxmlformats.org/officeDocument/2006/relationships/hyperlink" Target="https://dev.azure.com/heartlandschools/Meal%20Orders/_git/Meal%20Orders/pullrequest/47226" TargetMode="External"/><Relationship Id="rId4" Type="http://schemas.openxmlformats.org/officeDocument/2006/relationships/hyperlink" Target="https://dev.azure.com/heartlandschools/Mosaic/_git/BOH/pullrequest/47204"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6901" TargetMode="External"/><Relationship Id="rId2" Type="http://schemas.openxmlformats.org/officeDocument/2006/relationships/hyperlink" Target="https://dev.azure.com/heartlandschools/Meal%20Orders/_git/Meal%20Orders/pullrequest/47029" TargetMode="External"/><Relationship Id="rId1" Type="http://schemas.openxmlformats.org/officeDocument/2006/relationships/hyperlink" Target="https://dev.azure.com/heartlandschools/Meal%20Orders/_git/MealOrdersAutomation/pullrequest/46761" TargetMode="External"/><Relationship Id="rId4" Type="http://schemas.openxmlformats.org/officeDocument/2006/relationships/hyperlink" Target="https://dev.azure.com/heartlandschools/Mosaic/_git/BOH/pullrequest/46960"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dev.azure.com/heartlandschools/Meal%20Orders/_git/MealOrdersAutomation/pullrequest/46399" TargetMode="External"/><Relationship Id="rId2" Type="http://schemas.openxmlformats.org/officeDocument/2006/relationships/hyperlink" Target="https://dev.azure.com/heartlandschools/Meal%20Orders/_git/MealOrdersAutomation/pullrequest/46761" TargetMode="External"/><Relationship Id="rId1" Type="http://schemas.openxmlformats.org/officeDocument/2006/relationships/hyperlink" Target="https://dev.azure.com/heartlandschools/Mosaic/_git/BOH/pullrequest/46745"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dev.azure.com/heartlandschools/Meal%20Orders/_git/MealOrdersAutomation/pullrequest/46004" TargetMode="External"/><Relationship Id="rId2" Type="http://schemas.openxmlformats.org/officeDocument/2006/relationships/hyperlink" Target="https://dev.azure.com/heartlandschools/Meal%20Orders/_git/MealOrdersAutomation/pullrequest/46399" TargetMode="External"/><Relationship Id="rId1" Type="http://schemas.openxmlformats.org/officeDocument/2006/relationships/hyperlink" Target="https://dev.azure.com/heartlandschools/Mosaic/_git/FOH/pullrequest/46412" TargetMode="External"/><Relationship Id="rId5" Type="http://schemas.openxmlformats.org/officeDocument/2006/relationships/hyperlink" Target="https://dev.azure.com/heartlandschools/Mosaic/_git/FOH/pullrequest/46489" TargetMode="External"/><Relationship Id="rId4" Type="http://schemas.openxmlformats.org/officeDocument/2006/relationships/hyperlink" Target="https://dev.azure.com/heartlandschools/Accounting/_git/MSBAccounting-NewSchoolBooks/pullrequest/46416"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dev.azure.com/heartlandschools/Meal%20Orders/_git/MealOrdersAutomation/pullrequests?_a=mine" TargetMode="External"/><Relationship Id="rId3" Type="http://schemas.openxmlformats.org/officeDocument/2006/relationships/hyperlink" Target="https://dev.azure.com/heartlandschools/Mosaic/_git/FOH/pullrequest/45953" TargetMode="External"/><Relationship Id="rId7" Type="http://schemas.openxmlformats.org/officeDocument/2006/relationships/hyperlink" Target="https://dev.azure.com/heartlandschools/Mosaic/_git/FOH/pullrequest/46084" TargetMode="External"/><Relationship Id="rId2" Type="http://schemas.openxmlformats.org/officeDocument/2006/relationships/hyperlink" Target="https://dev.azure.com/heartlandschools/Mosaic/_git/FOH/pullrequest/45892" TargetMode="External"/><Relationship Id="rId1" Type="http://schemas.openxmlformats.org/officeDocument/2006/relationships/hyperlink" Target="https://dev.azure.com/heartlandschools/Mosaic/_git/FOH/pullrequest/45654" TargetMode="External"/><Relationship Id="rId6" Type="http://schemas.openxmlformats.org/officeDocument/2006/relationships/hyperlink" Target="https://dev.azure.com/heartlandschools/Mosaic/_git/FOH/pullrequest/46109?_a=files" TargetMode="External"/><Relationship Id="rId5" Type="http://schemas.openxmlformats.org/officeDocument/2006/relationships/hyperlink" Target="https://dev.azure.com/heartlandschools/Mosaic/_git/FOH/pullrequest/46088" TargetMode="External"/><Relationship Id="rId4" Type="http://schemas.openxmlformats.org/officeDocument/2006/relationships/hyperlink" Target="https://dev.azure.com/heartlandschools/Mosaic/_git/FOH/pullrequest/45763"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dev.azure.com/heartlandschools/Mosaic/_git/FOH/pullrequest/45583" TargetMode="External"/><Relationship Id="rId2" Type="http://schemas.openxmlformats.org/officeDocument/2006/relationships/hyperlink" Target="https://dev.azure.com/heartlandschools/Meal%20Orders/_git/Meal%20Orders/pullrequest/45527" TargetMode="External"/><Relationship Id="rId1" Type="http://schemas.openxmlformats.org/officeDocument/2006/relationships/hyperlink" Target="https://dev.azure.com/heartlandschools/Mosaic/_git/FOH/pullrequest/45405" TargetMode="External"/><Relationship Id="rId5" Type="http://schemas.openxmlformats.org/officeDocument/2006/relationships/hyperlink" Target="https://dev.azure.com/heartlandschools/Meal%20Orders/_git/MealOrdersAutomation/pullrequests?_a=mine" TargetMode="External"/><Relationship Id="rId4" Type="http://schemas.openxmlformats.org/officeDocument/2006/relationships/hyperlink" Target="https://dev.azure.com/heartlandschools/Mosaic/_git/FOH/pullrequest/45654"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dev.azure.com/heartlandschools/Meal%20Orders/_git/MealOrdersAutomation/pullrequest/45045" TargetMode="External"/><Relationship Id="rId2" Type="http://schemas.openxmlformats.org/officeDocument/2006/relationships/hyperlink" Target="https://dev.azure.com/heartlandschools/Mosaic/_git/FOH/pullrequest/45368" TargetMode="External"/><Relationship Id="rId1" Type="http://schemas.openxmlformats.org/officeDocument/2006/relationships/hyperlink" Target="https://dev.azure.com/heartlandschools/Mosaic/_git/FOH/pullrequest/45311"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dev.azure.com/heartlandschools/Mosaic/_git/FOH/pullrequest/45111" TargetMode="External"/><Relationship Id="rId2" Type="http://schemas.openxmlformats.org/officeDocument/2006/relationships/hyperlink" Target="https://dev.azure.com/heartlandschools/Mosaic/_git/FOH/pullrequest/45073" TargetMode="External"/><Relationship Id="rId1" Type="http://schemas.openxmlformats.org/officeDocument/2006/relationships/hyperlink" Target="https://dev.azure.com/heartlandschools/Meal%20Orders/_git/MealOrdersAutomation/pullrequest/45045"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44695" TargetMode="External"/><Relationship Id="rId2" Type="http://schemas.openxmlformats.org/officeDocument/2006/relationships/hyperlink" Target="https://dev.azure.com/heartlandschools/Mosaic/_git/FOH/pullrequest/44749" TargetMode="External"/><Relationship Id="rId1" Type="http://schemas.openxmlformats.org/officeDocument/2006/relationships/hyperlink" Target="https://dev.azure.com/heartlandschools/Meal%20Orders/_git/Meal%20Orders/pullrequest/44695" TargetMode="External"/><Relationship Id="rId5" Type="http://schemas.openxmlformats.org/officeDocument/2006/relationships/hyperlink" Target="https://dev.azure.com/heartlandschools/Mosaic/_git/FOH/pullrequest/44920" TargetMode="External"/><Relationship Id="rId4" Type="http://schemas.openxmlformats.org/officeDocument/2006/relationships/hyperlink" Target="https://dev.azure.com/heartlandschools/Mosaic/_git/FOH/pullrequest/44808"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44467" TargetMode="External"/><Relationship Id="rId2" Type="http://schemas.openxmlformats.org/officeDocument/2006/relationships/hyperlink" Target="https://dev.azure.com/heartlandschools/Meal%20Orders/_git/Meal%20Orders/pullrequest/44386" TargetMode="External"/><Relationship Id="rId1" Type="http://schemas.openxmlformats.org/officeDocument/2006/relationships/hyperlink" Target="https://dev.azure.com/heartlandschools/Meal%20Orders/_git/MealOrdersAutomation/pullrequest/44414" TargetMode="External"/><Relationship Id="rId6" Type="http://schemas.openxmlformats.org/officeDocument/2006/relationships/hyperlink" Target="https://dev.azure.com/heartlandschools/Meal%20Orders/_git/Meal%20Orders/pullrequest/44471" TargetMode="External"/><Relationship Id="rId5" Type="http://schemas.openxmlformats.org/officeDocument/2006/relationships/hyperlink" Target="https://dev.azure.com/heartlandschools/Mosaic/_git/FOH/pullrequest/44461?path=/src/FOH/Mosaic.Web/Views/Account/Login.cshtml" TargetMode="External"/><Relationship Id="rId4" Type="http://schemas.openxmlformats.org/officeDocument/2006/relationships/hyperlink" Target="https://dev.azure.com/heartlandschools/Meal%20Orders/_git/Meal%20Orders/pullrequest/44445" TargetMode="External"/></Relationships>
</file>

<file path=xl/worksheets/_rels/sheet3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dev.azure.com/heartlandschools/Meal%20Orders/_git/Meal%20Orders/pullrequest/44089" TargetMode="External"/><Relationship Id="rId1" Type="http://schemas.openxmlformats.org/officeDocument/2006/relationships/hyperlink" Target="https://dev.azure.com/heartlandschools/Mosaic/_git/FOH/pullrequest/4400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dev.azure.com/heartlandschools/Mosaic/_git/FOH/pullrequest/44007" TargetMode="External"/><Relationship Id="rId2" Type="http://schemas.openxmlformats.org/officeDocument/2006/relationships/hyperlink" Target="https://dev.azure.com/heartlandschools/Meal%20Orders/_git/Meal%20Orders/pullrequest/43967" TargetMode="External"/><Relationship Id="rId1" Type="http://schemas.openxmlformats.org/officeDocument/2006/relationships/hyperlink" Target="https://dev.azure.com/heartlandschools/Mosaic/_git/FOH/pullrequest/43971,%20https:/dev.azure.com/heartlandschools/Mosaic/_git/FOH/pullrequest/44077" TargetMode="External"/><Relationship Id="rId5" Type="http://schemas.openxmlformats.org/officeDocument/2006/relationships/table" Target="../tables/table2.xml"/><Relationship Id="rId4" Type="http://schemas.openxmlformats.org/officeDocument/2006/relationships/hyperlink" Target="https://heartlandschools.visualstudio.com/Meal%20Orders/_git/Meal%20Orders/pullrequest/44089?_a=files"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43660" TargetMode="External"/><Relationship Id="rId2" Type="http://schemas.openxmlformats.org/officeDocument/2006/relationships/hyperlink" Target="https://dev.azure.com/heartlandschools/Mosaic/_git/FOH/pullrequest/43809" TargetMode="External"/><Relationship Id="rId1" Type="http://schemas.openxmlformats.org/officeDocument/2006/relationships/hyperlink" Target="https://dev.azure.com/heartlandschools/Mosaic/_git/FOH/pullrequest/43801" TargetMode="External"/><Relationship Id="rId5" Type="http://schemas.openxmlformats.org/officeDocument/2006/relationships/table" Target="../tables/table3.xml"/><Relationship Id="rId4" Type="http://schemas.openxmlformats.org/officeDocument/2006/relationships/hyperlink" Target="https://dev.azure.com/heartlandschools/Meal%20Orders/_git/Meal%20Orders/pullrequest/43660"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https://heartlandschools.visualstudio.com/Meal%20Orders/_git/Meal%20Orders/pullrequest/43360" TargetMode="External"/><Relationship Id="rId2" Type="http://schemas.openxmlformats.org/officeDocument/2006/relationships/hyperlink" Target="https://dev.azure.com/heartlandschools/Mosaic/_git/FOH/pullrequest/43558" TargetMode="External"/><Relationship Id="rId1" Type="http://schemas.openxmlformats.org/officeDocument/2006/relationships/hyperlink" Target="https://dev.azure.com/heartlandschools/Mosaic/_git/FOH/pullrequest/43497" TargetMode="External"/><Relationship Id="rId4" Type="http://schemas.openxmlformats.org/officeDocument/2006/relationships/table" Target="../tables/table4.xml"/></Relationships>
</file>

<file path=xl/worksheets/_rels/sheet41.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43200" TargetMode="External"/><Relationship Id="rId7" Type="http://schemas.openxmlformats.org/officeDocument/2006/relationships/table" Target="../tables/table5.xml"/><Relationship Id="rId2" Type="http://schemas.openxmlformats.org/officeDocument/2006/relationships/hyperlink" Target="https://dev.azure.com/heartlandschools/Meal%20Orders/_git/Meal%20Orders/pullrequest/43050" TargetMode="External"/><Relationship Id="rId1" Type="http://schemas.openxmlformats.org/officeDocument/2006/relationships/hyperlink" Target="https://dev.azure.com/heartlandschools/Mosaic/_git/FOH/pullrequest/43195?_a=files" TargetMode="External"/><Relationship Id="rId6" Type="http://schemas.openxmlformats.org/officeDocument/2006/relationships/hyperlink" Target="https://dev.azure.com/heartlandschools/Meal%20Orders/_git/Meal%20Orders/pullrequest/43222" TargetMode="External"/><Relationship Id="rId5" Type="http://schemas.openxmlformats.org/officeDocument/2006/relationships/hyperlink" Target="https://dev.azure.com/heartlandschools/Meal%20Orders/_git/MealOrdersAutomation/pullrequest/43266" TargetMode="External"/><Relationship Id="rId4" Type="http://schemas.openxmlformats.org/officeDocument/2006/relationships/hyperlink" Target="https://dev.azure.com/heartlandschools/Mosaic/_git/BOH/pullrequest/43098"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dev.azure.com/heartlandschools/Meal%20Orders/_build/results?buildId=144390&amp;view=results" TargetMode="External"/><Relationship Id="rId2" Type="http://schemas.openxmlformats.org/officeDocument/2006/relationships/hyperlink" Target="https://dev.azure.com/heartlandschools/Meal%20Orders/_git/Meal%20Orders/pullrequest/42938" TargetMode="External"/><Relationship Id="rId1" Type="http://schemas.openxmlformats.org/officeDocument/2006/relationships/hyperlink" Target="https://dev.azure.com/heartlandschools/Meal%20Orders/_git/Meal%20Orders/pullrequest/42857" TargetMode="External"/><Relationship Id="rId6" Type="http://schemas.openxmlformats.org/officeDocument/2006/relationships/table" Target="../tables/table6.xml"/><Relationship Id="rId5" Type="http://schemas.openxmlformats.org/officeDocument/2006/relationships/hyperlink" Target="https://dev.azure.com/heartlandschools/Meal%20Orders/_git/Meal%20Orders/pullrequest/42972" TargetMode="External"/><Relationship Id="rId4" Type="http://schemas.openxmlformats.org/officeDocument/2006/relationships/hyperlink" Target="https://dev.azure.com/heartlandschools/Mosaic/_git/FOH/pullrequest/43008" TargetMode="External"/></Relationships>
</file>

<file path=xl/worksheets/_rels/sheet4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hyperlink" Target="https://dev.azure.com/heartlandschools/Meal%20Orders/_git/MealOrdersAutomation/pullrequest/42734" TargetMode="External"/><Relationship Id="rId1" Type="http://schemas.openxmlformats.org/officeDocument/2006/relationships/hyperlink" Target="https://dev.azure.com/heartlandschools/Meal%20Orders/_git/Meal%20Orders/pullrequest/42424"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heartlandschools.visualstudio.com/Meal%20Orders/_git/MealOrdersAutomation/pullrequest/42232" TargetMode="External"/><Relationship Id="rId2" Type="http://schemas.openxmlformats.org/officeDocument/2006/relationships/hyperlink" Target="https://dev.azure.com/heartlandschools/Meal%20Orders/_git/Meal%20Orders/pullrequest/42401" TargetMode="External"/><Relationship Id="rId1" Type="http://schemas.openxmlformats.org/officeDocument/2006/relationships/hyperlink" Target="https://dev.azure.com/heartlandschools/Meal%20Orders/_git/Meal%20Orders/pullrequest/42404" TargetMode="External"/><Relationship Id="rId5" Type="http://schemas.openxmlformats.org/officeDocument/2006/relationships/table" Target="../tables/table8.xml"/><Relationship Id="rId4" Type="http://schemas.openxmlformats.org/officeDocument/2006/relationships/hyperlink" Target="https://heartlandschools.visualstudio.com/Meal%20Orders/_git/Meal%20Orders/pullrequest/42367" TargetMode="External"/></Relationships>
</file>

<file path=xl/worksheets/_rels/sheet4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hyperlink" Target="https://dev.azure.com/heartlandschools/Meal%20Orders/_git/Meal%20Orders/pullrequest/42143" TargetMode="External"/><Relationship Id="rId1" Type="http://schemas.openxmlformats.org/officeDocument/2006/relationships/hyperlink" Target="https://dev.azure.com/heartlandschools/Meal%20Orders/_git/Meal%20Orders/pullrequest/42090"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41941" TargetMode="External"/><Relationship Id="rId2" Type="http://schemas.openxmlformats.org/officeDocument/2006/relationships/hyperlink" Target="https://dev.azure.com/heartlandschools/Meal%20Orders/_git/Meal%20Orders/pullrequest/41830" TargetMode="External"/><Relationship Id="rId1" Type="http://schemas.openxmlformats.org/officeDocument/2006/relationships/hyperlink" Target="https://dev.azure.com/heartlandschools/Meal%20Orders/_git/Meal%20Orders/pullrequest/41887" TargetMode="External"/><Relationship Id="rId6" Type="http://schemas.openxmlformats.org/officeDocument/2006/relationships/table" Target="../tables/table10.xml"/><Relationship Id="rId5" Type="http://schemas.openxmlformats.org/officeDocument/2006/relationships/hyperlink" Target="https://dev.azure.com/heartlandschools/Meal%20Orders/_git/Meal%20Orders/pullrequest/41968" TargetMode="External"/><Relationship Id="rId4" Type="http://schemas.openxmlformats.org/officeDocument/2006/relationships/hyperlink" Target="https://dev.azure.com/heartlandschools/Meal%20Orders/_git/Meal%20Orders/pullrequest/41871"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41754" TargetMode="External"/><Relationship Id="rId3" Type="http://schemas.openxmlformats.org/officeDocument/2006/relationships/hyperlink" Target="https://dev.azure.com/heartlandschools/Meal%20Orders/_git/Meal%20Orders/pullrequest/41713" TargetMode="External"/><Relationship Id="rId7" Type="http://schemas.openxmlformats.org/officeDocument/2006/relationships/hyperlink" Target="https://dev.azure.com/heartlandschools/Meal%20Orders/_git/Meal%20Orders/pullrequest/41770" TargetMode="External"/><Relationship Id="rId2" Type="http://schemas.openxmlformats.org/officeDocument/2006/relationships/hyperlink" Target="https://dev.azure.com/heartlandschools/Meal%20Orders/_git/Meal%20Orders/pullrequest/41658" TargetMode="External"/><Relationship Id="rId1" Type="http://schemas.openxmlformats.org/officeDocument/2006/relationships/hyperlink" Target="https://dev.azure.com/heartlandschools/Meal%20Orders/_git/Meal%20Orders/pullrequest/41655" TargetMode="External"/><Relationship Id="rId6" Type="http://schemas.openxmlformats.org/officeDocument/2006/relationships/hyperlink" Target="https://dev.azure.com/heartlandschools/Meal%20Orders/_git/Meal%20Orders/pullrequest/41753" TargetMode="External"/><Relationship Id="rId5" Type="http://schemas.openxmlformats.org/officeDocument/2006/relationships/hyperlink" Target="https://dev.azure.com/heartlandschools/Meal%20Orders/_git/Meal%20Orders/pullrequest/41715" TargetMode="External"/><Relationship Id="rId4" Type="http://schemas.openxmlformats.org/officeDocument/2006/relationships/hyperlink" Target="https://dev.azure.com/heartlandschools/Meal%20Orders/_git/Meal%20Orders/pullrequest/41714" TargetMode="External"/><Relationship Id="rId9" Type="http://schemas.openxmlformats.org/officeDocument/2006/relationships/table" Target="../tables/table11.xml"/></Relationships>
</file>

<file path=xl/worksheets/_rels/sheet55.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hyperlink" Target="https://dev.azure.com/heartlandschools/Meal%20Orders/_git/Meal%20Orders/pullrequest/41490" TargetMode="External"/><Relationship Id="rId7" Type="http://schemas.openxmlformats.org/officeDocument/2006/relationships/hyperlink" Target="https://heartlandschools.visualstudio.com/Meal%20Orders/_git/Meal%20Orders/pullrequest/41478" TargetMode="External"/><Relationship Id="rId2" Type="http://schemas.openxmlformats.org/officeDocument/2006/relationships/hyperlink" Target="https://dev.azure.com/heartlandschools/Meal%20Orders/_build/results?buildId=140100&amp;view=logs&amp;j=ca395085-040a-526b-2ce8-bdc85f692774" TargetMode="External"/><Relationship Id="rId1" Type="http://schemas.openxmlformats.org/officeDocument/2006/relationships/hyperlink" Target="https://dev.azure.com/heartlandschools/Meal%20Orders/_git/Meal%20Orders/pullrequest/41331" TargetMode="External"/><Relationship Id="rId6" Type="http://schemas.openxmlformats.org/officeDocument/2006/relationships/hyperlink" Target="https://heartlandschools.visualstudio.com/Meal%20Orders/_git/Meal%20Orders/pullrequest/41445" TargetMode="External"/><Relationship Id="rId5" Type="http://schemas.openxmlformats.org/officeDocument/2006/relationships/hyperlink" Target="https://heartlandschools.visualstudio.com/Meal%20Orders/_git/Meal%20Orders/pullrequest/41511" TargetMode="External"/><Relationship Id="rId4" Type="http://schemas.openxmlformats.org/officeDocument/2006/relationships/hyperlink" Target="https://dev.azure.com/heartlandschools/Meal%20Orders/_git/Meal%20Orders/pullrequest/41490"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https://heartlandschools.visualstudio.com/Meal%20Orders/_git/Meal%20Orders/pullrequest/41187" TargetMode="External"/><Relationship Id="rId3" Type="http://schemas.openxmlformats.org/officeDocument/2006/relationships/hyperlink" Target="https://dev.azure.com/heartlandschools/Meal%20Orders/_git/Meal%20Orders/pullrequest/41296" TargetMode="External"/><Relationship Id="rId7" Type="http://schemas.openxmlformats.org/officeDocument/2006/relationships/hyperlink" Target="https://heartlandschools.visualstudio.com/Meal%20Orders/_git/Meal%20Orders/pullrequest/41314" TargetMode="External"/><Relationship Id="rId2" Type="http://schemas.openxmlformats.org/officeDocument/2006/relationships/hyperlink" Target="https://dev.azure.com/heartlandschools/Meal%20Orders/_git/Meal%20Orders/pullrequest/41260" TargetMode="External"/><Relationship Id="rId1" Type="http://schemas.openxmlformats.org/officeDocument/2006/relationships/hyperlink" Target="https://dev.azure.com/heartlandschools/Meal%20Orders/_git/Meal%20Orders/pullrequest/41206" TargetMode="External"/><Relationship Id="rId6" Type="http://schemas.openxmlformats.org/officeDocument/2006/relationships/hyperlink" Target="https://dev.azure.com/heartlandschools/Meal%20Orders/_git/Meal%20Orders/pullrequest/41331" TargetMode="External"/><Relationship Id="rId5" Type="http://schemas.openxmlformats.org/officeDocument/2006/relationships/hyperlink" Target="https://dev.azure.com/heartlandschools/Meal%20Orders/_git/Meal%20Orders/pullrequest/41325" TargetMode="External"/><Relationship Id="rId4" Type="http://schemas.openxmlformats.org/officeDocument/2006/relationships/hyperlink" Target="https://dev.azure.com/heartlandschools/Meal%20Orders/_git/Meal%20Orders/pullrequest/41243" TargetMode="External"/><Relationship Id="rId9" Type="http://schemas.openxmlformats.org/officeDocument/2006/relationships/table" Target="../tables/table13.xml"/></Relationships>
</file>

<file path=xl/worksheets/_rels/sheet59.xml.rels><?xml version="1.0" encoding="UTF-8" standalone="yes"?>
<Relationships xmlns="http://schemas.openxmlformats.org/package/2006/relationships"><Relationship Id="rId8" Type="http://schemas.openxmlformats.org/officeDocument/2006/relationships/hyperlink" Target="https://heartlandschools.visualstudio.com/Meal%20Orders/_git/Meal%20Orders/pullrequest/41088" TargetMode="External"/><Relationship Id="rId3" Type="http://schemas.openxmlformats.org/officeDocument/2006/relationships/hyperlink" Target="https://heartlandschools.visualstudio.com/Meal%20Orders/_git/Meal%20Orders/pullrequest/41033" TargetMode="External"/><Relationship Id="rId7" Type="http://schemas.openxmlformats.org/officeDocument/2006/relationships/hyperlink" Target="https://heartlandschools.visualstudio.com/Meal%20Orders/_git/Meal%20Orders/pullrequest/41029" TargetMode="External"/><Relationship Id="rId2" Type="http://schemas.openxmlformats.org/officeDocument/2006/relationships/hyperlink" Target="https://dev.azure.com/heartlandschools/Meal%20Orders/_git/Meal%20Orders/pullrequest/41023" TargetMode="External"/><Relationship Id="rId1" Type="http://schemas.openxmlformats.org/officeDocument/2006/relationships/hyperlink" Target="https://dev.azure.com/heartlandschools/Meal%20Orders/_git/Meal%20Orders/pullrequest/40942" TargetMode="External"/><Relationship Id="rId6" Type="http://schemas.openxmlformats.org/officeDocument/2006/relationships/hyperlink" Target="https://heartlandschools.visualstudio.com/Meal%20Orders/_git/Meal%20Orders/pullrequest/41029" TargetMode="External"/><Relationship Id="rId5" Type="http://schemas.openxmlformats.org/officeDocument/2006/relationships/hyperlink" Target="https://heartlandschools.visualstudio.com/Meal%20Orders/_git/Meal%20Orders/pullrequest/41054" TargetMode="External"/><Relationship Id="rId10" Type="http://schemas.openxmlformats.org/officeDocument/2006/relationships/table" Target="../tables/table14.xml"/><Relationship Id="rId4" Type="http://schemas.openxmlformats.org/officeDocument/2006/relationships/hyperlink" Target="https://dev.azure.com/heartlandschools/Meal%20Orders/_git/Meal%20Orders/pullrequest/41046" TargetMode="External"/><Relationship Id="rId9" Type="http://schemas.openxmlformats.org/officeDocument/2006/relationships/hyperlink" Target="https://heartlandschools.visualstudio.com/Meal%20Orders/_git/Meal%20Orders/pullrequest/41087"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https://heartlandschools.visualstudio.com/Meal%20Orders/_git/Meal%20Orders/pullrequest/40835?_a=files" TargetMode="External"/><Relationship Id="rId2" Type="http://schemas.openxmlformats.org/officeDocument/2006/relationships/hyperlink" Target="https://heartlandschools.visualstudio.com/Meal%20Orders/_git/Meal%20Orders/pullrequest/40835?_a=files" TargetMode="External"/><Relationship Id="rId1" Type="http://schemas.openxmlformats.org/officeDocument/2006/relationships/hyperlink" Target="https://heartlandschools.visualstudio.com/Meal%20Orders/_git/Meal%20Orders/pullrequest/40756" TargetMode="External"/><Relationship Id="rId5" Type="http://schemas.openxmlformats.org/officeDocument/2006/relationships/table" Target="../tables/table15.xml"/><Relationship Id="rId4" Type="http://schemas.openxmlformats.org/officeDocument/2006/relationships/hyperlink" Target="https://heartlandschools.visualstudio.com/Meal%20Orders/_git/Meal%20Orders/pullrequest/40843"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40493" TargetMode="External"/><Relationship Id="rId2" Type="http://schemas.openxmlformats.org/officeDocument/2006/relationships/hyperlink" Target="https://dev.azure.com/heartlandschools/Meal%20Orders/_git/Meal%20Orders/pullrequest/40475" TargetMode="External"/><Relationship Id="rId1" Type="http://schemas.openxmlformats.org/officeDocument/2006/relationships/hyperlink" Target="https://dev.azure.com/heartlandschools/Meal%20Orders/_git/Meal%20Orders/pullrequest/40402?_a=files" TargetMode="External"/><Relationship Id="rId5" Type="http://schemas.openxmlformats.org/officeDocument/2006/relationships/table" Target="../tables/table16.xml"/><Relationship Id="rId4" Type="http://schemas.openxmlformats.org/officeDocument/2006/relationships/hyperlink" Target="https://dev.azure.com/heartlandschools/Meal%20Orders/_git/Meal%20Orders/pullrequest/40756" TargetMode="External"/></Relationships>
</file>

<file path=xl/worksheets/_rels/sheet66.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40188" TargetMode="External"/><Relationship Id="rId3" Type="http://schemas.openxmlformats.org/officeDocument/2006/relationships/hyperlink" Target="https://dev.azure.com/heartlandschools/Meal%20Orders/_git/Meal%20Orders/pullrequest/40132" TargetMode="External"/><Relationship Id="rId7" Type="http://schemas.openxmlformats.org/officeDocument/2006/relationships/hyperlink" Target="https://dev.azure.com/heartlandschools/Meal%20Orders/_git/Meal%20Orders/pullrequest/40188" TargetMode="External"/><Relationship Id="rId12" Type="http://schemas.openxmlformats.org/officeDocument/2006/relationships/table" Target="../tables/table17.xml"/><Relationship Id="rId2" Type="http://schemas.openxmlformats.org/officeDocument/2006/relationships/hyperlink" Target="https://dev.azure.com/heartlandschools/Meal%20Orders/_git/Meal%20Orders/pullrequest/40131" TargetMode="External"/><Relationship Id="rId1" Type="http://schemas.openxmlformats.org/officeDocument/2006/relationships/hyperlink" Target="https://dev.azure.com/heartlandschools/Meal%20Orders/_git/Meal%20Orders/pullrequest/40068" TargetMode="External"/><Relationship Id="rId6" Type="http://schemas.openxmlformats.org/officeDocument/2006/relationships/hyperlink" Target="https://dev.azure.com/heartlandschools/Meal%20Orders/_git/Meal%20Orders/pullrequest/40188" TargetMode="External"/><Relationship Id="rId11" Type="http://schemas.openxmlformats.org/officeDocument/2006/relationships/hyperlink" Target="https://dev.azure.com/heartlandschools/Meal%20Orders/_git/Meal%20Orders/pullrequest/40251" TargetMode="External"/><Relationship Id="rId5" Type="http://schemas.openxmlformats.org/officeDocument/2006/relationships/hyperlink" Target="https://dev.azure.com/heartlandschools/Meal%20Orders/_git/Meal%20Orders/pullrequest/40236" TargetMode="External"/><Relationship Id="rId10" Type="http://schemas.openxmlformats.org/officeDocument/2006/relationships/hyperlink" Target="https://dev.azure.com/heartlandschools/Meal%20Orders/_git/Meal%20Orders/pullrequest/40188" TargetMode="External"/><Relationship Id="rId4" Type="http://schemas.openxmlformats.org/officeDocument/2006/relationships/hyperlink" Target="https://dev.azure.com/heartlandschools/Meal%20Orders/_git/Meal%20Orders/pullrequest/40254" TargetMode="External"/><Relationship Id="rId9" Type="http://schemas.openxmlformats.org/officeDocument/2006/relationships/hyperlink" Target="https://dev.azure.com/heartlandschools/Meal%20Orders/_git/Meal%20Orders/pullrequest/40188" TargetMode="External"/></Relationships>
</file>

<file path=xl/worksheets/_rels/sheet68.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40402?_a=files" TargetMode="External"/><Relationship Id="rId13" Type="http://schemas.openxmlformats.org/officeDocument/2006/relationships/hyperlink" Target="https://dev.azure.com/heartlandschools/Meal%20Orders/_git/Meal%20Orders/pullrequest/40405?_a=files" TargetMode="External"/><Relationship Id="rId3" Type="http://schemas.openxmlformats.org/officeDocument/2006/relationships/hyperlink" Target="https://dev.azure.com/heartlandschools/Meal%20Orders/_git/Meal%20Orders/pullrequest/40254" TargetMode="External"/><Relationship Id="rId7" Type="http://schemas.openxmlformats.org/officeDocument/2006/relationships/hyperlink" Target="https://dev.azure.com/heartlandschools/Meal%20Orders/_git/Meal%20Orders/pullrequest/40373" TargetMode="External"/><Relationship Id="rId12" Type="http://schemas.openxmlformats.org/officeDocument/2006/relationships/hyperlink" Target="https://dev.azure.com/heartlandschools/Meal%20Orders/_git/Meal%20Orders/pullrequest/40405?_a=files" TargetMode="External"/><Relationship Id="rId2" Type="http://schemas.openxmlformats.org/officeDocument/2006/relationships/hyperlink" Target="https://dev.azure.com/heartlandschools/Meal%20Orders/_git/Meal%20Orders/pullrequest/40188" TargetMode="External"/><Relationship Id="rId1" Type="http://schemas.openxmlformats.org/officeDocument/2006/relationships/hyperlink" Target="https://dev.azure.com/heartlandschools/Meal%20Orders/_git/Meal%20Orders/pullrequest/40188" TargetMode="External"/><Relationship Id="rId6" Type="http://schemas.openxmlformats.org/officeDocument/2006/relationships/hyperlink" Target="https://dev.azure.com/heartlandschools/Meal%20Orders/_git/Meal%20Orders/pullrequest/40319" TargetMode="External"/><Relationship Id="rId11" Type="http://schemas.openxmlformats.org/officeDocument/2006/relationships/hyperlink" Target="https://dev.azure.com/heartlandschools/Meal%20Orders/_git/Meal%20Orders/pullrequest/40397" TargetMode="External"/><Relationship Id="rId5" Type="http://schemas.openxmlformats.org/officeDocument/2006/relationships/hyperlink" Target="https://dev.azure.com/heartlandschools/Meal%20Orders/_git/Meal%20Orders/pullrequest/40295?_a=files&amp;path=/MealOrders.Web/Features/Teacher/TeacherController.cs" TargetMode="External"/><Relationship Id="rId10" Type="http://schemas.openxmlformats.org/officeDocument/2006/relationships/hyperlink" Target="https://dev.azure.com/heartlandschools/Meal%20Orders/_git/Meal%20Orders/pullrequest/40387" TargetMode="External"/><Relationship Id="rId4" Type="http://schemas.openxmlformats.org/officeDocument/2006/relationships/hyperlink" Target="https://dev.azure.com/heartlandschools/Meal%20Orders/_git/Meal%20Orders/pullrequest/40399" TargetMode="External"/><Relationship Id="rId9" Type="http://schemas.openxmlformats.org/officeDocument/2006/relationships/hyperlink" Target="https://dev.azure.com/heartlandschools/Meal%20Orders/_git/Meal%20Orders/pullrequest/40374" TargetMode="External"/><Relationship Id="rId14" Type="http://schemas.openxmlformats.org/officeDocument/2006/relationships/table" Target="../tables/table18.xml"/></Relationships>
</file>

<file path=xl/worksheets/_rels/sheet69.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40020" TargetMode="External"/><Relationship Id="rId13" Type="http://schemas.openxmlformats.org/officeDocument/2006/relationships/table" Target="../tables/table19.xml"/><Relationship Id="rId3" Type="http://schemas.openxmlformats.org/officeDocument/2006/relationships/hyperlink" Target="https://dev.azure.com/heartlandschools/Meal%20Orders/_git/Meal%20Orders/pullrequest/39765" TargetMode="External"/><Relationship Id="rId7" Type="http://schemas.openxmlformats.org/officeDocument/2006/relationships/hyperlink" Target="https://dev.azure.com/heartlandschools/Meal%20Orders/_git/Meal%20Orders/pullrequest/40021" TargetMode="External"/><Relationship Id="rId12" Type="http://schemas.openxmlformats.org/officeDocument/2006/relationships/hyperlink" Target="https://dev.azure.com/heartlandschools/Meal%20Orders/_git/Meal%20Orders/pullrequest/39946" TargetMode="External"/><Relationship Id="rId2" Type="http://schemas.openxmlformats.org/officeDocument/2006/relationships/hyperlink" Target="https://heartlandschools.axosoft.com/viewitem?id=24226&amp;type=defects&amp;force_use_number=true" TargetMode="External"/><Relationship Id="rId1" Type="http://schemas.openxmlformats.org/officeDocument/2006/relationships/hyperlink" Target="https://dev.azure.com/heartlandschools/Meal%20Orders/_git/Meal%20Orders/pullrequest/39705?_a=files" TargetMode="External"/><Relationship Id="rId6" Type="http://schemas.openxmlformats.org/officeDocument/2006/relationships/hyperlink" Target="https://dev.azure.com/heartlandschools/Meal%20Orders/_git/Meal%20Orders/pullrequest/40003" TargetMode="External"/><Relationship Id="rId11" Type="http://schemas.openxmlformats.org/officeDocument/2006/relationships/hyperlink" Target="https://dev.azure.com/heartlandschools/Meal%20Orders/_git/Meal%20Orders/pullrequest/39958" TargetMode="External"/><Relationship Id="rId5" Type="http://schemas.openxmlformats.org/officeDocument/2006/relationships/hyperlink" Target="https://dev.azure.com/heartlandschools/Meal%20Orders/_git/Meal%20Orders/pullrequest/39933" TargetMode="External"/><Relationship Id="rId10" Type="http://schemas.openxmlformats.org/officeDocument/2006/relationships/hyperlink" Target="https://dev.azure.com/heartlandschools/Meal%20Orders/_git/Meal%20Orders/pullrequest/39888" TargetMode="External"/><Relationship Id="rId4" Type="http://schemas.openxmlformats.org/officeDocument/2006/relationships/hyperlink" Target="https://dev.azure.com/heartlandschools/Meal%20Orders/_git/Meal%20Orders/pullrequest/39890" TargetMode="External"/><Relationship Id="rId9" Type="http://schemas.openxmlformats.org/officeDocument/2006/relationships/hyperlink" Target="https://dev.azure.com/heartlandschools/Meal%20Orders/_git/Meal%20Orders/pullrequest/39888"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https://heartlandschools.axosoft.com/viewitem?id=24226&amp;type=defects&amp;force_use_number=true" TargetMode="External"/></Relationships>
</file>

<file path=xl/worksheets/_rels/sheet71.xml.rels><?xml version="1.0" encoding="UTF-8" standalone="yes"?>
<Relationships xmlns="http://schemas.openxmlformats.org/package/2006/relationships"><Relationship Id="rId8" Type="http://schemas.openxmlformats.org/officeDocument/2006/relationships/hyperlink" Target="https://heartlandschools.axosoft.com/viewitem?id=24226&amp;type=defects&amp;force_use_number=true" TargetMode="External"/><Relationship Id="rId3" Type="http://schemas.openxmlformats.org/officeDocument/2006/relationships/hyperlink" Target="https://dev.azure.com/heartlandschools/Meal%20Orders/_git/Meal%20Orders/pullrequest/39652" TargetMode="External"/><Relationship Id="rId7" Type="http://schemas.openxmlformats.org/officeDocument/2006/relationships/hyperlink" Target="https://dev.azure.com/heartlandschools/Meal%20Orders/_git/Meal%20Orders/pullrequest/39652" TargetMode="External"/><Relationship Id="rId2" Type="http://schemas.openxmlformats.org/officeDocument/2006/relationships/hyperlink" Target="https://dev.azure.com/heartlandschools/Meal%20Orders/_git/Meal%20Orders/pullrequest/39601" TargetMode="External"/><Relationship Id="rId1" Type="http://schemas.openxmlformats.org/officeDocument/2006/relationships/hyperlink" Target="https://dev.azure.com/heartlandschools/Meal%20Orders/_git/Meal%20Orders/pullrequest/39584" TargetMode="External"/><Relationship Id="rId6" Type="http://schemas.openxmlformats.org/officeDocument/2006/relationships/hyperlink" Target="https://dev.azure.com/heartlandschools/Meal%20Orders/_git/Meal%20Orders/pullrequest/39705?_a=files" TargetMode="External"/><Relationship Id="rId5" Type="http://schemas.openxmlformats.org/officeDocument/2006/relationships/hyperlink" Target="https://dev.azure.com/heartlandschools/Meal%20Orders/_git/Meal%20Orders/pullrequest/39683" TargetMode="External"/><Relationship Id="rId4" Type="http://schemas.openxmlformats.org/officeDocument/2006/relationships/hyperlink" Target="https://dev.azure.com/heartlandschools/Meal%20Orders/_git/Meal%20Orders/pullrequest/39652" TargetMode="External"/></Relationships>
</file>

<file path=xl/worksheets/_rels/sheet74.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39415" TargetMode="External"/><Relationship Id="rId2" Type="http://schemas.openxmlformats.org/officeDocument/2006/relationships/hyperlink" Target="https://dev.azure.com/heartlandschools/Meal%20Orders/_git/Meal%20Orders/pullrequest/39467" TargetMode="External"/><Relationship Id="rId1" Type="http://schemas.openxmlformats.org/officeDocument/2006/relationships/hyperlink" Target="https://dev.azure.com/heartlandschools/Meal%20Orders/_git/Meal%20Orders/pullrequest/39362" TargetMode="External"/><Relationship Id="rId5" Type="http://schemas.openxmlformats.org/officeDocument/2006/relationships/hyperlink" Target="https://dev.azure.com/heartlandschools/Meal%20Orders/_git/Meal%20Orders/pullrequest/39515" TargetMode="External"/><Relationship Id="rId4" Type="http://schemas.openxmlformats.org/officeDocument/2006/relationships/hyperlink" Target="https://dev.azure.com/heartlandschools/Meal%20Orders/_git/Meal%20Orders/pullrequest/39426" TargetMode="External"/></Relationships>
</file>

<file path=xl/worksheets/_rels/sheet75.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39348" TargetMode="External"/><Relationship Id="rId3" Type="http://schemas.openxmlformats.org/officeDocument/2006/relationships/hyperlink" Target="https://heartlandschools.axosoft.com/viewitem?id=24058&amp;type=defects&amp;force_use_number=true" TargetMode="External"/><Relationship Id="rId7" Type="http://schemas.openxmlformats.org/officeDocument/2006/relationships/hyperlink" Target="https://dev.azure.com/heartlandschools/Meal%20Orders/_git/Meal%20Orders/pullrequest/39348" TargetMode="External"/><Relationship Id="rId2" Type="http://schemas.openxmlformats.org/officeDocument/2006/relationships/hyperlink" Target="https://heartlandschools.axosoft.com/viewitem?id=24032&amp;type=defects&amp;force_use_number=true" TargetMode="External"/><Relationship Id="rId1" Type="http://schemas.openxmlformats.org/officeDocument/2006/relationships/hyperlink" Target="https://dev.azure.com/heartlandschools/Meal%20Orders/_git/Meal%20Orders/pullrequest/39344" TargetMode="External"/><Relationship Id="rId6" Type="http://schemas.openxmlformats.org/officeDocument/2006/relationships/hyperlink" Target="https://heartlandschools.axosoft.com/viewitem?id=24052&amp;type=defects&amp;force_use_number=true" TargetMode="External"/><Relationship Id="rId11" Type="http://schemas.openxmlformats.org/officeDocument/2006/relationships/hyperlink" Target="https://dev.azure.com/heartlandschools/Meal%20Orders/_git/Meal%20Orders/pullrequest/39344" TargetMode="External"/><Relationship Id="rId5" Type="http://schemas.openxmlformats.org/officeDocument/2006/relationships/hyperlink" Target="https://heartlandschools.axosoft.com/viewitem?id=24201&amp;type=defects&amp;force_use_number=true" TargetMode="External"/><Relationship Id="rId10" Type="http://schemas.openxmlformats.org/officeDocument/2006/relationships/hyperlink" Target="https://dev.azure.com/heartlandschools/Meal%20Orders/_git/Meal%20Orders/pullrequest/39348" TargetMode="External"/><Relationship Id="rId4" Type="http://schemas.openxmlformats.org/officeDocument/2006/relationships/hyperlink" Target="https://heartlandschools.axosoft.com/viewitem?id=24132&amp;type=defects&amp;force_use_number=true" TargetMode="External"/><Relationship Id="rId9" Type="http://schemas.openxmlformats.org/officeDocument/2006/relationships/hyperlink" Target="https://dev.azure.com/heartlandschools/Meal%20Orders/_git/Meal%20Orders/pullrequest/39348" TargetMode="External"/></Relationships>
</file>

<file path=xl/worksheets/_rels/sheet76.xml.rels><?xml version="1.0" encoding="UTF-8" standalone="yes"?>
<Relationships xmlns="http://schemas.openxmlformats.org/package/2006/relationships"><Relationship Id="rId3" Type="http://schemas.openxmlformats.org/officeDocument/2006/relationships/hyperlink" Target="https://heartlandschools.axosoft.com/viewitem?id=24132&amp;type=defects&amp;force_use_number=true" TargetMode="External"/><Relationship Id="rId2" Type="http://schemas.openxmlformats.org/officeDocument/2006/relationships/hyperlink" Target="https://heartlandschools.axosoft.com/viewitem?id=24058&amp;type=defects&amp;force_use_number=true" TargetMode="External"/><Relationship Id="rId1" Type="http://schemas.openxmlformats.org/officeDocument/2006/relationships/hyperlink" Target="https://heartlandschools.axosoft.com/viewitem?id=24032&amp;type=defects&amp;force_use_number=true" TargetMode="External"/><Relationship Id="rId5" Type="http://schemas.openxmlformats.org/officeDocument/2006/relationships/hyperlink" Target="https://heartlandschools.axosoft.com/viewitem?id=24052&amp;type=defects&amp;force_use_number=true" TargetMode="External"/><Relationship Id="rId4" Type="http://schemas.openxmlformats.org/officeDocument/2006/relationships/hyperlink" Target="https://heartlandschools.axosoft.com/viewitem?id=24201&amp;type=defects&amp;force_use_number=true" TargetMode="External"/></Relationships>
</file>

<file path=xl/worksheets/_rels/sheet77.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39019" TargetMode="External"/><Relationship Id="rId3" Type="http://schemas.openxmlformats.org/officeDocument/2006/relationships/hyperlink" Target="https://dev.azure.com/heartlandschools/Meal%20Orders/_git/Meal%20Orders/pullrequest/39039" TargetMode="External"/><Relationship Id="rId7" Type="http://schemas.openxmlformats.org/officeDocument/2006/relationships/hyperlink" Target="https://dev.azure.com/heartlandschools/Meal%20Orders/_git/Meal%20Orders/pullrequest/38997" TargetMode="External"/><Relationship Id="rId2" Type="http://schemas.openxmlformats.org/officeDocument/2006/relationships/hyperlink" Target="https://dev.azure.com/heartlandschools/Meal%20Orders/_git/Meal%20Orders/pullrequest/39002?_a=files" TargetMode="External"/><Relationship Id="rId1" Type="http://schemas.openxmlformats.org/officeDocument/2006/relationships/hyperlink" Target="https://dev.azure.com/heartlandschools/Meal%20Orders/_git/Meal%20Orders/pullrequest/38982" TargetMode="External"/><Relationship Id="rId6" Type="http://schemas.openxmlformats.org/officeDocument/2006/relationships/hyperlink" Target="https://dev.azure.com/heartlandschools/Meal%20Orders/_git/Meal%20Orders/pullrequest/39047" TargetMode="External"/><Relationship Id="rId5" Type="http://schemas.openxmlformats.org/officeDocument/2006/relationships/hyperlink" Target="https://dev.azure.com/heartlandschools/Meal%20Orders/_git/Meal%20Orders/pullrequest/39019" TargetMode="External"/><Relationship Id="rId10" Type="http://schemas.openxmlformats.org/officeDocument/2006/relationships/hyperlink" Target="https://dev.azure.com/heartlandschools/Meal%20Orders/_git/Meal%20Orders/pullrequest/38870" TargetMode="External"/><Relationship Id="rId4" Type="http://schemas.openxmlformats.org/officeDocument/2006/relationships/hyperlink" Target="https://dev.azure.com/heartlandschools/Meal%20Orders/_git/Meal%20Orders/pullrequest/39020" TargetMode="External"/><Relationship Id="rId9" Type="http://schemas.openxmlformats.org/officeDocument/2006/relationships/hyperlink" Target="https://dev.azure.com/heartlandschools/Meal%20Orders/_git/Meal%20Orders/pullrequest/39059" TargetMode="External"/></Relationships>
</file>

<file path=xl/worksheets/_rels/sheet79.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38956" TargetMode="External"/><Relationship Id="rId2" Type="http://schemas.openxmlformats.org/officeDocument/2006/relationships/hyperlink" Target="https://dev.azure.com/heartlandschools/Meal%20Orders/_git/Meal%20Orders/pullrequest/38870" TargetMode="External"/><Relationship Id="rId1" Type="http://schemas.openxmlformats.org/officeDocument/2006/relationships/hyperlink" Target="https://dev.azure.com/heartlandschools/Meal%20Orders/_git/Meal%20Orders/pullrequest/38847" TargetMode="External"/><Relationship Id="rId6" Type="http://schemas.openxmlformats.org/officeDocument/2006/relationships/hyperlink" Target="https://dev.azure.com/heartlandschools/Meal%20Orders/_git/Meal%20Orders/pullrequest/38874" TargetMode="External"/><Relationship Id="rId5" Type="http://schemas.openxmlformats.org/officeDocument/2006/relationships/hyperlink" Target="https://dev.azure.com/heartlandschools/Meal%20Orders/_git/Meal%20Orders/pullrequest/38793" TargetMode="External"/><Relationship Id="rId4" Type="http://schemas.openxmlformats.org/officeDocument/2006/relationships/hyperlink" Target="https://dev.azure.com/heartlandschools/Meal%20Orders/_git/Meal%20Orders/pullrequest/38963" TargetMode="External"/></Relationships>
</file>

<file path=xl/worksheets/_rels/sheet81.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38638" TargetMode="External"/><Relationship Id="rId2" Type="http://schemas.openxmlformats.org/officeDocument/2006/relationships/hyperlink" Target="https://heartlandschools.axosoft.com/viewitem?id=SRX23788&amp;type=incidents&amp;force_use_number=true" TargetMode="External"/><Relationship Id="rId1" Type="http://schemas.openxmlformats.org/officeDocument/2006/relationships/hyperlink" Target="https://heartlandschools.axosoft.com/viewitem?id=45599&amp;type=features&amp;force_use_number=true" TargetMode="External"/><Relationship Id="rId6" Type="http://schemas.openxmlformats.org/officeDocument/2006/relationships/hyperlink" Target="https://dev.azure.com/heartlandschools/Meal%20Orders/_git/Meal%20Orders/pullrequest/38653" TargetMode="External"/><Relationship Id="rId5" Type="http://schemas.openxmlformats.org/officeDocument/2006/relationships/hyperlink" Target="https://heartlandschools.axosoft.com/viewitem?id=23672&amp;type=defects&amp;force_use_number=true" TargetMode="External"/><Relationship Id="rId4" Type="http://schemas.openxmlformats.org/officeDocument/2006/relationships/hyperlink" Target="https://heartlandschools.axosoft.com/viewitem?id=23575&amp;type=defects&amp;force_use_number=true" TargetMode="External"/></Relationships>
</file>

<file path=xl/worksheets/_rels/sheet82.xml.rels><?xml version="1.0" encoding="UTF-8" standalone="yes"?>
<Relationships xmlns="http://schemas.openxmlformats.org/package/2006/relationships"><Relationship Id="rId2" Type="http://schemas.openxmlformats.org/officeDocument/2006/relationships/hyperlink" Target="https://heartlandschools.axosoft.com/viewitem?id=23672&amp;type=defects&amp;force_use_number=true" TargetMode="External"/><Relationship Id="rId1" Type="http://schemas.openxmlformats.org/officeDocument/2006/relationships/hyperlink" Target="https://heartlandschools.axosoft.com/viewitem?id=23575&amp;type=defects&amp;force_use_number=true" TargetMode="External"/></Relationships>
</file>

<file path=xl/worksheets/_rels/sheet83.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38582" TargetMode="External"/><Relationship Id="rId3" Type="http://schemas.openxmlformats.org/officeDocument/2006/relationships/hyperlink" Target="https://dev.azure.com/heartlandschools/Meal%20Orders/_git/Meal%20Orders/pullrequest/38497" TargetMode="External"/><Relationship Id="rId7" Type="http://schemas.openxmlformats.org/officeDocument/2006/relationships/hyperlink" Target="https://dev.azure.com/heartlandschools/Meal%20Orders/_git/Meal%20Orders/pullrequest/38576" TargetMode="External"/><Relationship Id="rId2" Type="http://schemas.openxmlformats.org/officeDocument/2006/relationships/hyperlink" Target="https://dev.azure.com/heartlandschools/Meal%20Orders/_git/Meal%20Orders/pullrequest/38440" TargetMode="External"/><Relationship Id="rId1" Type="http://schemas.openxmlformats.org/officeDocument/2006/relationships/hyperlink" Target="https://dev.azure.com/heartlandschools/Meal%20Orders/_git/Meal%20Orders/pullrequest/38431" TargetMode="External"/><Relationship Id="rId6" Type="http://schemas.openxmlformats.org/officeDocument/2006/relationships/hyperlink" Target="https://dev.azure.com/heartlandschools/Meal%20Orders/_git/Meal%20Orders/pullrequest/38522" TargetMode="External"/><Relationship Id="rId5" Type="http://schemas.openxmlformats.org/officeDocument/2006/relationships/hyperlink" Target="https://dev.azure.com/heartlandschools/Meal%20Orders/_git/Meal%20Orders/pullrequest/38522" TargetMode="External"/><Relationship Id="rId4" Type="http://schemas.openxmlformats.org/officeDocument/2006/relationships/hyperlink" Target="https://heartlandschools.axosoft.com/viewitem?id=45599&amp;type=features&amp;force_use_number=true" TargetMode="External"/><Relationship Id="rId9" Type="http://schemas.openxmlformats.org/officeDocument/2006/relationships/hyperlink" Target="https://dev.azure.com/heartlandschools/Meal%20Orders/_git/Meal%20Orders/pullrequest/38299" TargetMode="External"/></Relationships>
</file>

<file path=xl/worksheets/_rels/sheet85.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38238" TargetMode="External"/><Relationship Id="rId3" Type="http://schemas.openxmlformats.org/officeDocument/2006/relationships/hyperlink" Target="https://dev.azure.com/heartlandschools/Meal%20Orders/_git/Meal%20Orders/pullrequest/38103" TargetMode="External"/><Relationship Id="rId7" Type="http://schemas.openxmlformats.org/officeDocument/2006/relationships/hyperlink" Target="https://dev.azure.com/heartlandschools/Meal%20Orders/_git/Meal%20Orders/pullrequest/38188" TargetMode="External"/><Relationship Id="rId2" Type="http://schemas.openxmlformats.org/officeDocument/2006/relationships/hyperlink" Target="https://dev.azure.com/heartlandschools/Meal%20Orders/_git/Meal%20Orders/pullrequest/38051" TargetMode="External"/><Relationship Id="rId1" Type="http://schemas.openxmlformats.org/officeDocument/2006/relationships/hyperlink" Target="https://dev.azure.com/heartlandschools/Meal%20Orders/_git/Meal%20Orders/pullrequest/38050" TargetMode="External"/><Relationship Id="rId6" Type="http://schemas.openxmlformats.org/officeDocument/2006/relationships/hyperlink" Target="https://dev.azure.com/heartlandschools/Meal%20Orders/_git/Meal%20Orders/pullrequest/38188" TargetMode="External"/><Relationship Id="rId5" Type="http://schemas.openxmlformats.org/officeDocument/2006/relationships/hyperlink" Target="https://dev.azure.com/heartlandschools/Meal%20Orders/_git/Meal%20Orders/pullrequest/38125" TargetMode="External"/><Relationship Id="rId4" Type="http://schemas.openxmlformats.org/officeDocument/2006/relationships/hyperlink" Target="https://dev.azure.com/heartlandschools/Meal%20Orders/_git/Meal%20Orders/pullrequest/38105" TargetMode="External"/></Relationships>
</file>

<file path=xl/worksheets/_rels/sheet87.xml.rels><?xml version="1.0" encoding="UTF-8" standalone="yes"?>
<Relationships xmlns="http://schemas.openxmlformats.org/package/2006/relationships"><Relationship Id="rId8" Type="http://schemas.openxmlformats.org/officeDocument/2006/relationships/hyperlink" Target="https://heartlandschools.axosoft.com/viewitem?id=23643&amp;type=defects&amp;force_use_number=true" TargetMode="External"/><Relationship Id="rId3" Type="http://schemas.openxmlformats.org/officeDocument/2006/relationships/hyperlink" Target="https://dev.azure.com/heartlandschools/Meal%20Orders/_git/Meal%20Orders/pullrequest/38013" TargetMode="External"/><Relationship Id="rId7" Type="http://schemas.openxmlformats.org/officeDocument/2006/relationships/hyperlink" Target="https://heartlandschools.axosoft.com/viewitem?id=23642&amp;type=defects&amp;force_use_number=true" TargetMode="External"/><Relationship Id="rId2" Type="http://schemas.openxmlformats.org/officeDocument/2006/relationships/hyperlink" Target="https://dev.azure.com/heartlandschools/Meal%20Orders/_git/Meal%20Orders/pullrequest/38013" TargetMode="External"/><Relationship Id="rId1" Type="http://schemas.openxmlformats.org/officeDocument/2006/relationships/hyperlink" Target="https://dev.azure.com/heartlandschools/Meal%20Orders/_git/Meal%20Orders/pullrequest/37900" TargetMode="External"/><Relationship Id="rId6" Type="http://schemas.openxmlformats.org/officeDocument/2006/relationships/hyperlink" Target="https://dev.azure.com/heartlandschools/Meal%20Orders/_git/Meal%20Orders/pullrequest/37989" TargetMode="External"/><Relationship Id="rId5" Type="http://schemas.openxmlformats.org/officeDocument/2006/relationships/hyperlink" Target="https://dev.azure.com/heartlandschools/Meal%20Orders/_git/Meal%20Orders/pullrequest/37990" TargetMode="External"/><Relationship Id="rId4" Type="http://schemas.openxmlformats.org/officeDocument/2006/relationships/hyperlink" Target="https://dev.azure.com/heartlandschools/Meal%20Orders/_git/Meal%20Orders/pullrequest/38011" TargetMode="External"/><Relationship Id="rId9" Type="http://schemas.openxmlformats.org/officeDocument/2006/relationships/hyperlink" Target="https://dev.azure.com/heartlandschools/Meal%20Orders/_git/Meal%20Orders/pullrequest/37872" TargetMode="External"/></Relationships>
</file>

<file path=xl/worksheets/_rels/sheet89.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37643" TargetMode="External"/><Relationship Id="rId2" Type="http://schemas.openxmlformats.org/officeDocument/2006/relationships/hyperlink" Target="https://dev.azure.com/heartlandschools/Meal%20Orders/_git/Meal%20Orders/pullrequest/37729" TargetMode="External"/><Relationship Id="rId1" Type="http://schemas.openxmlformats.org/officeDocument/2006/relationships/hyperlink" Target="https://dev.azure.com/heartlandschools/Meal%20Orders/_git/Meal%20Orders/pullrequest/37703" TargetMode="External"/></Relationships>
</file>

<file path=xl/worksheets/_rels/sheet91.xml.rels><?xml version="1.0" encoding="UTF-8" standalone="yes"?>
<Relationships xmlns="http://schemas.openxmlformats.org/package/2006/relationships"><Relationship Id="rId3" Type="http://schemas.openxmlformats.org/officeDocument/2006/relationships/hyperlink" Target="https://heartlandschools.axosoft.com/viewitem?id=45027&amp;type=features&amp;force_use_number=true" TargetMode="External"/><Relationship Id="rId2" Type="http://schemas.openxmlformats.org/officeDocument/2006/relationships/hyperlink" Target="https://dev.azure.com/heartlandschools/Meal%20Orders/_git/Meal%20Orders/pullrequest/37596" TargetMode="External"/><Relationship Id="rId1" Type="http://schemas.openxmlformats.org/officeDocument/2006/relationships/hyperlink" Target="https://dev.azure.com/heartlandschools/Meal%20Orders/_git/Meal%20Orders/pullrequest/37618" TargetMode="External"/></Relationships>
</file>

<file path=xl/worksheets/_rels/sheet93.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37344" TargetMode="External"/><Relationship Id="rId2" Type="http://schemas.openxmlformats.org/officeDocument/2006/relationships/hyperlink" Target="https://dev.azure.com/heartlandschools/Meal%20Orders/_git/Meal%20Orders/pullrequest/37372" TargetMode="External"/><Relationship Id="rId1" Type="http://schemas.openxmlformats.org/officeDocument/2006/relationships/hyperlink" Target="https://dev.azure.com/heartlandschools/Meal%20Orders/_git/Meal%20Orders/pullrequest/37248" TargetMode="External"/><Relationship Id="rId6" Type="http://schemas.openxmlformats.org/officeDocument/2006/relationships/hyperlink" Target="https://dev.azure.com/heartlandschools/Meal%20Orders/_git/Meal%20Orders/pullrequest/37231" TargetMode="External"/><Relationship Id="rId5" Type="http://schemas.openxmlformats.org/officeDocument/2006/relationships/hyperlink" Target="https://dev.azure.com/heartlandschools/Meal%20Orders/_git/Meal%20Orders/pullrequest/37343" TargetMode="External"/><Relationship Id="rId4" Type="http://schemas.openxmlformats.org/officeDocument/2006/relationships/hyperlink" Target="https://dev.azure.com/heartlandschools/Meal%20Orders/_git/Meal%20Orders/pullrequest/37372"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https://heartlandschools.axosoft.com/viewitem?id=23453&amp;type=defects&amp;force_use_number=true" TargetMode="External"/></Relationships>
</file>

<file path=xl/worksheets/_rels/sheet95.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37045" TargetMode="External"/><Relationship Id="rId3" Type="http://schemas.openxmlformats.org/officeDocument/2006/relationships/hyperlink" Target="https://dev.azure.com/heartlandschools/Meal%20Orders/_git/Meal%20Orders/pullrequest/36950" TargetMode="External"/><Relationship Id="rId7" Type="http://schemas.openxmlformats.org/officeDocument/2006/relationships/hyperlink" Target="https://dev.azure.com/heartlandschools/Meal%20Orders/_git/Meal%20Orders/pullrequest/37194" TargetMode="External"/><Relationship Id="rId2" Type="http://schemas.openxmlformats.org/officeDocument/2006/relationships/hyperlink" Target="https://dev.azure.com/heartlandschools/Meal%20Orders/_git/Meal%20Orders/pullrequest/37083" TargetMode="External"/><Relationship Id="rId1" Type="http://schemas.openxmlformats.org/officeDocument/2006/relationships/hyperlink" Target="https://dev.azure.com/heartlandschools/Meal%20Orders/_git/Meal%20Orders/pullrequest/37082" TargetMode="External"/><Relationship Id="rId6" Type="http://schemas.openxmlformats.org/officeDocument/2006/relationships/hyperlink" Target="https://heartlandschools.axosoft.com/viewitem?id=44665&amp;type=features&amp;force_use_number=true" TargetMode="External"/><Relationship Id="rId5" Type="http://schemas.openxmlformats.org/officeDocument/2006/relationships/hyperlink" Target="https://dev.azure.com/heartlandschools/Meal%20Orders/_git/Meal%20Orders/pullrequest/37119" TargetMode="External"/><Relationship Id="rId4" Type="http://schemas.openxmlformats.org/officeDocument/2006/relationships/hyperlink" Target="https://dev.azure.com/heartlandschools/Meal%20Orders/_git/Meal%20Orders/pullrequest/36950" TargetMode="External"/></Relationships>
</file>

<file path=xl/worksheets/_rels/sheet97.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36793" TargetMode="External"/><Relationship Id="rId3" Type="http://schemas.openxmlformats.org/officeDocument/2006/relationships/hyperlink" Target="https://dev.azure.com/heartlandschools/Meal%20Orders/_git/Meal%20Orders/pullrequest/36853" TargetMode="External"/><Relationship Id="rId7" Type="http://schemas.openxmlformats.org/officeDocument/2006/relationships/hyperlink" Target="https://dev.azure.com/heartlandschools/Meal%20Orders/_git/Meal%20Orders/pullrequest/36950" TargetMode="External"/><Relationship Id="rId2" Type="http://schemas.openxmlformats.org/officeDocument/2006/relationships/hyperlink" Target="https://dev.azure.com/heartlandschools/Meal%20Orders/_git/Meal%20Orders/pullrequest/36823" TargetMode="External"/><Relationship Id="rId1" Type="http://schemas.openxmlformats.org/officeDocument/2006/relationships/hyperlink" Target="https://dev.azure.com/heartlandschools/Meal%20Orders/_git/Meal%20Orders/pullrequest/36826" TargetMode="External"/><Relationship Id="rId6" Type="http://schemas.openxmlformats.org/officeDocument/2006/relationships/hyperlink" Target="https://dev.azure.com/heartlandschools/Meal%20Orders/_git/Meal%20Orders/pullrequest/36950" TargetMode="External"/><Relationship Id="rId5" Type="http://schemas.openxmlformats.org/officeDocument/2006/relationships/hyperlink" Target="https://dev.azure.com/heartlandschools/Meal%20Orders/_git/Meal%20Orders/pullrequest/36881" TargetMode="External"/><Relationship Id="rId4" Type="http://schemas.openxmlformats.org/officeDocument/2006/relationships/hyperlink" Target="https://dev.azure.com/heartlandschools/Meal%20Orders/_git/Meal%20Orders/pullrequest/36854" TargetMode="External"/><Relationship Id="rId9" Type="http://schemas.openxmlformats.org/officeDocument/2006/relationships/hyperlink" Target="https://dev.azure.com/heartlandschools/Meal%20Orders/_git/Meal%20Orders/pullrequest/36899" TargetMode="External"/></Relationships>
</file>

<file path=xl/worksheets/_rels/sheet99.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36737" TargetMode="External"/><Relationship Id="rId2" Type="http://schemas.openxmlformats.org/officeDocument/2006/relationships/hyperlink" Target="https://dev.azure.com/heartlandschools/Meal%20Orders/_git/Meal%20Orders/pullrequest/36672" TargetMode="External"/><Relationship Id="rId1" Type="http://schemas.openxmlformats.org/officeDocument/2006/relationships/hyperlink" Target="https://dev.azure.com/heartlandschools/Meal%20Orders/_git/Meal%20Orders/pullrequest/36640" TargetMode="External"/></Relationships>
</file>

<file path=xl/worksheets/_rels/sheet101.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36490?_a=files" TargetMode="External"/><Relationship Id="rId2" Type="http://schemas.openxmlformats.org/officeDocument/2006/relationships/hyperlink" Target="https://dev.azure.com/heartlandschools/Meal%20Orders/_git/Meal%20Orders/pullrequest/36466" TargetMode="External"/><Relationship Id="rId1" Type="http://schemas.openxmlformats.org/officeDocument/2006/relationships/hyperlink" Target="https://dev.azure.com/heartlandschools/Meal%20Orders/_git/Meal%20Orders/pullrequest/36365" TargetMode="External"/><Relationship Id="rId4" Type="http://schemas.openxmlformats.org/officeDocument/2006/relationships/hyperlink" Target="https://dev.azure.com/heartlandschools/Meal%20Orders/_git/Meal%20Orders/pullrequest/36411" TargetMode="External"/></Relationships>
</file>

<file path=xl/worksheets/_rels/sheet104.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36054" TargetMode="External"/><Relationship Id="rId3" Type="http://schemas.openxmlformats.org/officeDocument/2006/relationships/hyperlink" Target="https://dev.azure.com/heartlandschools/Meal%20Orders/_git/Meal%20Orders/pullrequest/35911" TargetMode="External"/><Relationship Id="rId7" Type="http://schemas.openxmlformats.org/officeDocument/2006/relationships/hyperlink" Target="https://dev.azure.com/heartlandschools/Meal%20Orders/_git/Meal%20Orders/pullrequest/36001" TargetMode="External"/><Relationship Id="rId2" Type="http://schemas.openxmlformats.org/officeDocument/2006/relationships/hyperlink" Target="https://dev.azure.com/heartlandschools/Meal%20Orders/_git/Meal%20Orders/pullrequest/35894" TargetMode="External"/><Relationship Id="rId1" Type="http://schemas.openxmlformats.org/officeDocument/2006/relationships/hyperlink" Target="https://dev.azure.com/heartlandschools/Meal%20Orders/_git/Meal%20Orders/pullrequest/35869" TargetMode="External"/><Relationship Id="rId6" Type="http://schemas.openxmlformats.org/officeDocument/2006/relationships/hyperlink" Target="https://dev.azure.com/heartlandschools/Meal%20Orders/_git/Meal%20Orders/pullrequest/36002" TargetMode="External"/><Relationship Id="rId5" Type="http://schemas.openxmlformats.org/officeDocument/2006/relationships/hyperlink" Target="https://dev.azure.com/heartlandschools/Meal%20Orders/_git/Meal%20Orders/pullrequest/35961" TargetMode="External"/><Relationship Id="rId4" Type="http://schemas.openxmlformats.org/officeDocument/2006/relationships/hyperlink" Target="https://dev.azure.com/heartlandschools/Meal%20Orders/_git/Meal%20Orders/pullrequest/35911" TargetMode="External"/><Relationship Id="rId9" Type="http://schemas.openxmlformats.org/officeDocument/2006/relationships/hyperlink" Target="https://dev.azure.com/heartlandschools/Meal%20Orders/_git/Meal%20Orders/pullrequest/35995" TargetMode="External"/></Relationships>
</file>

<file path=xl/worksheets/_rels/sheet106.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35806" TargetMode="External"/><Relationship Id="rId2" Type="http://schemas.openxmlformats.org/officeDocument/2006/relationships/hyperlink" Target="https://dev.azure.com/heartlandschools/Meal%20Orders/_git/Meal%20Orders/pullrequest/35717" TargetMode="External"/><Relationship Id="rId1" Type="http://schemas.openxmlformats.org/officeDocument/2006/relationships/hyperlink" Target="https://dev.azure.com/heartlandschools/Meal%20Orders/_git/Meal%20Orders/pullrequest/35696" TargetMode="External"/><Relationship Id="rId5" Type="http://schemas.openxmlformats.org/officeDocument/2006/relationships/hyperlink" Target="https://dev.azure.com/heartlandschools/Meal%20Orders/_git/Meal%20Orders/pullrequest/35813" TargetMode="External"/><Relationship Id="rId4" Type="http://schemas.openxmlformats.org/officeDocument/2006/relationships/hyperlink" Target="https://dev.azure.com/heartlandschools/Meal%20Orders/_git/Meal%20Orders/pullrequest/35808" TargetMode="External"/></Relationships>
</file>

<file path=xl/worksheets/_rels/sheet108.xml.rels><?xml version="1.0" encoding="UTF-8" standalone="yes"?>
<Relationships xmlns="http://schemas.openxmlformats.org/package/2006/relationships"><Relationship Id="rId8" Type="http://schemas.openxmlformats.org/officeDocument/2006/relationships/hyperlink" Target="https://dev.azure.com/heartlandschools/Meal%20Orders/_git/Meal%20Orders/pullrequest/36258" TargetMode="External"/><Relationship Id="rId3" Type="http://schemas.openxmlformats.org/officeDocument/2006/relationships/hyperlink" Target="https://dev.azure.com/heartlandschools/Meal%20Orders/_git/Meal%20Orders/pullrequest/36148" TargetMode="External"/><Relationship Id="rId7" Type="http://schemas.openxmlformats.org/officeDocument/2006/relationships/hyperlink" Target="https://dev.azure.com/heartlandschools/Meal%20Orders/_git/Meal%20Orders/pullrequest/36242" TargetMode="External"/><Relationship Id="rId2" Type="http://schemas.openxmlformats.org/officeDocument/2006/relationships/hyperlink" Target="https://dev.azure.com/heartlandschools/Meal%20Orders/_git/Meal%20Orders/pullrequest/36147" TargetMode="External"/><Relationship Id="rId1" Type="http://schemas.openxmlformats.org/officeDocument/2006/relationships/hyperlink" Target="https://dev.azure.com/heartlandschools/Meal%20Orders/_git/Meal%20Orders/pullrequest/36117" TargetMode="External"/><Relationship Id="rId6" Type="http://schemas.openxmlformats.org/officeDocument/2006/relationships/hyperlink" Target="https://dev.azure.com/heartlandschools/Meal%20Orders/_git/Meal%20Orders/pullrequest/36198" TargetMode="External"/><Relationship Id="rId5" Type="http://schemas.openxmlformats.org/officeDocument/2006/relationships/hyperlink" Target="https://dev.azure.com/heartlandschools/Meal%20Orders/_git/Meal%20Orders/pullrequest/36151" TargetMode="External"/><Relationship Id="rId10" Type="http://schemas.openxmlformats.org/officeDocument/2006/relationships/hyperlink" Target="https://dev.azure.com/heartlandschools/Meal%20Orders/_git/Meal%20Orders/pullrequest/36288" TargetMode="External"/><Relationship Id="rId4" Type="http://schemas.openxmlformats.org/officeDocument/2006/relationships/hyperlink" Target="https://dev.azure.com/heartlandschools/Meal%20Orders/_git/Meal%20Orders/pullrequest/36149" TargetMode="External"/><Relationship Id="rId9" Type="http://schemas.openxmlformats.org/officeDocument/2006/relationships/hyperlink" Target="https://dev.azure.com/heartlandschools/Meal%20Orders/_git/Meal%20Orders/pullrequest/36286" TargetMode="External"/></Relationships>
</file>

<file path=xl/worksheets/_rels/sheet109.xml.rels><?xml version="1.0" encoding="UTF-8" standalone="yes"?>
<Relationships xmlns="http://schemas.openxmlformats.org/package/2006/relationships"><Relationship Id="rId3" Type="http://schemas.openxmlformats.org/officeDocument/2006/relationships/hyperlink" Target="https://dev.azure.com/heartlandschools/Meal%20Orders/_git/Meal%20Orders/pullrequest/35523" TargetMode="External"/><Relationship Id="rId2" Type="http://schemas.openxmlformats.org/officeDocument/2006/relationships/hyperlink" Target="https://dev.azure.com/heartlandschools/Meal%20Orders/_git/Meal%20Orders/pullrequest/35504" TargetMode="External"/><Relationship Id="rId1" Type="http://schemas.openxmlformats.org/officeDocument/2006/relationships/hyperlink" Target="https://dev.azure.com/heartlandschools/Meal%20Orders/_git/Meal%20Orders/pullrequest/35503" TargetMode="External"/><Relationship Id="rId4" Type="http://schemas.openxmlformats.org/officeDocument/2006/relationships/hyperlink" Target="https://dev.azure.com/heartlandschools/Meal%20Orders/_git/Meal%20Orders/pullrequest/35515" TargetMode="External"/></Relationships>
</file>

<file path=xl/worksheets/_rels/sheet114.xml.rels><?xml version="1.0" encoding="UTF-8" standalone="yes"?>
<Relationships xmlns="http://schemas.openxmlformats.org/package/2006/relationships"><Relationship Id="rId8" Type="http://schemas.openxmlformats.org/officeDocument/2006/relationships/hyperlink" Target="https://heartlandschools.axosoft.com/viewitem?id=22687&amp;type=defects&amp;force_use_number=false" TargetMode="External"/><Relationship Id="rId3" Type="http://schemas.openxmlformats.org/officeDocument/2006/relationships/hyperlink" Target="https://heartlandschools.axosoft.com/viewitem?id=22687&amp;type=defects&amp;force_use_number=false" TargetMode="External"/><Relationship Id="rId7" Type="http://schemas.openxmlformats.org/officeDocument/2006/relationships/hyperlink" Target="https://heartlandschools.axosoft.com/viewitem?id=22687&amp;type=defects&amp;force_use_number=false" TargetMode="External"/><Relationship Id="rId2" Type="http://schemas.openxmlformats.org/officeDocument/2006/relationships/hyperlink" Target="https://heartlandschools.axosoft.com/viewitem?id=22687&amp;type=defects&amp;force_use_number=false" TargetMode="External"/><Relationship Id="rId1" Type="http://schemas.openxmlformats.org/officeDocument/2006/relationships/hyperlink" Target="https://heartlandschools.axosoft.com/viewitem?id=22687&amp;type=defects&amp;force_use_number=false" TargetMode="External"/><Relationship Id="rId6" Type="http://schemas.openxmlformats.org/officeDocument/2006/relationships/hyperlink" Target="https://heartlandschools.axosoft.com/viewitem?id=22687&amp;type=defects&amp;force_use_number=false" TargetMode="External"/><Relationship Id="rId5" Type="http://schemas.openxmlformats.org/officeDocument/2006/relationships/hyperlink" Target="https://heartlandschools.axosoft.com/viewitem?id=22687&amp;type=defects&amp;force_use_number=false" TargetMode="External"/><Relationship Id="rId4" Type="http://schemas.openxmlformats.org/officeDocument/2006/relationships/hyperlink" Target="https://heartlandschools.axosoft.com/viewitem?id=22687&amp;type=defects&amp;force_use_number=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963"/>
  <sheetViews>
    <sheetView showGridLines="0" workbookViewId="0">
      <pane ySplit="2" topLeftCell="A61" activePane="bottomLeft" state="frozen"/>
      <selection pane="bottomLeft" activeCell="H63" sqref="H63"/>
    </sheetView>
  </sheetViews>
  <sheetFormatPr defaultColWidth="12.5703125" defaultRowHeight="15.75" customHeight="1"/>
  <cols>
    <col min="1" max="1" width="12.5703125" style="67" customWidth="1"/>
    <col min="2" max="2" width="22.140625" style="70" customWidth="1"/>
    <col min="3" max="3" width="19" style="70" customWidth="1"/>
    <col min="4" max="4" width="27.7109375" style="70" customWidth="1"/>
    <col min="5" max="5" width="14.85546875" style="70" customWidth="1"/>
    <col min="6" max="6" width="10.7109375" style="70" bestFit="1" customWidth="1"/>
    <col min="7" max="7" width="17.85546875" style="70" customWidth="1"/>
    <col min="8" max="8" width="41.5703125" style="70" customWidth="1"/>
    <col min="9" max="9" width="39.5703125" style="168" customWidth="1"/>
    <col min="10" max="10" width="60.7109375" style="99" customWidth="1"/>
    <col min="11" max="11" width="49.140625" style="70" customWidth="1"/>
    <col min="12" max="12" width="18.42578125" style="70" customWidth="1"/>
    <col min="13" max="13" width="18.140625" style="70" customWidth="1"/>
    <col min="14" max="16384" width="12.5703125" style="70"/>
  </cols>
  <sheetData>
    <row r="1" spans="1:33" customFormat="1" ht="12.75">
      <c r="A1" s="306" t="s">
        <v>0</v>
      </c>
      <c r="B1" t="str" cm="1">
        <f t="array" aca="1" ref="B1" ca="1">INDEX($B$2:$B$101,MATCH(1,(($D$2:$D$101 &gt;=TODAY())*($C$2:$C$101&lt;=TODAY())),0))</f>
        <v>2.5 KaleidaNutrition S24</v>
      </c>
      <c r="C1" s="306" t="s">
        <v>1</v>
      </c>
      <c r="D1" s="262" t="str">
        <f ca="1">CONCATENATE(B1,"-Status")</f>
        <v>2.5 KaleidaNutrition S24-Status</v>
      </c>
      <c r="E1" s="307" t="s">
        <v>2</v>
      </c>
      <c r="F1" s="262">
        <f ca="1">VLOOKUP($B$1,$B$1:$C$101,2)</f>
        <v>46157</v>
      </c>
      <c r="G1" s="307" t="s">
        <v>3</v>
      </c>
      <c r="H1" s="426">
        <f ca="1">VLOOKUP($B$1,$B$1:$D$101,3)</f>
        <v>46170</v>
      </c>
      <c r="I1" s="43" t="s">
        <v>4</v>
      </c>
      <c r="J1" s="429" t="s">
        <v>5</v>
      </c>
      <c r="K1" s="70" t="s">
        <v>6</v>
      </c>
      <c r="L1" t="s">
        <v>7</v>
      </c>
      <c r="M1" s="70" t="s">
        <v>8</v>
      </c>
      <c r="N1" s="66" t="s">
        <v>9</v>
      </c>
    </row>
    <row r="2" spans="1:33" ht="36">
      <c r="A2" s="82" t="s">
        <v>10</v>
      </c>
      <c r="B2" s="153" t="s">
        <v>11</v>
      </c>
      <c r="C2" s="82" t="s">
        <v>2</v>
      </c>
      <c r="D2" s="82" t="s">
        <v>3</v>
      </c>
      <c r="E2" s="82" t="s">
        <v>12</v>
      </c>
      <c r="F2" s="82" t="s">
        <v>13</v>
      </c>
      <c r="G2" s="82" t="s">
        <v>14</v>
      </c>
      <c r="H2" s="82" t="s">
        <v>15</v>
      </c>
      <c r="I2" s="82" t="s">
        <v>16</v>
      </c>
      <c r="J2" s="512" t="s">
        <v>17</v>
      </c>
      <c r="K2" s="7" t="s">
        <v>18</v>
      </c>
      <c r="L2" s="7" t="s">
        <v>19</v>
      </c>
      <c r="M2" s="174" t="s">
        <v>20</v>
      </c>
      <c r="N2" s="174" t="s">
        <v>21</v>
      </c>
      <c r="O2" s="7" t="s">
        <v>22</v>
      </c>
      <c r="P2" s="69"/>
      <c r="Q2" s="69"/>
      <c r="R2" s="69"/>
      <c r="S2" s="69"/>
      <c r="T2" s="69"/>
      <c r="U2" s="69"/>
      <c r="V2" s="69"/>
      <c r="W2" s="69"/>
      <c r="X2" s="69"/>
      <c r="Y2" s="69"/>
      <c r="Z2" s="69"/>
      <c r="AA2" s="69"/>
      <c r="AB2" s="69"/>
      <c r="AC2" s="69"/>
      <c r="AD2" s="69"/>
      <c r="AE2" s="69"/>
      <c r="AF2" s="69"/>
      <c r="AG2" s="69"/>
    </row>
    <row r="3" spans="1:33" ht="24" customHeight="1">
      <c r="A3" s="69" t="str">
        <f ca="1">IF(AND($D$1&gt;=C3,$D$1&lt;=D3),"CurrentSprint","NA")</f>
        <v>NA</v>
      </c>
      <c r="B3" s="282" t="s">
        <v>23</v>
      </c>
      <c r="C3" s="263">
        <v>45303</v>
      </c>
      <c r="D3" s="263">
        <v>45316</v>
      </c>
      <c r="E3" s="3">
        <v>27</v>
      </c>
      <c r="F3" s="3">
        <v>29</v>
      </c>
      <c r="G3" s="3">
        <v>0</v>
      </c>
      <c r="H3" s="3"/>
      <c r="I3" s="3"/>
      <c r="J3" s="4" t="s">
        <v>24</v>
      </c>
      <c r="K3" s="11" t="s">
        <v>25</v>
      </c>
      <c r="L3" s="11"/>
      <c r="M3" s="69"/>
      <c r="N3" s="175"/>
      <c r="O3" s="69"/>
      <c r="P3" s="69"/>
      <c r="Q3" s="69"/>
      <c r="R3" s="69"/>
      <c r="S3" s="69"/>
      <c r="T3" s="69"/>
      <c r="U3" s="69"/>
      <c r="V3" s="69"/>
      <c r="W3" s="69"/>
      <c r="X3" s="69"/>
      <c r="Y3" s="69"/>
      <c r="Z3" s="69"/>
      <c r="AA3" s="69"/>
      <c r="AB3" s="69"/>
      <c r="AC3" s="69"/>
      <c r="AD3" s="69"/>
      <c r="AE3" s="69"/>
      <c r="AF3" s="69"/>
      <c r="AG3" s="69"/>
    </row>
    <row r="4" spans="1:33" ht="39.75" customHeight="1">
      <c r="A4" s="69" t="str">
        <f t="shared" ref="A4:A27" ca="1" si="0">IF(AND($D$1&gt;=C4,$D$1&lt;=D4),"CurrentSprint","NA")</f>
        <v>NA</v>
      </c>
      <c r="B4" s="283" t="s">
        <v>26</v>
      </c>
      <c r="C4" s="263">
        <v>45317</v>
      </c>
      <c r="D4" s="264">
        <v>45330</v>
      </c>
      <c r="E4" s="5">
        <v>25</v>
      </c>
      <c r="F4" s="5">
        <v>33</v>
      </c>
      <c r="G4" s="5">
        <v>0</v>
      </c>
      <c r="H4" s="5"/>
      <c r="I4" s="3"/>
      <c r="J4" s="4" t="s">
        <v>27</v>
      </c>
      <c r="K4" s="11" t="s">
        <v>25</v>
      </c>
      <c r="L4" s="11"/>
      <c r="M4" s="69"/>
      <c r="N4" s="175"/>
      <c r="O4" s="69"/>
      <c r="P4" s="69"/>
      <c r="Q4" s="69"/>
      <c r="R4" s="69"/>
      <c r="S4" s="69"/>
      <c r="T4" s="69"/>
      <c r="U4" s="69"/>
      <c r="V4" s="69"/>
      <c r="W4" s="69"/>
      <c r="X4" s="69"/>
      <c r="Y4" s="69"/>
      <c r="Z4" s="69"/>
      <c r="AA4" s="69"/>
      <c r="AB4" s="69"/>
      <c r="AC4" s="69"/>
      <c r="AD4" s="69"/>
      <c r="AE4" s="69"/>
      <c r="AF4" s="69"/>
      <c r="AG4" s="69"/>
    </row>
    <row r="5" spans="1:33" ht="36" customHeight="1">
      <c r="A5" s="69" t="str">
        <f t="shared" ca="1" si="0"/>
        <v>NA</v>
      </c>
      <c r="B5" s="283" t="s">
        <v>28</v>
      </c>
      <c r="C5" s="264">
        <v>45331</v>
      </c>
      <c r="D5" s="264">
        <v>45344</v>
      </c>
      <c r="E5" s="5">
        <v>22</v>
      </c>
      <c r="F5" s="5">
        <v>30</v>
      </c>
      <c r="G5" s="5">
        <v>0</v>
      </c>
      <c r="H5" s="5"/>
      <c r="I5" s="3"/>
      <c r="J5" s="4" t="s">
        <v>29</v>
      </c>
      <c r="K5" s="11" t="s">
        <v>25</v>
      </c>
      <c r="L5" s="11"/>
      <c r="M5" s="69"/>
      <c r="N5" s="175"/>
      <c r="O5" s="69"/>
      <c r="P5" s="69"/>
      <c r="Q5" s="69"/>
      <c r="R5" s="69"/>
      <c r="S5" s="69"/>
      <c r="T5" s="69"/>
      <c r="U5" s="69"/>
      <c r="V5" s="69"/>
      <c r="W5" s="69"/>
      <c r="X5" s="69"/>
      <c r="Y5" s="69"/>
      <c r="Z5" s="69"/>
      <c r="AA5" s="69"/>
      <c r="AB5" s="69"/>
      <c r="AC5" s="69"/>
      <c r="AD5" s="69"/>
      <c r="AE5" s="69"/>
      <c r="AF5" s="69"/>
      <c r="AG5" s="69"/>
    </row>
    <row r="6" spans="1:33" ht="42" customHeight="1">
      <c r="A6" s="69" t="str">
        <f t="shared" ca="1" si="0"/>
        <v>NA</v>
      </c>
      <c r="B6" s="283" t="s">
        <v>30</v>
      </c>
      <c r="C6" s="264">
        <v>45345</v>
      </c>
      <c r="D6" s="264">
        <v>45358</v>
      </c>
      <c r="E6" s="5">
        <v>19</v>
      </c>
      <c r="F6" s="5">
        <v>19</v>
      </c>
      <c r="G6" s="5">
        <v>0</v>
      </c>
      <c r="H6" s="5"/>
      <c r="I6" s="3"/>
      <c r="J6" s="4" t="s">
        <v>31</v>
      </c>
      <c r="K6" s="11" t="s">
        <v>25</v>
      </c>
      <c r="L6" s="11"/>
      <c r="M6" s="69"/>
      <c r="N6" s="175"/>
      <c r="O6" s="69"/>
      <c r="P6" s="69"/>
      <c r="Q6" s="69"/>
      <c r="R6" s="69"/>
      <c r="S6" s="69"/>
      <c r="T6" s="69"/>
      <c r="U6" s="69"/>
      <c r="V6" s="69"/>
      <c r="W6" s="69"/>
      <c r="X6" s="69"/>
      <c r="Y6" s="69"/>
      <c r="Z6" s="69"/>
      <c r="AA6" s="69"/>
      <c r="AB6" s="69"/>
      <c r="AC6" s="69"/>
      <c r="AD6" s="69"/>
      <c r="AE6" s="69"/>
      <c r="AF6" s="69"/>
      <c r="AG6" s="69"/>
    </row>
    <row r="7" spans="1:33" ht="30.75" customHeight="1">
      <c r="A7" s="69" t="str">
        <f t="shared" ca="1" si="0"/>
        <v>NA</v>
      </c>
      <c r="B7" s="284" t="s">
        <v>32</v>
      </c>
      <c r="C7" s="265">
        <v>45359</v>
      </c>
      <c r="D7" s="265">
        <v>45372</v>
      </c>
      <c r="E7" s="101">
        <v>37</v>
      </c>
      <c r="F7" s="101">
        <f>40+13</f>
        <v>53</v>
      </c>
      <c r="G7" s="101">
        <v>0</v>
      </c>
      <c r="H7" s="101"/>
      <c r="I7" s="244"/>
      <c r="J7" s="102" t="s">
        <v>33</v>
      </c>
      <c r="K7" s="11" t="s">
        <v>25</v>
      </c>
      <c r="L7" s="11"/>
      <c r="M7" s="69"/>
      <c r="N7" s="175"/>
      <c r="O7" s="69"/>
      <c r="P7" s="69"/>
      <c r="Q7" s="69"/>
      <c r="R7" s="69"/>
      <c r="S7" s="69"/>
      <c r="T7" s="69"/>
      <c r="U7" s="69"/>
      <c r="V7" s="69"/>
      <c r="W7" s="69"/>
      <c r="X7" s="69"/>
      <c r="Y7" s="69"/>
      <c r="Z7" s="69"/>
      <c r="AA7" s="69"/>
      <c r="AB7" s="69"/>
      <c r="AC7" s="69"/>
      <c r="AD7" s="69"/>
      <c r="AE7" s="69"/>
      <c r="AF7" s="69"/>
      <c r="AG7" s="69"/>
    </row>
    <row r="8" spans="1:33" ht="30" customHeight="1">
      <c r="A8" s="69" t="str">
        <f t="shared" ca="1" si="0"/>
        <v>NA</v>
      </c>
      <c r="B8" s="285" t="s">
        <v>34</v>
      </c>
      <c r="C8" s="266">
        <v>45373</v>
      </c>
      <c r="D8" s="266">
        <v>45386</v>
      </c>
      <c r="E8" s="100">
        <v>11</v>
      </c>
      <c r="F8" s="100">
        <v>29</v>
      </c>
      <c r="G8" s="100" t="s">
        <v>35</v>
      </c>
      <c r="H8" s="100"/>
      <c r="I8" s="245"/>
      <c r="J8" s="103" t="s">
        <v>36</v>
      </c>
      <c r="K8" s="11" t="s">
        <v>25</v>
      </c>
      <c r="L8" s="11"/>
      <c r="M8" s="69"/>
      <c r="N8" s="175"/>
      <c r="O8" s="69"/>
      <c r="P8" s="69"/>
      <c r="Q8" s="69"/>
      <c r="R8" s="69"/>
      <c r="S8" s="69"/>
      <c r="T8" s="69"/>
      <c r="U8" s="69"/>
      <c r="V8" s="69"/>
      <c r="W8" s="69"/>
      <c r="X8" s="69"/>
      <c r="Y8" s="69"/>
      <c r="Z8" s="69"/>
      <c r="AA8" s="69"/>
      <c r="AB8" s="69"/>
      <c r="AC8" s="69"/>
      <c r="AD8" s="69"/>
      <c r="AE8" s="69"/>
      <c r="AF8" s="69"/>
      <c r="AG8" s="69"/>
    </row>
    <row r="9" spans="1:33" ht="28.5" customHeight="1">
      <c r="A9" s="69" t="str">
        <f t="shared" ca="1" si="0"/>
        <v>NA</v>
      </c>
      <c r="B9" s="283" t="s">
        <v>37</v>
      </c>
      <c r="C9" s="264">
        <v>45387</v>
      </c>
      <c r="D9" s="264">
        <v>45400</v>
      </c>
      <c r="E9" s="5">
        <v>15</v>
      </c>
      <c r="F9" s="5">
        <v>36</v>
      </c>
      <c r="G9" s="5" t="s">
        <v>38</v>
      </c>
      <c r="H9" s="5"/>
      <c r="I9" s="3"/>
      <c r="J9" s="4" t="s">
        <v>39</v>
      </c>
      <c r="K9" s="11" t="s">
        <v>25</v>
      </c>
      <c r="L9" s="11"/>
      <c r="M9" s="69"/>
      <c r="N9" s="175"/>
      <c r="O9" s="69"/>
      <c r="P9" s="69"/>
      <c r="Q9" s="69"/>
      <c r="R9" s="69"/>
      <c r="S9" s="69"/>
      <c r="T9" s="69"/>
      <c r="U9" s="69"/>
      <c r="V9" s="69"/>
      <c r="W9" s="69"/>
      <c r="X9" s="69"/>
      <c r="Y9" s="69"/>
      <c r="Z9" s="69"/>
      <c r="AA9" s="69"/>
      <c r="AB9" s="69"/>
      <c r="AC9" s="69"/>
      <c r="AD9" s="69"/>
      <c r="AE9" s="69"/>
      <c r="AF9" s="69"/>
      <c r="AG9" s="69"/>
    </row>
    <row r="10" spans="1:33" ht="24">
      <c r="A10" s="69" t="str">
        <f t="shared" ca="1" si="0"/>
        <v>NA</v>
      </c>
      <c r="B10" s="283" t="s">
        <v>40</v>
      </c>
      <c r="C10" s="264">
        <v>45401</v>
      </c>
      <c r="D10" s="264">
        <v>45414</v>
      </c>
      <c r="E10" s="5">
        <v>13</v>
      </c>
      <c r="F10" s="5">
        <v>18</v>
      </c>
      <c r="G10" s="5" t="s">
        <v>41</v>
      </c>
      <c r="H10" s="5"/>
      <c r="I10" s="3"/>
      <c r="J10" s="6" t="s">
        <v>42</v>
      </c>
      <c r="K10" s="11" t="s">
        <v>25</v>
      </c>
      <c r="L10" s="11"/>
      <c r="M10" s="69"/>
      <c r="N10" s="175"/>
      <c r="O10" s="69"/>
      <c r="P10" s="69"/>
      <c r="Q10" s="69"/>
      <c r="R10" s="69"/>
      <c r="S10" s="69"/>
      <c r="T10" s="69"/>
      <c r="U10" s="69"/>
      <c r="V10" s="69"/>
      <c r="W10" s="69"/>
      <c r="X10" s="69"/>
      <c r="Y10" s="69"/>
      <c r="Z10" s="69"/>
      <c r="AA10" s="69"/>
      <c r="AB10" s="69"/>
      <c r="AC10" s="69"/>
      <c r="AD10" s="69"/>
      <c r="AE10" s="69"/>
      <c r="AF10" s="69"/>
      <c r="AG10" s="69"/>
    </row>
    <row r="11" spans="1:33" ht="32.25" customHeight="1">
      <c r="A11" s="69" t="str">
        <f t="shared" ca="1" si="0"/>
        <v>NA</v>
      </c>
      <c r="B11" s="283" t="s">
        <v>43</v>
      </c>
      <c r="C11" s="264">
        <v>45415</v>
      </c>
      <c r="D11" s="264">
        <v>45428</v>
      </c>
      <c r="E11" s="5">
        <v>10</v>
      </c>
      <c r="F11" s="5">
        <v>22</v>
      </c>
      <c r="G11" s="5" t="s">
        <v>44</v>
      </c>
      <c r="H11" s="5"/>
      <c r="I11" s="3"/>
      <c r="J11" s="4" t="s">
        <v>45</v>
      </c>
      <c r="K11" s="11" t="s">
        <v>25</v>
      </c>
      <c r="L11" s="11"/>
      <c r="M11" s="69"/>
      <c r="N11" s="175"/>
      <c r="O11" s="69"/>
      <c r="P11" s="69"/>
      <c r="Q11" s="69"/>
      <c r="R11" s="69"/>
      <c r="S11" s="69"/>
      <c r="T11" s="69"/>
      <c r="U11" s="69"/>
      <c r="V11" s="69"/>
      <c r="W11" s="69"/>
      <c r="X11" s="69"/>
      <c r="Y11" s="69"/>
      <c r="Z11" s="69"/>
      <c r="AA11" s="69"/>
      <c r="AB11" s="69"/>
      <c r="AC11" s="69"/>
      <c r="AD11" s="69"/>
      <c r="AE11" s="69"/>
      <c r="AF11" s="69"/>
      <c r="AG11" s="69"/>
    </row>
    <row r="12" spans="1:33" ht="38.25" customHeight="1">
      <c r="A12" s="69" t="str">
        <f t="shared" ca="1" si="0"/>
        <v>NA</v>
      </c>
      <c r="B12" s="283" t="s">
        <v>46</v>
      </c>
      <c r="C12" s="264">
        <v>45429</v>
      </c>
      <c r="D12" s="264">
        <v>45442</v>
      </c>
      <c r="E12" s="5">
        <v>12</v>
      </c>
      <c r="F12" s="5">
        <v>16</v>
      </c>
      <c r="G12" s="5" t="s">
        <v>47</v>
      </c>
      <c r="H12" s="5"/>
      <c r="I12" s="3"/>
      <c r="J12" s="4" t="s">
        <v>48</v>
      </c>
      <c r="K12" s="11" t="s">
        <v>25</v>
      </c>
      <c r="L12" s="11"/>
      <c r="M12" s="69"/>
      <c r="N12" s="175"/>
      <c r="O12" s="69"/>
      <c r="P12" s="69"/>
      <c r="Q12" s="69"/>
      <c r="R12" s="69"/>
      <c r="S12" s="69"/>
      <c r="T12" s="69"/>
      <c r="U12" s="69"/>
      <c r="V12" s="69"/>
      <c r="W12" s="69"/>
      <c r="X12" s="69"/>
      <c r="Y12" s="69"/>
      <c r="Z12" s="69"/>
      <c r="AA12" s="69"/>
      <c r="AB12" s="69"/>
      <c r="AC12" s="69"/>
      <c r="AD12" s="69"/>
      <c r="AE12" s="69"/>
      <c r="AF12" s="69"/>
      <c r="AG12" s="69"/>
    </row>
    <row r="13" spans="1:33" ht="54" customHeight="1">
      <c r="A13" s="69" t="str">
        <f t="shared" ca="1" si="0"/>
        <v>NA</v>
      </c>
      <c r="B13" s="283" t="s">
        <v>49</v>
      </c>
      <c r="C13" s="264">
        <v>45443</v>
      </c>
      <c r="D13" s="264">
        <v>45456</v>
      </c>
      <c r="E13" s="5">
        <v>13</v>
      </c>
      <c r="F13" s="5">
        <v>17</v>
      </c>
      <c r="G13" s="3" t="s">
        <v>50</v>
      </c>
      <c r="H13" s="3"/>
      <c r="I13" s="3"/>
      <c r="J13" s="4" t="s">
        <v>51</v>
      </c>
      <c r="K13" s="11" t="s">
        <v>25</v>
      </c>
      <c r="L13" s="11"/>
      <c r="M13" s="69"/>
      <c r="N13" s="175"/>
      <c r="O13" s="69"/>
      <c r="P13" s="69"/>
      <c r="Q13" s="69"/>
      <c r="R13" s="69"/>
      <c r="S13" s="69"/>
      <c r="T13" s="69"/>
      <c r="U13" s="69"/>
      <c r="V13" s="69"/>
      <c r="W13" s="69"/>
      <c r="X13" s="69"/>
      <c r="Y13" s="69"/>
      <c r="Z13" s="69"/>
      <c r="AA13" s="69"/>
      <c r="AB13" s="69"/>
      <c r="AC13" s="69"/>
      <c r="AD13" s="69"/>
      <c r="AE13" s="69"/>
      <c r="AF13" s="69"/>
      <c r="AG13" s="69"/>
    </row>
    <row r="14" spans="1:33" ht="28.5" customHeight="1">
      <c r="A14" s="69" t="str">
        <f t="shared" ca="1" si="0"/>
        <v>NA</v>
      </c>
      <c r="B14" s="283" t="s">
        <v>52</v>
      </c>
      <c r="C14" s="264">
        <v>45457</v>
      </c>
      <c r="D14" s="264">
        <v>45470</v>
      </c>
      <c r="E14" s="5">
        <v>34</v>
      </c>
      <c r="F14" s="5">
        <v>18</v>
      </c>
      <c r="G14" s="5"/>
      <c r="H14" s="5"/>
      <c r="I14" s="3"/>
      <c r="J14" s="4" t="s">
        <v>53</v>
      </c>
      <c r="K14" s="11" t="s">
        <v>25</v>
      </c>
      <c r="L14" s="11"/>
      <c r="M14" s="69"/>
      <c r="N14" s="175"/>
      <c r="O14" s="69"/>
      <c r="P14" s="69"/>
      <c r="Q14" s="69"/>
      <c r="R14" s="69"/>
      <c r="S14" s="69"/>
      <c r="T14" s="69"/>
      <c r="U14" s="69"/>
      <c r="V14" s="69"/>
      <c r="W14" s="69"/>
      <c r="X14" s="69"/>
      <c r="Y14" s="69"/>
      <c r="Z14" s="69"/>
      <c r="AA14" s="69"/>
      <c r="AB14" s="69"/>
      <c r="AC14" s="69"/>
      <c r="AD14" s="69"/>
      <c r="AE14" s="69"/>
      <c r="AF14" s="69"/>
      <c r="AG14" s="69"/>
    </row>
    <row r="15" spans="1:33" ht="35.25" customHeight="1">
      <c r="A15" s="69" t="str">
        <f t="shared" ca="1" si="0"/>
        <v>NA</v>
      </c>
      <c r="B15" s="286" t="s">
        <v>54</v>
      </c>
      <c r="C15" s="267">
        <v>45471</v>
      </c>
      <c r="D15" s="267">
        <v>45484</v>
      </c>
      <c r="E15" s="121">
        <v>39</v>
      </c>
      <c r="F15" s="121">
        <v>26</v>
      </c>
      <c r="G15" s="121"/>
      <c r="H15" s="121"/>
      <c r="I15" s="246"/>
      <c r="J15" s="122" t="s">
        <v>55</v>
      </c>
      <c r="K15" s="11" t="s">
        <v>25</v>
      </c>
      <c r="L15" s="11"/>
      <c r="M15" s="69"/>
      <c r="N15" s="175"/>
      <c r="O15" s="69"/>
      <c r="P15" s="69"/>
      <c r="Q15" s="69"/>
      <c r="R15" s="69"/>
      <c r="S15" s="69"/>
      <c r="T15" s="69"/>
      <c r="U15" s="69"/>
      <c r="V15" s="69"/>
      <c r="W15" s="69"/>
      <c r="X15" s="69"/>
      <c r="Y15" s="69"/>
      <c r="Z15" s="69"/>
      <c r="AA15" s="69"/>
      <c r="AB15" s="69"/>
      <c r="AC15" s="69"/>
      <c r="AD15" s="69"/>
      <c r="AE15" s="69"/>
      <c r="AF15" s="69"/>
      <c r="AG15" s="69"/>
    </row>
    <row r="16" spans="1:33" ht="24">
      <c r="A16" s="69" t="str">
        <f t="shared" ca="1" si="0"/>
        <v>NA</v>
      </c>
      <c r="B16" s="518">
        <v>2.1</v>
      </c>
      <c r="C16" s="518"/>
      <c r="D16" s="518"/>
      <c r="E16" s="518"/>
      <c r="F16" s="518"/>
      <c r="G16" s="518"/>
      <c r="H16" s="518"/>
      <c r="I16" s="518"/>
      <c r="J16" s="518"/>
      <c r="K16" s="11" t="s">
        <v>25</v>
      </c>
      <c r="L16" s="11"/>
      <c r="M16" s="69"/>
      <c r="N16" s="175"/>
      <c r="O16" s="69"/>
      <c r="P16" s="69"/>
      <c r="Q16" s="69"/>
      <c r="R16" s="69"/>
      <c r="S16" s="69"/>
      <c r="T16" s="69"/>
      <c r="U16" s="69"/>
      <c r="V16" s="69"/>
      <c r="W16" s="69"/>
      <c r="X16" s="69"/>
      <c r="Y16" s="69"/>
      <c r="Z16" s="69"/>
      <c r="AA16" s="69"/>
      <c r="AB16" s="69"/>
      <c r="AC16" s="69"/>
      <c r="AD16" s="69"/>
      <c r="AE16" s="69"/>
      <c r="AF16" s="69"/>
      <c r="AG16" s="69"/>
    </row>
    <row r="17" spans="1:33" ht="41.25" customHeight="1">
      <c r="A17" s="69" t="str">
        <f t="shared" ca="1" si="0"/>
        <v>NA</v>
      </c>
      <c r="B17" s="285" t="s">
        <v>56</v>
      </c>
      <c r="C17" s="266">
        <v>45485</v>
      </c>
      <c r="D17" s="266">
        <v>45498</v>
      </c>
      <c r="E17" s="100">
        <v>25</v>
      </c>
      <c r="F17" s="100">
        <v>30</v>
      </c>
      <c r="G17" s="100">
        <v>5</v>
      </c>
      <c r="H17" s="100"/>
      <c r="I17" s="245"/>
      <c r="J17" s="103" t="s">
        <v>57</v>
      </c>
      <c r="K17" s="11" t="s">
        <v>25</v>
      </c>
      <c r="L17" s="11"/>
      <c r="M17" s="69"/>
      <c r="N17" s="175"/>
      <c r="O17" s="69"/>
      <c r="P17" s="69"/>
      <c r="Q17" s="69"/>
      <c r="R17" s="69"/>
      <c r="S17" s="69"/>
      <c r="T17" s="69"/>
      <c r="U17" s="69"/>
      <c r="V17" s="69"/>
      <c r="W17" s="69"/>
      <c r="X17" s="69"/>
      <c r="Y17" s="69"/>
      <c r="Z17" s="69"/>
      <c r="AA17" s="69"/>
      <c r="AB17" s="69"/>
      <c r="AC17" s="69"/>
      <c r="AD17" s="69"/>
      <c r="AE17" s="69"/>
      <c r="AF17" s="69"/>
      <c r="AG17" s="69"/>
    </row>
    <row r="18" spans="1:33" ht="24">
      <c r="A18" s="69" t="str">
        <f t="shared" ca="1" si="0"/>
        <v>NA</v>
      </c>
      <c r="B18" s="283" t="s">
        <v>58</v>
      </c>
      <c r="C18" s="264">
        <v>45499</v>
      </c>
      <c r="D18" s="264">
        <v>45512</v>
      </c>
      <c r="E18" s="5">
        <v>13</v>
      </c>
      <c r="F18" s="5">
        <v>24</v>
      </c>
      <c r="G18" s="5">
        <v>11</v>
      </c>
      <c r="H18" s="5"/>
      <c r="I18" s="3"/>
      <c r="J18" s="6" t="s">
        <v>59</v>
      </c>
      <c r="K18" s="11" t="s">
        <v>25</v>
      </c>
      <c r="L18" s="11"/>
      <c r="M18" s="69"/>
      <c r="N18" s="175"/>
      <c r="O18" s="69"/>
      <c r="P18" s="69"/>
      <c r="Q18" s="69"/>
      <c r="R18" s="69"/>
      <c r="S18" s="69"/>
      <c r="T18" s="69"/>
      <c r="U18" s="69"/>
      <c r="V18" s="69"/>
      <c r="W18" s="69"/>
      <c r="X18" s="69"/>
      <c r="Y18" s="69"/>
      <c r="Z18" s="69"/>
      <c r="AA18" s="69"/>
      <c r="AB18" s="69"/>
      <c r="AC18" s="69"/>
      <c r="AD18" s="69"/>
      <c r="AE18" s="69"/>
      <c r="AF18" s="69"/>
      <c r="AG18" s="69"/>
    </row>
    <row r="19" spans="1:33" ht="24" customHeight="1">
      <c r="A19" s="69" t="str">
        <f t="shared" ca="1" si="0"/>
        <v>NA</v>
      </c>
      <c r="B19" s="283" t="s">
        <v>60</v>
      </c>
      <c r="C19" s="264">
        <v>45513</v>
      </c>
      <c r="D19" s="264">
        <v>45526</v>
      </c>
      <c r="E19" s="5">
        <v>14</v>
      </c>
      <c r="F19" s="5">
        <v>20</v>
      </c>
      <c r="G19" s="5">
        <v>6</v>
      </c>
      <c r="H19" s="5"/>
      <c r="I19" s="3"/>
      <c r="J19" s="6" t="s">
        <v>61</v>
      </c>
      <c r="K19" s="69"/>
      <c r="L19" s="69"/>
      <c r="M19" s="69"/>
      <c r="N19" s="69"/>
      <c r="O19" s="69"/>
      <c r="P19" s="69"/>
      <c r="Q19" s="69"/>
      <c r="R19" s="69"/>
      <c r="S19" s="69"/>
      <c r="T19" s="69"/>
      <c r="U19" s="69"/>
      <c r="V19" s="69"/>
      <c r="W19" s="69"/>
      <c r="X19" s="69"/>
      <c r="Y19" s="69"/>
      <c r="Z19" s="69"/>
      <c r="AA19" s="69"/>
      <c r="AB19" s="69"/>
      <c r="AC19" s="69"/>
      <c r="AD19" s="69"/>
      <c r="AE19" s="69"/>
      <c r="AF19" s="69"/>
      <c r="AG19" s="69"/>
    </row>
    <row r="20" spans="1:33" ht="18.75" customHeight="1">
      <c r="A20" s="69" t="str">
        <f t="shared" ca="1" si="0"/>
        <v>NA</v>
      </c>
      <c r="B20" s="283" t="s">
        <v>62</v>
      </c>
      <c r="C20" s="264">
        <v>45527</v>
      </c>
      <c r="D20" s="264">
        <v>45540</v>
      </c>
      <c r="E20" s="5">
        <v>33</v>
      </c>
      <c r="F20" s="5">
        <v>20</v>
      </c>
      <c r="G20" s="5" t="s">
        <v>63</v>
      </c>
      <c r="H20" s="5"/>
      <c r="I20" s="3"/>
      <c r="J20" s="6" t="s">
        <v>64</v>
      </c>
      <c r="K20" s="69"/>
      <c r="L20" s="69"/>
      <c r="M20" s="69"/>
      <c r="N20" s="69"/>
      <c r="O20" s="69"/>
      <c r="P20" s="69"/>
      <c r="Q20" s="69"/>
      <c r="R20" s="69"/>
      <c r="S20" s="69"/>
      <c r="T20" s="69"/>
      <c r="U20" s="69"/>
      <c r="V20" s="69"/>
      <c r="W20" s="69"/>
      <c r="X20" s="69"/>
      <c r="Y20" s="69"/>
      <c r="Z20" s="69"/>
      <c r="AA20" s="69"/>
      <c r="AB20" s="69"/>
      <c r="AC20" s="69"/>
      <c r="AD20" s="69"/>
      <c r="AE20" s="69"/>
      <c r="AF20" s="69"/>
      <c r="AG20" s="69"/>
    </row>
    <row r="21" spans="1:33" ht="48">
      <c r="A21" s="69" t="str">
        <f t="shared" ca="1" si="0"/>
        <v>NA</v>
      </c>
      <c r="B21" s="283" t="s">
        <v>65</v>
      </c>
      <c r="C21" s="264">
        <v>45541</v>
      </c>
      <c r="D21" s="264">
        <v>45554</v>
      </c>
      <c r="E21" s="5">
        <v>38</v>
      </c>
      <c r="F21" s="5">
        <v>17</v>
      </c>
      <c r="G21" s="5" t="s">
        <v>66</v>
      </c>
      <c r="H21" s="5"/>
      <c r="I21" s="3"/>
      <c r="J21" s="4" t="s">
        <v>67</v>
      </c>
      <c r="K21" s="11" t="s">
        <v>68</v>
      </c>
      <c r="L21" s="11"/>
      <c r="M21" s="69"/>
      <c r="N21" s="69"/>
      <c r="O21" s="69"/>
      <c r="P21" s="69"/>
      <c r="Q21" s="69"/>
      <c r="R21" s="69"/>
      <c r="S21" s="69"/>
      <c r="T21" s="69"/>
      <c r="U21" s="69"/>
      <c r="V21" s="69"/>
      <c r="W21" s="69"/>
      <c r="X21" s="69"/>
      <c r="Y21" s="69"/>
      <c r="Z21" s="69"/>
      <c r="AA21" s="69"/>
      <c r="AB21" s="69"/>
      <c r="AC21" s="69"/>
      <c r="AD21" s="69"/>
      <c r="AE21" s="69"/>
      <c r="AF21" s="69"/>
      <c r="AG21" s="69"/>
    </row>
    <row r="22" spans="1:33" ht="60">
      <c r="A22" s="69" t="str">
        <f t="shared" ca="1" si="0"/>
        <v>NA</v>
      </c>
      <c r="B22" s="283" t="s">
        <v>69</v>
      </c>
      <c r="C22" s="264">
        <v>45555</v>
      </c>
      <c r="D22" s="264">
        <v>45568</v>
      </c>
      <c r="E22" s="5">
        <v>29</v>
      </c>
      <c r="F22" s="5">
        <v>50</v>
      </c>
      <c r="G22" s="5" t="s">
        <v>70</v>
      </c>
      <c r="H22" s="5"/>
      <c r="I22" s="3"/>
      <c r="J22" s="4" t="s">
        <v>71</v>
      </c>
      <c r="K22" s="11" t="s">
        <v>25</v>
      </c>
      <c r="L22" s="11"/>
      <c r="M22" s="69"/>
      <c r="N22" s="69"/>
      <c r="O22" s="69"/>
      <c r="P22" s="69"/>
      <c r="Q22" s="69"/>
      <c r="R22" s="69"/>
      <c r="S22" s="69"/>
      <c r="T22" s="69"/>
      <c r="U22" s="69"/>
      <c r="V22" s="69"/>
      <c r="W22" s="69"/>
      <c r="X22" s="69"/>
      <c r="Y22" s="69"/>
      <c r="Z22" s="69"/>
      <c r="AA22" s="69"/>
      <c r="AB22" s="69"/>
      <c r="AC22" s="69"/>
      <c r="AD22" s="69"/>
      <c r="AE22" s="69"/>
      <c r="AF22" s="69"/>
      <c r="AG22" s="69"/>
    </row>
    <row r="23" spans="1:33" ht="25.5" customHeight="1">
      <c r="A23" s="69" t="str">
        <f t="shared" ca="1" si="0"/>
        <v>NA</v>
      </c>
      <c r="B23" s="518">
        <v>2.2000000000000002</v>
      </c>
      <c r="C23" s="518"/>
      <c r="D23" s="518"/>
      <c r="E23" s="518"/>
      <c r="F23" s="518"/>
      <c r="G23" s="518"/>
      <c r="H23" s="518"/>
      <c r="I23" s="518"/>
      <c r="J23" s="518"/>
      <c r="K23" s="69"/>
      <c r="L23" s="69"/>
      <c r="M23" s="69"/>
      <c r="N23" s="69"/>
      <c r="O23" s="69"/>
      <c r="P23" s="69"/>
      <c r="Q23" s="69"/>
      <c r="R23" s="69"/>
      <c r="S23" s="69"/>
      <c r="T23" s="69"/>
      <c r="U23" s="69"/>
      <c r="V23" s="69"/>
      <c r="W23" s="69"/>
      <c r="X23" s="69"/>
      <c r="Y23" s="69"/>
      <c r="Z23" s="69"/>
      <c r="AA23" s="69"/>
      <c r="AB23" s="69"/>
      <c r="AC23" s="69"/>
      <c r="AD23" s="69"/>
      <c r="AE23" s="69"/>
      <c r="AF23" s="69"/>
      <c r="AG23" s="69"/>
    </row>
    <row r="24" spans="1:33" ht="52.5" customHeight="1">
      <c r="A24" s="69" t="str">
        <f t="shared" ca="1" si="0"/>
        <v>NA</v>
      </c>
      <c r="B24" s="283" t="s">
        <v>72</v>
      </c>
      <c r="C24" s="264">
        <v>45569</v>
      </c>
      <c r="D24" s="264">
        <v>45582</v>
      </c>
      <c r="E24" s="5">
        <v>15</v>
      </c>
      <c r="F24" s="5">
        <v>20</v>
      </c>
      <c r="G24" s="5" t="s">
        <v>73</v>
      </c>
      <c r="H24" s="5"/>
      <c r="I24" s="3" t="s">
        <v>74</v>
      </c>
      <c r="J24" s="4" t="s">
        <v>75</v>
      </c>
      <c r="K24" s="69"/>
      <c r="L24" s="69"/>
      <c r="M24" s="69"/>
      <c r="N24" s="69"/>
      <c r="O24" s="69"/>
      <c r="P24" s="69"/>
      <c r="Q24" s="69"/>
      <c r="R24" s="69"/>
      <c r="S24" s="69"/>
      <c r="T24" s="69"/>
      <c r="U24" s="69"/>
      <c r="V24" s="69"/>
      <c r="W24" s="69"/>
      <c r="X24" s="69"/>
      <c r="Y24" s="69"/>
      <c r="Z24" s="69"/>
      <c r="AA24" s="69"/>
      <c r="AB24" s="69"/>
      <c r="AC24" s="69"/>
      <c r="AD24" s="69"/>
      <c r="AE24" s="69"/>
      <c r="AF24" s="69"/>
      <c r="AG24" s="69"/>
    </row>
    <row r="25" spans="1:33" ht="69" customHeight="1">
      <c r="A25" s="69" t="str">
        <f t="shared" ca="1" si="0"/>
        <v>NA</v>
      </c>
      <c r="B25" s="283" t="s">
        <v>76</v>
      </c>
      <c r="C25" s="264">
        <v>45583</v>
      </c>
      <c r="D25" s="264">
        <v>45596</v>
      </c>
      <c r="E25" s="5">
        <v>20</v>
      </c>
      <c r="F25" s="5">
        <v>17</v>
      </c>
      <c r="G25" s="5" t="s">
        <v>77</v>
      </c>
      <c r="H25" s="5"/>
      <c r="I25" s="3" t="s">
        <v>78</v>
      </c>
      <c r="J25" s="4" t="s">
        <v>79</v>
      </c>
      <c r="K25" s="69"/>
      <c r="L25" s="69"/>
      <c r="M25" s="69"/>
      <c r="N25" s="69"/>
      <c r="O25" s="69"/>
      <c r="P25" s="69"/>
      <c r="Q25" s="69"/>
      <c r="R25" s="69"/>
      <c r="S25" s="69"/>
      <c r="T25" s="69"/>
      <c r="U25" s="69"/>
      <c r="V25" s="69"/>
      <c r="W25" s="69"/>
      <c r="X25" s="69"/>
      <c r="Y25" s="69"/>
      <c r="Z25" s="69"/>
      <c r="AA25" s="69"/>
      <c r="AB25" s="69"/>
      <c r="AC25" s="69"/>
      <c r="AD25" s="69"/>
      <c r="AE25" s="69"/>
      <c r="AF25" s="69"/>
      <c r="AG25" s="69"/>
    </row>
    <row r="26" spans="1:33" ht="56.25" customHeight="1">
      <c r="A26" s="69" t="str">
        <f t="shared" ca="1" si="0"/>
        <v>NA</v>
      </c>
      <c r="B26" s="283" t="s">
        <v>80</v>
      </c>
      <c r="C26" s="264">
        <v>45597</v>
      </c>
      <c r="D26" s="264">
        <v>45610</v>
      </c>
      <c r="E26" s="5">
        <v>23</v>
      </c>
      <c r="F26" s="5">
        <v>23</v>
      </c>
      <c r="G26" s="5"/>
      <c r="H26" s="5"/>
      <c r="I26" s="3" t="s">
        <v>81</v>
      </c>
      <c r="J26" s="4" t="s">
        <v>82</v>
      </c>
      <c r="K26" s="69"/>
      <c r="L26" s="69"/>
      <c r="M26" s="69"/>
      <c r="N26" s="69"/>
      <c r="O26" s="69"/>
      <c r="P26" s="69"/>
      <c r="Q26" s="69"/>
      <c r="R26" s="69"/>
      <c r="S26" s="69"/>
      <c r="T26" s="69"/>
      <c r="U26" s="69"/>
      <c r="V26" s="69"/>
      <c r="W26" s="69"/>
      <c r="X26" s="69"/>
      <c r="Y26" s="69"/>
      <c r="Z26" s="69"/>
      <c r="AA26" s="69"/>
      <c r="AB26" s="69"/>
      <c r="AC26" s="69"/>
      <c r="AD26" s="69"/>
      <c r="AE26" s="69"/>
      <c r="AF26" s="69"/>
      <c r="AG26" s="69"/>
    </row>
    <row r="27" spans="1:33" ht="78" customHeight="1">
      <c r="A27" s="69" t="str">
        <f ca="1">IF(AND($D$1&gt;=C27,$D$1&lt;=D27),"CurrentSprint","NA")</f>
        <v>NA</v>
      </c>
      <c r="B27" s="287" t="s">
        <v>83</v>
      </c>
      <c r="C27" s="264">
        <v>45611</v>
      </c>
      <c r="D27" s="264">
        <v>45638</v>
      </c>
      <c r="E27" s="5">
        <v>41</v>
      </c>
      <c r="F27" s="5">
        <v>53</v>
      </c>
      <c r="G27" s="5"/>
      <c r="H27" s="5"/>
      <c r="I27" s="3" t="s">
        <v>84</v>
      </c>
      <c r="J27" s="4" t="s">
        <v>85</v>
      </c>
      <c r="K27" s="69"/>
      <c r="L27" s="69"/>
      <c r="M27" s="69"/>
      <c r="N27" s="69"/>
      <c r="O27" s="69"/>
      <c r="P27" s="69"/>
      <c r="Q27" s="69"/>
      <c r="R27" s="69"/>
      <c r="S27" s="69"/>
      <c r="T27" s="69"/>
      <c r="U27" s="69"/>
      <c r="V27" s="69"/>
      <c r="W27" s="69"/>
      <c r="X27" s="69"/>
      <c r="Y27" s="69"/>
      <c r="Z27" s="69"/>
      <c r="AA27" s="69"/>
      <c r="AB27" s="69"/>
      <c r="AC27" s="69"/>
      <c r="AD27" s="69"/>
      <c r="AE27" s="69"/>
      <c r="AF27" s="69"/>
      <c r="AG27" s="69"/>
    </row>
    <row r="28" spans="1:33" ht="113.25" customHeight="1">
      <c r="A28" s="69" t="str">
        <f ca="1">IF(AND($D$1&gt;=C28,$D$1&lt;=D28),"CurrentSprint","NA")</f>
        <v>NA</v>
      </c>
      <c r="B28" s="287" t="s">
        <v>86</v>
      </c>
      <c r="C28" s="264">
        <v>45639</v>
      </c>
      <c r="D28" s="264">
        <v>45666</v>
      </c>
      <c r="E28" s="5">
        <v>36</v>
      </c>
      <c r="F28" s="5">
        <v>51</v>
      </c>
      <c r="G28" s="5"/>
      <c r="H28" s="5"/>
      <c r="I28" s="3" t="s">
        <v>87</v>
      </c>
      <c r="J28" s="4" t="s">
        <v>88</v>
      </c>
      <c r="K28" s="69"/>
      <c r="L28" s="69"/>
      <c r="M28" s="69"/>
      <c r="N28" s="69"/>
      <c r="O28" s="69"/>
      <c r="P28" s="69"/>
      <c r="Q28" s="69"/>
      <c r="R28" s="69"/>
      <c r="S28" s="69"/>
      <c r="T28" s="69"/>
      <c r="U28" s="69"/>
      <c r="V28" s="69"/>
      <c r="W28" s="69"/>
      <c r="X28" s="69"/>
      <c r="Y28" s="69"/>
      <c r="Z28" s="69"/>
      <c r="AA28" s="69"/>
      <c r="AB28" s="69"/>
      <c r="AC28" s="69"/>
      <c r="AD28" s="69"/>
      <c r="AE28" s="69"/>
      <c r="AF28" s="69"/>
      <c r="AG28" s="69"/>
    </row>
    <row r="29" spans="1:33" ht="145.5" customHeight="1">
      <c r="A29" s="69" t="str">
        <f ca="1">IF(AND($D$1&gt;=C29,$D$1&lt;=D29),"CurrentSprint","NA")</f>
        <v>NA</v>
      </c>
      <c r="B29" s="287" t="s">
        <v>89</v>
      </c>
      <c r="C29" s="264">
        <v>45667</v>
      </c>
      <c r="D29" s="264">
        <v>45680</v>
      </c>
      <c r="E29" s="5">
        <v>42</v>
      </c>
      <c r="F29" s="5">
        <v>43</v>
      </c>
      <c r="G29" s="5"/>
      <c r="H29" s="5"/>
      <c r="I29" s="3" t="s">
        <v>90</v>
      </c>
      <c r="J29" s="4" t="s">
        <v>91</v>
      </c>
      <c r="K29" s="11" t="s">
        <v>92</v>
      </c>
      <c r="L29" s="11"/>
      <c r="M29" s="69"/>
      <c r="N29" s="69"/>
      <c r="O29" s="69"/>
      <c r="P29" s="69"/>
      <c r="Q29" s="69"/>
      <c r="R29" s="69"/>
      <c r="S29" s="69"/>
      <c r="T29" s="69"/>
      <c r="U29" s="69"/>
      <c r="V29" s="69"/>
      <c r="W29" s="69"/>
      <c r="X29" s="69"/>
      <c r="Y29" s="69"/>
      <c r="Z29" s="69"/>
      <c r="AA29" s="69"/>
      <c r="AB29" s="69"/>
      <c r="AC29" s="69"/>
      <c r="AD29" s="69"/>
      <c r="AE29" s="69"/>
      <c r="AF29" s="69"/>
      <c r="AG29" s="69"/>
    </row>
    <row r="30" spans="1:33" ht="71.25" customHeight="1">
      <c r="A30" s="69" t="str">
        <f ca="1">IF(AND($D$1&gt;=C30,$D$1&lt;=D30),"CurrentSprint","NA")</f>
        <v>NA</v>
      </c>
      <c r="B30" s="287" t="s">
        <v>93</v>
      </c>
      <c r="C30" s="264">
        <v>45681</v>
      </c>
      <c r="D30" s="264">
        <v>45694</v>
      </c>
      <c r="E30" s="5">
        <v>20</v>
      </c>
      <c r="F30" s="5">
        <v>27</v>
      </c>
      <c r="G30" s="5"/>
      <c r="H30" s="5"/>
      <c r="I30" s="3" t="s">
        <v>94</v>
      </c>
      <c r="J30" s="4" t="s">
        <v>95</v>
      </c>
      <c r="K30" s="11" t="s">
        <v>96</v>
      </c>
      <c r="L30" s="11"/>
      <c r="M30" s="69"/>
      <c r="N30" s="69"/>
      <c r="O30" s="69"/>
      <c r="P30" s="69"/>
      <c r="Q30" s="69"/>
      <c r="R30" s="69"/>
      <c r="S30" s="69"/>
      <c r="T30" s="69"/>
      <c r="U30" s="69"/>
      <c r="V30" s="69"/>
      <c r="W30" s="69"/>
      <c r="X30" s="69"/>
      <c r="Y30" s="69"/>
      <c r="Z30" s="69"/>
      <c r="AA30" s="69"/>
      <c r="AB30" s="69"/>
      <c r="AC30" s="69"/>
      <c r="AD30" s="69"/>
      <c r="AE30" s="69"/>
      <c r="AF30" s="69"/>
      <c r="AG30" s="69"/>
    </row>
    <row r="31" spans="1:33" ht="20.25">
      <c r="A31" s="69"/>
      <c r="B31" s="515">
        <v>2.2999999999999998</v>
      </c>
      <c r="C31" s="516"/>
      <c r="D31" s="516"/>
      <c r="E31" s="516"/>
      <c r="F31" s="516"/>
      <c r="G31" s="516"/>
      <c r="H31" s="516"/>
      <c r="I31" s="516"/>
      <c r="J31" s="517"/>
      <c r="K31" s="69"/>
      <c r="L31" s="69"/>
      <c r="M31" s="69"/>
      <c r="N31" s="69"/>
      <c r="O31" s="69"/>
      <c r="P31" s="69"/>
      <c r="Q31" s="69"/>
      <c r="R31" s="69"/>
      <c r="S31" s="69"/>
      <c r="T31" s="69"/>
      <c r="U31" s="69"/>
      <c r="V31" s="69"/>
      <c r="W31" s="69"/>
      <c r="X31" s="69"/>
      <c r="Y31" s="69"/>
      <c r="Z31" s="69"/>
      <c r="AA31" s="69"/>
      <c r="AB31" s="69"/>
      <c r="AC31" s="69"/>
      <c r="AD31" s="69"/>
      <c r="AE31" s="69"/>
      <c r="AF31" s="69"/>
      <c r="AG31" s="69"/>
    </row>
    <row r="32" spans="1:33" ht="52.5" customHeight="1">
      <c r="A32" s="69" t="str">
        <f ca="1">IF(AND($D$1&gt;=C32,$D$1&lt;=D32),"CurrentSprint","NA")</f>
        <v>NA</v>
      </c>
      <c r="B32" s="287" t="s">
        <v>97</v>
      </c>
      <c r="C32" s="264">
        <v>45695</v>
      </c>
      <c r="D32" s="264">
        <v>45708</v>
      </c>
      <c r="E32" s="5">
        <v>7</v>
      </c>
      <c r="F32" s="5">
        <v>25.75</v>
      </c>
      <c r="G32" s="5"/>
      <c r="H32" s="5"/>
      <c r="I32" s="3" t="s">
        <v>98</v>
      </c>
      <c r="J32" s="4" t="s">
        <v>99</v>
      </c>
      <c r="K32" s="318" t="s">
        <v>100</v>
      </c>
      <c r="L32" s="318"/>
      <c r="M32" s="69"/>
      <c r="N32" s="69"/>
      <c r="O32" s="69"/>
      <c r="P32" s="69"/>
      <c r="Q32" s="69"/>
      <c r="R32" s="69"/>
      <c r="S32" s="69"/>
      <c r="T32" s="69"/>
      <c r="U32" s="69"/>
      <c r="V32" s="69"/>
      <c r="W32" s="69"/>
      <c r="X32" s="69"/>
      <c r="Y32" s="69"/>
      <c r="Z32" s="69"/>
      <c r="AA32" s="69"/>
      <c r="AB32" s="69"/>
      <c r="AC32" s="69"/>
      <c r="AD32" s="69"/>
      <c r="AE32" s="69"/>
      <c r="AF32" s="69"/>
      <c r="AG32" s="69"/>
    </row>
    <row r="33" spans="1:33" ht="49.5" customHeight="1">
      <c r="A33" s="69" t="str">
        <f ca="1">IF(AND($D$1&gt;=C33,$D$1&lt;=D33),"CurrentSprint","NA")</f>
        <v>NA</v>
      </c>
      <c r="B33" s="287" t="s">
        <v>101</v>
      </c>
      <c r="C33" s="264">
        <v>45709</v>
      </c>
      <c r="D33" s="264">
        <v>45722</v>
      </c>
      <c r="E33" s="348">
        <v>18</v>
      </c>
      <c r="F33" s="5">
        <v>27</v>
      </c>
      <c r="G33" s="5"/>
      <c r="H33" s="5"/>
      <c r="I33" s="299" t="s">
        <v>102</v>
      </c>
      <c r="J33" s="4" t="s">
        <v>103</v>
      </c>
      <c r="K33" s="11" t="s">
        <v>104</v>
      </c>
      <c r="L33" s="11"/>
      <c r="M33" s="69"/>
      <c r="N33" s="69"/>
      <c r="O33" s="69"/>
      <c r="P33" s="69"/>
      <c r="Q33" s="69"/>
      <c r="R33" s="69"/>
      <c r="S33" s="69"/>
      <c r="T33" s="69"/>
      <c r="U33" s="69"/>
      <c r="V33" s="69"/>
      <c r="W33" s="69"/>
      <c r="X33" s="69"/>
      <c r="Y33" s="69"/>
      <c r="Z33" s="69"/>
      <c r="AA33" s="69"/>
      <c r="AB33" s="69"/>
      <c r="AC33" s="69"/>
      <c r="AD33" s="69"/>
      <c r="AE33" s="69"/>
      <c r="AF33" s="69"/>
      <c r="AG33" s="69"/>
    </row>
    <row r="34" spans="1:33" ht="63.75" customHeight="1">
      <c r="A34" s="69" t="str">
        <f ca="1">IF(AND($D$1&gt;=C34,$D$1&lt;=D34),"CurrentSprint","NA")</f>
        <v>NA</v>
      </c>
      <c r="B34" s="283" t="s">
        <v>105</v>
      </c>
      <c r="C34" s="264">
        <v>45723</v>
      </c>
      <c r="D34" s="264">
        <v>45736</v>
      </c>
      <c r="E34" s="5">
        <v>21</v>
      </c>
      <c r="F34" s="5">
        <v>34</v>
      </c>
      <c r="G34" s="5"/>
      <c r="H34" s="5"/>
      <c r="I34" s="3" t="s">
        <v>106</v>
      </c>
      <c r="J34" s="4" t="s">
        <v>107</v>
      </c>
      <c r="K34" s="11" t="s">
        <v>108</v>
      </c>
      <c r="L34" s="11"/>
      <c r="M34" s="69"/>
      <c r="N34" s="69"/>
      <c r="O34" s="69"/>
      <c r="P34" s="69"/>
      <c r="Q34" s="69"/>
      <c r="R34" s="69"/>
      <c r="S34" s="69"/>
      <c r="T34" s="69"/>
      <c r="U34" s="69"/>
      <c r="V34" s="69"/>
      <c r="W34" s="69"/>
      <c r="X34" s="69"/>
      <c r="Y34" s="69"/>
      <c r="Z34" s="69"/>
      <c r="AA34" s="69"/>
      <c r="AB34" s="69"/>
      <c r="AC34" s="69"/>
      <c r="AD34" s="69"/>
      <c r="AE34" s="69"/>
      <c r="AF34" s="69"/>
      <c r="AG34" s="69"/>
    </row>
    <row r="35" spans="1:33" ht="66.75" customHeight="1">
      <c r="A35" s="69" t="str">
        <f ca="1">IF(AND($D$1&gt;=C35,$D$1&lt;=D35),"CurrentSprint","NA")</f>
        <v>NA</v>
      </c>
      <c r="B35" s="283" t="s">
        <v>109</v>
      </c>
      <c r="C35" s="264">
        <v>45737</v>
      </c>
      <c r="D35" s="264">
        <v>45750</v>
      </c>
      <c r="E35" s="5">
        <v>35</v>
      </c>
      <c r="F35" s="5">
        <v>35</v>
      </c>
      <c r="G35" s="5"/>
      <c r="H35" s="5"/>
      <c r="I35" s="3" t="s">
        <v>110</v>
      </c>
      <c r="J35" s="4" t="s">
        <v>111</v>
      </c>
      <c r="K35" s="168" t="s">
        <v>112</v>
      </c>
      <c r="L35" s="168"/>
      <c r="M35" s="69"/>
      <c r="N35" s="69"/>
      <c r="O35" s="69"/>
      <c r="P35" s="69"/>
      <c r="Q35" s="69"/>
      <c r="R35" s="69"/>
      <c r="S35" s="69"/>
      <c r="T35" s="69"/>
      <c r="U35" s="69"/>
      <c r="V35" s="69"/>
      <c r="W35" s="69"/>
      <c r="X35" s="69"/>
      <c r="Y35" s="69"/>
      <c r="Z35" s="69"/>
      <c r="AA35" s="69"/>
      <c r="AB35" s="69"/>
      <c r="AC35" s="69"/>
      <c r="AD35" s="69"/>
      <c r="AE35" s="69"/>
      <c r="AF35" s="69"/>
      <c r="AG35" s="69"/>
    </row>
    <row r="36" spans="1:33" ht="20.25">
      <c r="A36" s="69"/>
      <c r="B36" s="515">
        <v>2.4</v>
      </c>
      <c r="C36" s="516"/>
      <c r="D36" s="516"/>
      <c r="E36" s="516"/>
      <c r="F36" s="516"/>
      <c r="G36" s="516"/>
      <c r="H36" s="516"/>
      <c r="I36" s="516"/>
      <c r="J36" s="517"/>
      <c r="K36" s="69"/>
      <c r="L36" s="69"/>
      <c r="M36" s="69"/>
      <c r="N36" s="69"/>
      <c r="O36" s="69"/>
      <c r="P36" s="69"/>
      <c r="Q36" s="69"/>
      <c r="R36" s="69"/>
      <c r="S36" s="69"/>
      <c r="T36" s="69"/>
      <c r="U36" s="69"/>
      <c r="V36" s="69"/>
      <c r="W36" s="69"/>
      <c r="X36" s="69"/>
      <c r="Y36" s="69"/>
      <c r="Z36" s="69"/>
      <c r="AA36" s="69"/>
      <c r="AB36" s="69"/>
      <c r="AC36" s="69"/>
      <c r="AD36" s="69"/>
      <c r="AE36" s="69"/>
      <c r="AF36" s="69"/>
      <c r="AG36" s="69"/>
    </row>
    <row r="37" spans="1:33" ht="63.75" customHeight="1">
      <c r="A37" s="69" t="str">
        <f ca="1">IF(AND($D$1&gt;=C37,$D$1&lt;=D37),"CurrentSprint","NA")</f>
        <v>NA</v>
      </c>
      <c r="B37" s="283" t="s">
        <v>113</v>
      </c>
      <c r="C37" s="264">
        <v>45751</v>
      </c>
      <c r="D37" s="264">
        <v>45764</v>
      </c>
      <c r="E37" s="5">
        <v>23</v>
      </c>
      <c r="F37" s="5">
        <v>32</v>
      </c>
      <c r="G37" s="5"/>
      <c r="H37" s="5"/>
      <c r="I37" s="3" t="s">
        <v>114</v>
      </c>
      <c r="J37" s="4" t="s">
        <v>115</v>
      </c>
      <c r="K37" s="69"/>
      <c r="L37" s="69"/>
      <c r="M37" s="69"/>
      <c r="N37" s="69"/>
      <c r="O37" s="69"/>
      <c r="P37" s="69"/>
      <c r="Q37" s="69"/>
      <c r="R37" s="69"/>
      <c r="S37" s="69"/>
      <c r="T37" s="69"/>
      <c r="U37" s="69"/>
      <c r="V37" s="69"/>
      <c r="W37" s="69"/>
      <c r="X37" s="69"/>
      <c r="Y37" s="69"/>
      <c r="Z37" s="69"/>
      <c r="AA37" s="69"/>
      <c r="AB37" s="69"/>
      <c r="AC37" s="69"/>
      <c r="AD37" s="69"/>
      <c r="AE37" s="69"/>
      <c r="AF37" s="69"/>
      <c r="AG37" s="69"/>
    </row>
    <row r="38" spans="1:33" ht="71.25" customHeight="1">
      <c r="A38" s="69" t="str">
        <f ca="1">IF(AND($D$1&gt;=C38,$D$1&lt;=D38),"CurrentSprint","NA")</f>
        <v>NA</v>
      </c>
      <c r="B38" s="283" t="s">
        <v>116</v>
      </c>
      <c r="C38" s="264">
        <v>45765</v>
      </c>
      <c r="D38" s="264">
        <v>45778</v>
      </c>
      <c r="E38" s="5">
        <v>29</v>
      </c>
      <c r="F38" s="5">
        <v>29</v>
      </c>
      <c r="G38" s="5"/>
      <c r="H38" s="5"/>
      <c r="I38" s="3" t="s">
        <v>117</v>
      </c>
      <c r="J38" s="4" t="s">
        <v>118</v>
      </c>
      <c r="K38" s="69" t="s">
        <v>119</v>
      </c>
      <c r="L38" s="69"/>
      <c r="M38" s="69"/>
      <c r="N38" s="69"/>
      <c r="O38" s="69"/>
      <c r="P38" s="69"/>
      <c r="Q38" s="69"/>
      <c r="R38" s="69"/>
      <c r="S38" s="69"/>
      <c r="T38" s="69"/>
      <c r="U38" s="69"/>
      <c r="V38" s="69"/>
      <c r="W38" s="69"/>
      <c r="X38" s="69"/>
      <c r="Y38" s="69"/>
      <c r="Z38" s="69"/>
      <c r="AA38" s="69"/>
      <c r="AB38" s="69"/>
      <c r="AC38" s="69"/>
      <c r="AD38" s="69"/>
      <c r="AE38" s="69"/>
      <c r="AF38" s="69"/>
      <c r="AG38" s="69"/>
    </row>
    <row r="39" spans="1:33" ht="67.5" customHeight="1">
      <c r="A39" s="69" t="str">
        <f ca="1">IF(AND($D$1&gt;=C39,$D$1&lt;=D39),"CurrentSprint","NA")</f>
        <v>NA</v>
      </c>
      <c r="B39" s="283" t="s">
        <v>120</v>
      </c>
      <c r="C39" s="264">
        <v>45779</v>
      </c>
      <c r="D39" s="264">
        <v>45792</v>
      </c>
      <c r="E39" s="5">
        <v>16</v>
      </c>
      <c r="F39" s="5">
        <v>10</v>
      </c>
      <c r="G39" s="5" t="s">
        <v>121</v>
      </c>
      <c r="H39" s="5"/>
      <c r="I39" s="3" t="s">
        <v>122</v>
      </c>
      <c r="J39" s="4" t="s">
        <v>123</v>
      </c>
      <c r="K39" s="11" t="s">
        <v>124</v>
      </c>
      <c r="L39" s="11"/>
      <c r="M39" s="69"/>
      <c r="N39" s="69"/>
      <c r="O39" s="69"/>
      <c r="P39" s="69"/>
      <c r="Q39" s="69"/>
      <c r="R39" s="69"/>
      <c r="S39" s="69"/>
      <c r="T39" s="69"/>
      <c r="U39" s="69"/>
      <c r="V39" s="69"/>
      <c r="W39" s="69"/>
      <c r="X39" s="69"/>
      <c r="Y39" s="69"/>
      <c r="Z39" s="69"/>
      <c r="AA39" s="69"/>
      <c r="AB39" s="69"/>
      <c r="AC39" s="69"/>
      <c r="AD39" s="69"/>
      <c r="AE39" s="69"/>
      <c r="AF39" s="69"/>
      <c r="AG39" s="69"/>
    </row>
    <row r="40" spans="1:33" ht="90.75" customHeight="1">
      <c r="A40" s="69" t="str">
        <f ca="1">IF(AND($D$1&gt;=C40,$D$1&lt;=D40),"CurrentSprint","NA")</f>
        <v>NA</v>
      </c>
      <c r="B40" s="283" t="s">
        <v>125</v>
      </c>
      <c r="C40" s="264">
        <v>45793</v>
      </c>
      <c r="D40" s="264">
        <v>45806</v>
      </c>
      <c r="E40" s="5">
        <v>24</v>
      </c>
      <c r="F40" s="5">
        <v>24</v>
      </c>
      <c r="G40" s="5" t="s">
        <v>126</v>
      </c>
      <c r="H40" s="5"/>
      <c r="I40" s="3" t="s">
        <v>127</v>
      </c>
      <c r="J40" s="4" t="s">
        <v>128</v>
      </c>
      <c r="K40" s="3" t="s">
        <v>129</v>
      </c>
      <c r="L40" s="3"/>
      <c r="M40" s="69"/>
      <c r="N40" s="69"/>
      <c r="O40" s="69"/>
      <c r="P40" s="69"/>
      <c r="Q40" s="69"/>
      <c r="R40" s="69"/>
      <c r="S40" s="69"/>
      <c r="T40" s="69"/>
      <c r="U40" s="69"/>
      <c r="V40" s="69"/>
      <c r="W40" s="69"/>
      <c r="X40" s="69"/>
      <c r="Y40" s="69"/>
      <c r="Z40" s="69"/>
      <c r="AA40" s="69"/>
      <c r="AB40" s="69"/>
      <c r="AC40" s="69"/>
      <c r="AD40" s="69"/>
      <c r="AE40" s="69"/>
      <c r="AF40" s="69"/>
      <c r="AG40" s="69"/>
    </row>
    <row r="41" spans="1:33" ht="20.25">
      <c r="A41" s="69"/>
      <c r="B41" s="515">
        <v>2.5</v>
      </c>
      <c r="C41" s="516"/>
      <c r="D41" s="516"/>
      <c r="E41" s="516"/>
      <c r="F41" s="516"/>
      <c r="G41" s="516"/>
      <c r="H41" s="516"/>
      <c r="I41" s="516"/>
      <c r="J41" s="517"/>
      <c r="K41" s="69"/>
      <c r="L41" s="69"/>
      <c r="M41" s="69"/>
      <c r="N41" s="69"/>
      <c r="O41" s="69"/>
      <c r="P41" s="69"/>
      <c r="Q41" s="69"/>
      <c r="R41" s="69"/>
      <c r="S41" s="69"/>
      <c r="T41" s="69"/>
      <c r="U41" s="69"/>
      <c r="V41" s="69"/>
      <c r="W41" s="69"/>
      <c r="X41" s="69"/>
      <c r="Y41" s="69"/>
      <c r="Z41" s="69"/>
      <c r="AA41" s="69"/>
      <c r="AB41" s="69"/>
      <c r="AC41" s="69"/>
      <c r="AD41" s="69"/>
      <c r="AE41" s="69"/>
      <c r="AF41" s="69"/>
      <c r="AG41" s="69"/>
    </row>
    <row r="42" spans="1:33" ht="72" customHeight="1">
      <c r="A42" s="69" t="str">
        <f ca="1">IF(AND($D$1&gt;=C42,$D$1&lt;=D42),"CurrentSprint","NA")</f>
        <v>NA</v>
      </c>
      <c r="B42" s="283" t="s">
        <v>130</v>
      </c>
      <c r="C42" s="264">
        <v>45807</v>
      </c>
      <c r="D42" s="264">
        <v>45820</v>
      </c>
      <c r="E42" s="5">
        <v>23</v>
      </c>
      <c r="F42" s="5">
        <v>23</v>
      </c>
      <c r="G42" s="5"/>
      <c r="H42" s="5"/>
      <c r="I42" s="3" t="s">
        <v>131</v>
      </c>
      <c r="J42" s="4" t="s">
        <v>128</v>
      </c>
      <c r="K42" s="4"/>
      <c r="L42" s="4"/>
      <c r="M42" s="69"/>
      <c r="N42" s="69"/>
      <c r="O42" s="69"/>
      <c r="P42" s="69"/>
      <c r="Q42" s="69"/>
      <c r="R42" s="69"/>
      <c r="S42" s="69"/>
      <c r="T42" s="69"/>
      <c r="U42" s="69"/>
      <c r="V42" s="69"/>
      <c r="W42" s="69"/>
      <c r="X42" s="69"/>
      <c r="Y42" s="69"/>
      <c r="Z42" s="69"/>
      <c r="AA42" s="69"/>
      <c r="AB42" s="69"/>
      <c r="AC42" s="69"/>
      <c r="AD42" s="69"/>
      <c r="AE42" s="69"/>
      <c r="AF42" s="69"/>
      <c r="AG42" s="69"/>
    </row>
    <row r="43" spans="1:33" ht="87" customHeight="1">
      <c r="A43" s="69" t="str">
        <f ca="1">IF(AND($D$1&gt;=C43,$D$1&lt;=D43),"CurrentSprint","NA")</f>
        <v>NA</v>
      </c>
      <c r="B43" s="283" t="s">
        <v>132</v>
      </c>
      <c r="C43" s="264">
        <v>45821</v>
      </c>
      <c r="D43" s="264">
        <v>45834</v>
      </c>
      <c r="E43" s="5">
        <v>11</v>
      </c>
      <c r="F43" s="5">
        <v>21</v>
      </c>
      <c r="G43" s="5"/>
      <c r="H43" s="5"/>
      <c r="I43" s="3" t="s">
        <v>133</v>
      </c>
      <c r="J43" s="4" t="s">
        <v>134</v>
      </c>
      <c r="K43" s="4"/>
      <c r="L43" s="4"/>
      <c r="M43" s="69"/>
      <c r="N43" s="69"/>
      <c r="O43" s="69"/>
      <c r="P43" s="69"/>
      <c r="Q43" s="69"/>
      <c r="R43" s="69"/>
      <c r="S43" s="69"/>
      <c r="T43" s="69"/>
      <c r="U43" s="69"/>
      <c r="V43" s="69"/>
      <c r="W43" s="69"/>
      <c r="X43" s="69"/>
      <c r="Y43" s="69"/>
      <c r="Z43" s="69"/>
      <c r="AA43" s="69"/>
      <c r="AB43" s="69"/>
      <c r="AC43" s="69"/>
      <c r="AD43" s="69"/>
      <c r="AE43" s="69"/>
      <c r="AF43" s="69"/>
      <c r="AG43" s="69"/>
    </row>
    <row r="44" spans="1:33" ht="97.5" customHeight="1">
      <c r="A44" s="69" t="str">
        <f ca="1">IF(AND($D$1&gt;=C44,$D$1&lt;=D44),"CurrentSprint","NA")</f>
        <v>NA</v>
      </c>
      <c r="B44" s="283" t="s">
        <v>135</v>
      </c>
      <c r="C44" s="264">
        <v>45835</v>
      </c>
      <c r="D44" s="264">
        <v>45848</v>
      </c>
      <c r="E44" s="5">
        <v>15</v>
      </c>
      <c r="F44" s="5">
        <v>28</v>
      </c>
      <c r="G44" s="5"/>
      <c r="H44" s="5"/>
      <c r="I44" s="3" t="s">
        <v>136</v>
      </c>
      <c r="J44" s="4" t="s">
        <v>137</v>
      </c>
      <c r="K44" s="11" t="s">
        <v>138</v>
      </c>
      <c r="L44" s="11"/>
      <c r="M44" s="69"/>
      <c r="N44" s="69"/>
      <c r="O44" s="69"/>
      <c r="P44" s="69"/>
      <c r="Q44" s="69"/>
      <c r="R44" s="69"/>
      <c r="S44" s="69"/>
      <c r="T44" s="69"/>
      <c r="U44" s="69"/>
      <c r="V44" s="69"/>
      <c r="W44" s="69"/>
      <c r="X44" s="69"/>
      <c r="Y44" s="69"/>
      <c r="Z44" s="69"/>
      <c r="AA44" s="69"/>
      <c r="AB44" s="69"/>
      <c r="AC44" s="69"/>
      <c r="AD44" s="69"/>
      <c r="AE44" s="69"/>
      <c r="AF44" s="69"/>
      <c r="AG44" s="69"/>
    </row>
    <row r="45" spans="1:33" ht="63.75" customHeight="1">
      <c r="A45" s="69" t="str">
        <f ca="1">IF(AND($D$1&gt;=C45,$D$1&lt;=D45),"CurrentSprint","NA")</f>
        <v>NA</v>
      </c>
      <c r="B45" s="283" t="s">
        <v>139</v>
      </c>
      <c r="C45" s="264">
        <v>45849</v>
      </c>
      <c r="D45" s="264">
        <v>45862</v>
      </c>
      <c r="E45" s="5">
        <v>20</v>
      </c>
      <c r="F45" s="5">
        <v>20</v>
      </c>
      <c r="G45" s="5"/>
      <c r="H45" s="5"/>
      <c r="I45" s="3" t="s">
        <v>140</v>
      </c>
      <c r="J45" s="4" t="s">
        <v>141</v>
      </c>
      <c r="K45" s="11" t="s">
        <v>142</v>
      </c>
      <c r="L45" s="11"/>
      <c r="M45" s="69"/>
      <c r="N45" s="69"/>
      <c r="O45" s="69"/>
      <c r="P45" s="69"/>
      <c r="Q45" s="69"/>
      <c r="R45" s="69"/>
      <c r="S45" s="69"/>
      <c r="T45" s="69"/>
      <c r="U45" s="69"/>
      <c r="V45" s="69"/>
      <c r="W45" s="69"/>
      <c r="X45" s="69"/>
      <c r="Y45" s="69"/>
      <c r="Z45" s="69"/>
      <c r="AA45" s="69"/>
      <c r="AB45" s="69"/>
      <c r="AC45" s="69"/>
      <c r="AD45" s="69"/>
      <c r="AE45" s="69"/>
      <c r="AF45" s="69"/>
      <c r="AG45" s="69"/>
    </row>
    <row r="46" spans="1:33" ht="124.5" customHeight="1">
      <c r="A46" s="69" t="str">
        <f ca="1">IF(AND($D$1&gt;=C46,$D$1&lt;=D46),"CurrentSprint","NA")</f>
        <v>NA</v>
      </c>
      <c r="B46" s="283" t="s">
        <v>143</v>
      </c>
      <c r="C46" s="264">
        <v>45863</v>
      </c>
      <c r="D46" s="264">
        <v>45876</v>
      </c>
      <c r="E46" s="5">
        <v>10</v>
      </c>
      <c r="F46" s="5">
        <v>12</v>
      </c>
      <c r="G46" s="5"/>
      <c r="H46" s="3" t="s">
        <v>144</v>
      </c>
      <c r="I46" s="3" t="s">
        <v>145</v>
      </c>
      <c r="J46" s="4" t="s">
        <v>123</v>
      </c>
      <c r="K46" s="104" t="s">
        <v>146</v>
      </c>
      <c r="L46" s="104"/>
      <c r="M46" s="69"/>
      <c r="N46" s="69"/>
      <c r="O46" s="69"/>
      <c r="P46" s="69"/>
      <c r="Q46" s="69"/>
      <c r="R46" s="69"/>
      <c r="S46" s="69"/>
      <c r="T46" s="69"/>
      <c r="U46" s="69"/>
      <c r="V46" s="69"/>
      <c r="W46" s="69"/>
      <c r="X46" s="69"/>
      <c r="Y46" s="69"/>
      <c r="Z46" s="69"/>
      <c r="AA46" s="69"/>
      <c r="AB46" s="69"/>
      <c r="AC46" s="69"/>
      <c r="AD46" s="69"/>
      <c r="AE46" s="69"/>
      <c r="AF46" s="69"/>
      <c r="AG46" s="69"/>
    </row>
    <row r="47" spans="1:33" ht="167.25" customHeight="1">
      <c r="A47" s="69" t="str">
        <f ca="1">IF(AND($D$1&gt;=C47,$D$1&lt;=D47),"CurrentSprint","NA")</f>
        <v>NA</v>
      </c>
      <c r="B47" s="283" t="s">
        <v>147</v>
      </c>
      <c r="C47" s="264">
        <v>45877</v>
      </c>
      <c r="D47" s="264">
        <v>45890</v>
      </c>
      <c r="E47" s="5">
        <v>8</v>
      </c>
      <c r="F47" s="5">
        <v>11</v>
      </c>
      <c r="G47" s="5"/>
      <c r="H47" s="3" t="s">
        <v>148</v>
      </c>
      <c r="I47" s="3" t="s">
        <v>149</v>
      </c>
      <c r="J47" s="4" t="s">
        <v>150</v>
      </c>
      <c r="K47" s="86" t="s">
        <v>151</v>
      </c>
      <c r="L47" s="86"/>
      <c r="M47" s="69"/>
      <c r="N47" s="69"/>
      <c r="O47" s="69" t="s">
        <v>152</v>
      </c>
      <c r="P47" s="69"/>
      <c r="Q47" s="69"/>
      <c r="R47" s="69"/>
      <c r="S47" s="69"/>
      <c r="T47" s="69"/>
      <c r="U47" s="69"/>
      <c r="V47" s="69"/>
      <c r="W47" s="69"/>
      <c r="X47" s="69"/>
      <c r="Y47" s="69"/>
      <c r="Z47" s="69"/>
      <c r="AA47" s="69"/>
      <c r="AB47" s="69"/>
      <c r="AC47" s="69"/>
      <c r="AD47" s="69"/>
      <c r="AE47" s="69"/>
      <c r="AF47" s="69"/>
      <c r="AG47" s="69"/>
    </row>
    <row r="48" spans="1:33" ht="136.5" customHeight="1">
      <c r="A48" s="69" t="str">
        <f ca="1">IF(AND($D$1&gt;=C48,$D$1&lt;=D48),"CurrentSprint","NA")</f>
        <v>NA</v>
      </c>
      <c r="B48" s="283" t="s">
        <v>153</v>
      </c>
      <c r="C48" s="264">
        <v>45891</v>
      </c>
      <c r="D48" s="264">
        <v>45904</v>
      </c>
      <c r="E48" s="5">
        <v>3</v>
      </c>
      <c r="F48" s="5">
        <v>11</v>
      </c>
      <c r="G48" s="5"/>
      <c r="H48" s="3" t="s">
        <v>154</v>
      </c>
      <c r="I48" s="3" t="s">
        <v>155</v>
      </c>
      <c r="J48" s="4" t="s">
        <v>156</v>
      </c>
      <c r="K48" s="86" t="s">
        <v>157</v>
      </c>
      <c r="L48" s="86"/>
      <c r="M48" s="69"/>
      <c r="N48" s="69"/>
      <c r="O48" s="69"/>
      <c r="P48" s="69"/>
      <c r="Q48" s="69"/>
      <c r="R48" s="69"/>
      <c r="S48" s="69"/>
      <c r="T48" s="69"/>
      <c r="U48" s="69"/>
      <c r="V48" s="69"/>
      <c r="W48" s="69"/>
      <c r="X48" s="69"/>
      <c r="Y48" s="69"/>
      <c r="Z48" s="69"/>
      <c r="AA48" s="69"/>
      <c r="AB48" s="69"/>
      <c r="AC48" s="69"/>
      <c r="AD48" s="69"/>
      <c r="AE48" s="69"/>
      <c r="AF48" s="69"/>
      <c r="AG48" s="69"/>
    </row>
    <row r="49" spans="1:33" ht="108.75" customHeight="1">
      <c r="A49" s="69" t="str">
        <f ca="1">IF(AND($D$1&gt;=C49,$D$1&lt;=D49),"CurrentSprint","NA")</f>
        <v>NA</v>
      </c>
      <c r="B49" s="283" t="s">
        <v>158</v>
      </c>
      <c r="C49" s="264">
        <v>45905</v>
      </c>
      <c r="D49" s="264">
        <v>45918</v>
      </c>
      <c r="E49" s="5">
        <v>10</v>
      </c>
      <c r="F49" s="5">
        <v>15</v>
      </c>
      <c r="G49" s="5"/>
      <c r="H49" s="3" t="s">
        <v>159</v>
      </c>
      <c r="I49" s="3" t="s">
        <v>155</v>
      </c>
      <c r="J49" s="4" t="s">
        <v>160</v>
      </c>
      <c r="K49" s="86" t="s">
        <v>161</v>
      </c>
      <c r="L49" s="86"/>
      <c r="M49" s="69"/>
      <c r="N49" s="69"/>
      <c r="O49" s="69"/>
      <c r="P49" s="69"/>
      <c r="Q49" s="69"/>
      <c r="R49" s="69"/>
      <c r="S49" s="69"/>
      <c r="T49" s="69"/>
      <c r="U49" s="69"/>
      <c r="V49" s="69"/>
      <c r="W49" s="69"/>
      <c r="X49" s="69"/>
      <c r="Y49" s="69"/>
      <c r="Z49" s="69"/>
      <c r="AA49" s="69"/>
      <c r="AB49" s="69"/>
      <c r="AC49" s="69"/>
      <c r="AD49" s="69"/>
      <c r="AE49" s="69"/>
      <c r="AF49" s="69"/>
      <c r="AG49" s="69"/>
    </row>
    <row r="50" spans="1:33" ht="102" customHeight="1">
      <c r="A50" s="69" t="str">
        <f ca="1">IF(AND($D$1&gt;=C50,$D$1&lt;=D50),"CurrentSprint","NA")</f>
        <v>NA</v>
      </c>
      <c r="B50" s="283" t="s">
        <v>162</v>
      </c>
      <c r="C50" s="264">
        <v>45919</v>
      </c>
      <c r="D50" s="264">
        <v>45932</v>
      </c>
      <c r="E50" s="5">
        <v>26</v>
      </c>
      <c r="F50" s="5">
        <v>26</v>
      </c>
      <c r="G50" s="5"/>
      <c r="H50" s="3" t="s">
        <v>163</v>
      </c>
      <c r="I50" s="3" t="s">
        <v>164</v>
      </c>
      <c r="J50" s="4" t="s">
        <v>141</v>
      </c>
      <c r="K50" s="86" t="s">
        <v>165</v>
      </c>
      <c r="L50" s="86"/>
      <c r="M50" s="69"/>
      <c r="N50" s="69"/>
      <c r="O50" s="69"/>
      <c r="P50" s="69"/>
      <c r="Q50" s="69"/>
      <c r="R50" s="69"/>
      <c r="S50" s="69"/>
      <c r="T50" s="69"/>
      <c r="U50" s="69"/>
      <c r="V50" s="69"/>
      <c r="W50" s="69"/>
      <c r="X50" s="69"/>
      <c r="Y50" s="69"/>
      <c r="Z50" s="69"/>
      <c r="AA50" s="69"/>
      <c r="AB50" s="69"/>
      <c r="AC50" s="69"/>
      <c r="AD50" s="69"/>
      <c r="AE50" s="69"/>
      <c r="AF50" s="69"/>
      <c r="AG50" s="69"/>
    </row>
    <row r="51" spans="1:33" ht="83.25" customHeight="1">
      <c r="A51" s="69" t="str">
        <f ca="1">IF(AND($D$1&gt;=C51,$D$1&lt;=D51),"CurrentSprint","NA")</f>
        <v>NA</v>
      </c>
      <c r="B51" s="283" t="s">
        <v>166</v>
      </c>
      <c r="C51" s="264">
        <v>45933</v>
      </c>
      <c r="D51" s="264">
        <v>45946</v>
      </c>
      <c r="E51" s="5">
        <v>8</v>
      </c>
      <c r="F51" s="5">
        <v>13</v>
      </c>
      <c r="G51" s="5"/>
      <c r="H51" s="3" t="s">
        <v>167</v>
      </c>
      <c r="I51" s="3" t="s">
        <v>168</v>
      </c>
      <c r="J51" s="4" t="s">
        <v>141</v>
      </c>
      <c r="K51" s="86" t="s">
        <v>169</v>
      </c>
      <c r="L51" s="86"/>
      <c r="M51" s="69"/>
      <c r="N51" s="69"/>
      <c r="O51" s="69"/>
      <c r="P51" s="69"/>
      <c r="Q51" s="69"/>
      <c r="R51" s="69"/>
      <c r="S51" s="69"/>
      <c r="T51" s="69"/>
      <c r="U51" s="69"/>
      <c r="V51" s="69"/>
      <c r="W51" s="69"/>
      <c r="X51" s="69"/>
      <c r="Y51" s="69"/>
      <c r="Z51" s="69"/>
      <c r="AA51" s="69"/>
      <c r="AB51" s="69"/>
      <c r="AC51" s="69"/>
      <c r="AD51" s="69"/>
      <c r="AE51" s="69"/>
      <c r="AF51" s="69"/>
      <c r="AG51" s="69"/>
    </row>
    <row r="52" spans="1:33" ht="101.25" customHeight="1">
      <c r="A52" s="69" t="str">
        <f ca="1">IF(AND($D$1&gt;=C52,$D$1&lt;=D52),"CurrentSprint","NA")</f>
        <v>NA</v>
      </c>
      <c r="B52" s="283" t="s">
        <v>170</v>
      </c>
      <c r="C52" s="264">
        <v>45947</v>
      </c>
      <c r="D52" s="264">
        <v>45960</v>
      </c>
      <c r="E52" s="5">
        <v>10</v>
      </c>
      <c r="F52" s="5">
        <v>18</v>
      </c>
      <c r="G52" s="5"/>
      <c r="H52" s="3" t="s">
        <v>171</v>
      </c>
      <c r="I52" s="3" t="s">
        <v>172</v>
      </c>
      <c r="J52" s="4" t="s">
        <v>173</v>
      </c>
      <c r="K52" s="86" t="s">
        <v>174</v>
      </c>
      <c r="L52" s="86"/>
      <c r="M52" s="69"/>
      <c r="N52" s="69"/>
      <c r="O52" s="69"/>
      <c r="P52" s="69"/>
      <c r="Q52" s="69"/>
      <c r="R52" s="69"/>
      <c r="S52" s="69"/>
      <c r="T52" s="69"/>
      <c r="U52" s="69"/>
      <c r="V52" s="69"/>
      <c r="W52" s="69"/>
      <c r="X52" s="69"/>
      <c r="Y52" s="69"/>
      <c r="Z52" s="69"/>
      <c r="AA52" s="69"/>
      <c r="AB52" s="69"/>
      <c r="AC52" s="69"/>
      <c r="AD52" s="69"/>
      <c r="AE52" s="69"/>
      <c r="AF52" s="69"/>
      <c r="AG52" s="69"/>
    </row>
    <row r="53" spans="1:33" ht="102" customHeight="1">
      <c r="A53" s="69" t="str">
        <f ca="1">IF(AND($D$1&gt;=C53,$D$1&lt;=D53),"CurrentSprint","NA")</f>
        <v>NA</v>
      </c>
      <c r="B53" s="283" t="s">
        <v>175</v>
      </c>
      <c r="C53" s="264">
        <v>45961</v>
      </c>
      <c r="D53" s="264">
        <v>45974</v>
      </c>
      <c r="E53" s="5">
        <v>17</v>
      </c>
      <c r="F53" s="5">
        <v>9</v>
      </c>
      <c r="G53" s="5"/>
      <c r="H53" s="3" t="s">
        <v>176</v>
      </c>
      <c r="I53" s="3" t="s">
        <v>177</v>
      </c>
      <c r="J53" s="4" t="s">
        <v>141</v>
      </c>
      <c r="K53" s="482" t="s">
        <v>178</v>
      </c>
      <c r="L53" s="482"/>
      <c r="M53" s="69"/>
      <c r="N53" s="69"/>
      <c r="O53" s="69"/>
      <c r="P53" s="69"/>
      <c r="Q53" s="69"/>
      <c r="R53" s="69"/>
      <c r="S53" s="69"/>
      <c r="T53" s="69"/>
      <c r="U53" s="69"/>
      <c r="V53" s="69"/>
      <c r="W53" s="69"/>
      <c r="X53" s="69"/>
      <c r="Y53" s="69"/>
      <c r="Z53" s="69"/>
      <c r="AA53" s="69"/>
      <c r="AB53" s="69"/>
      <c r="AC53" s="69"/>
      <c r="AD53" s="69"/>
      <c r="AE53" s="69"/>
      <c r="AF53" s="69"/>
      <c r="AG53" s="69"/>
    </row>
    <row r="54" spans="1:33" ht="109.5" customHeight="1">
      <c r="A54" s="69" t="str">
        <f ca="1">IF(AND($D$1&gt;=C54,$D$1&lt;=D54),"CurrentSprint","NA")</f>
        <v>NA</v>
      </c>
      <c r="B54" s="283" t="s">
        <v>179</v>
      </c>
      <c r="C54" s="264">
        <v>45975</v>
      </c>
      <c r="D54" s="264">
        <v>46002</v>
      </c>
      <c r="E54" s="5">
        <v>39</v>
      </c>
      <c r="F54" s="5">
        <v>46</v>
      </c>
      <c r="G54" s="5"/>
      <c r="H54" s="26" t="s">
        <v>180</v>
      </c>
      <c r="I54" s="3" t="s">
        <v>181</v>
      </c>
      <c r="J54" s="4" t="s">
        <v>141</v>
      </c>
      <c r="K54" s="86" t="s">
        <v>182</v>
      </c>
      <c r="L54" s="86"/>
      <c r="M54" s="69"/>
      <c r="N54" s="69"/>
      <c r="O54" s="69"/>
      <c r="P54" s="69"/>
      <c r="Q54" s="69"/>
      <c r="R54" s="69"/>
      <c r="S54" s="69"/>
      <c r="T54" s="69"/>
      <c r="U54" s="69"/>
      <c r="V54" s="69"/>
      <c r="W54" s="69"/>
      <c r="X54" s="69"/>
      <c r="Y54" s="69"/>
      <c r="Z54" s="69"/>
      <c r="AA54" s="69"/>
      <c r="AB54" s="69"/>
      <c r="AC54" s="69"/>
      <c r="AD54" s="69"/>
      <c r="AE54" s="69"/>
      <c r="AF54" s="69"/>
      <c r="AG54" s="69"/>
    </row>
    <row r="55" spans="1:33" ht="120" customHeight="1">
      <c r="A55" s="69" t="str">
        <f ca="1">IF(AND($D$1&gt;=C55,$D$1&lt;=D55),"CurrentSprint","NA")</f>
        <v>NA</v>
      </c>
      <c r="B55" s="283" t="s">
        <v>183</v>
      </c>
      <c r="C55" s="264">
        <v>46003</v>
      </c>
      <c r="D55" s="264">
        <v>46030</v>
      </c>
      <c r="E55" s="5">
        <v>25</v>
      </c>
      <c r="F55" s="5">
        <v>25</v>
      </c>
      <c r="G55" s="5"/>
      <c r="H55" s="3" t="s">
        <v>184</v>
      </c>
      <c r="I55" s="3" t="s">
        <v>185</v>
      </c>
      <c r="J55" s="4" t="s">
        <v>141</v>
      </c>
      <c r="K55" s="58" t="s">
        <v>186</v>
      </c>
      <c r="L55" s="58"/>
      <c r="M55" s="69"/>
      <c r="N55" s="69"/>
      <c r="O55" s="69"/>
      <c r="P55" s="69"/>
      <c r="Q55" s="69"/>
      <c r="R55" s="69"/>
      <c r="S55" s="69"/>
      <c r="T55" s="69"/>
      <c r="U55" s="69"/>
      <c r="V55" s="69"/>
      <c r="W55" s="69"/>
      <c r="X55" s="69"/>
      <c r="Y55" s="69"/>
      <c r="Z55" s="69"/>
      <c r="AA55" s="69"/>
      <c r="AB55" s="69"/>
      <c r="AC55" s="69"/>
      <c r="AD55" s="69"/>
      <c r="AE55" s="69"/>
      <c r="AF55" s="69"/>
      <c r="AG55" s="69"/>
    </row>
    <row r="56" spans="1:33" ht="80.25" customHeight="1">
      <c r="A56" s="69" t="str">
        <f ca="1">IF(AND($D$1&gt;=C56,$D$1&lt;=D56),"CurrentSprint","NA")</f>
        <v>NA</v>
      </c>
      <c r="B56" s="283" t="s">
        <v>187</v>
      </c>
      <c r="C56" s="264">
        <v>46031</v>
      </c>
      <c r="D56" s="264">
        <v>46044</v>
      </c>
      <c r="E56" s="5">
        <v>16</v>
      </c>
      <c r="F56" s="5">
        <v>16</v>
      </c>
      <c r="G56" s="5"/>
      <c r="H56" s="3" t="s">
        <v>188</v>
      </c>
      <c r="I56" s="3" t="s">
        <v>189</v>
      </c>
      <c r="J56" s="4" t="s">
        <v>141</v>
      </c>
      <c r="K56" s="86" t="s">
        <v>190</v>
      </c>
      <c r="L56" s="86"/>
      <c r="M56" s="69"/>
      <c r="N56" s="69"/>
      <c r="O56" s="69"/>
      <c r="P56" s="69"/>
      <c r="Q56" s="69"/>
      <c r="R56" s="69"/>
      <c r="S56" s="69"/>
      <c r="T56" s="69"/>
      <c r="U56" s="69"/>
      <c r="V56" s="69"/>
      <c r="W56" s="69"/>
      <c r="X56" s="69"/>
      <c r="Y56" s="69"/>
      <c r="Z56" s="69"/>
      <c r="AA56" s="69"/>
      <c r="AB56" s="69"/>
      <c r="AC56" s="69"/>
      <c r="AD56" s="69"/>
      <c r="AE56" s="69"/>
      <c r="AF56" s="69"/>
      <c r="AG56" s="69"/>
    </row>
    <row r="57" spans="1:33" ht="94.5" customHeight="1">
      <c r="A57" s="69" t="str">
        <f ca="1">IF(AND($D$1&gt;=C57,$D$1&lt;=D57),"CurrentSprint","NA")</f>
        <v>NA</v>
      </c>
      <c r="B57" s="283" t="s">
        <v>191</v>
      </c>
      <c r="C57" s="264">
        <v>46045</v>
      </c>
      <c r="D57" s="264">
        <v>46058</v>
      </c>
      <c r="E57" s="5">
        <v>19</v>
      </c>
      <c r="F57" s="5">
        <v>19</v>
      </c>
      <c r="G57" s="5"/>
      <c r="H57" s="3" t="s">
        <v>192</v>
      </c>
      <c r="I57" s="3" t="s">
        <v>193</v>
      </c>
      <c r="J57" s="4" t="s">
        <v>141</v>
      </c>
      <c r="K57" s="86" t="s">
        <v>194</v>
      </c>
      <c r="L57" s="86"/>
      <c r="M57" s="69"/>
      <c r="N57" s="69"/>
      <c r="O57" s="69"/>
      <c r="P57" s="69"/>
      <c r="Q57" s="69"/>
      <c r="R57" s="69"/>
      <c r="S57" s="69"/>
      <c r="T57" s="69"/>
      <c r="U57" s="69"/>
      <c r="V57" s="69"/>
      <c r="W57" s="69"/>
      <c r="X57" s="69"/>
      <c r="Y57" s="69"/>
      <c r="Z57" s="69"/>
      <c r="AA57" s="69"/>
      <c r="AB57" s="69"/>
      <c r="AC57" s="69"/>
      <c r="AD57" s="69"/>
      <c r="AE57" s="69"/>
      <c r="AF57" s="69"/>
      <c r="AG57" s="69"/>
    </row>
    <row r="58" spans="1:33" ht="98.25" customHeight="1">
      <c r="A58" s="69" t="str">
        <f ca="1">IF(AND($D$1&gt;=C58,$D$1&lt;=D58),"CurrentSprint","NA")</f>
        <v>NA</v>
      </c>
      <c r="B58" s="283" t="s">
        <v>195</v>
      </c>
      <c r="C58" s="264">
        <v>46059</v>
      </c>
      <c r="D58" s="264">
        <v>46072</v>
      </c>
      <c r="E58" s="5">
        <v>12</v>
      </c>
      <c r="F58" s="5">
        <v>33</v>
      </c>
      <c r="G58" s="5"/>
      <c r="H58" s="3" t="s">
        <v>196</v>
      </c>
      <c r="I58" s="3" t="s">
        <v>197</v>
      </c>
      <c r="J58" s="4" t="s">
        <v>173</v>
      </c>
      <c r="K58" s="86" t="s">
        <v>198</v>
      </c>
      <c r="L58" s="69">
        <v>3</v>
      </c>
      <c r="M58" s="69"/>
      <c r="N58" s="69"/>
      <c r="O58" s="69"/>
      <c r="P58" s="69"/>
      <c r="Q58" s="69"/>
      <c r="R58" s="69"/>
      <c r="S58" s="69"/>
      <c r="T58" s="69"/>
      <c r="U58" s="69"/>
      <c r="V58" s="69"/>
      <c r="W58" s="69"/>
      <c r="X58" s="69"/>
      <c r="Y58" s="69"/>
      <c r="Z58" s="69"/>
      <c r="AA58" s="69"/>
      <c r="AB58" s="69"/>
      <c r="AC58" s="69"/>
      <c r="AD58" s="69"/>
      <c r="AE58" s="69"/>
      <c r="AF58" s="69"/>
      <c r="AG58" s="69"/>
    </row>
    <row r="59" spans="1:33" ht="93" customHeight="1">
      <c r="A59" s="69" t="str">
        <f ca="1">IF(AND($D$1&gt;=C59,$D$1&lt;=D59),"CurrentSprint","NA")</f>
        <v>NA</v>
      </c>
      <c r="B59" s="283" t="s">
        <v>199</v>
      </c>
      <c r="C59" s="264">
        <v>46073</v>
      </c>
      <c r="D59" s="264">
        <v>46086</v>
      </c>
      <c r="E59" s="5">
        <v>15</v>
      </c>
      <c r="F59" s="5">
        <v>15</v>
      </c>
      <c r="G59" s="5"/>
      <c r="H59" s="3" t="s">
        <v>200</v>
      </c>
      <c r="I59" s="3" t="s">
        <v>201</v>
      </c>
      <c r="J59" s="4" t="s">
        <v>160</v>
      </c>
      <c r="K59" s="86" t="s">
        <v>202</v>
      </c>
      <c r="L59" s="69">
        <v>0</v>
      </c>
      <c r="M59" s="69"/>
      <c r="N59" s="69"/>
      <c r="O59" s="69"/>
      <c r="P59" s="69"/>
      <c r="Q59" s="69"/>
      <c r="R59" s="69"/>
      <c r="S59" s="69"/>
      <c r="T59" s="69"/>
      <c r="U59" s="69"/>
      <c r="V59" s="69"/>
      <c r="W59" s="69"/>
      <c r="X59" s="69"/>
      <c r="Y59" s="69"/>
      <c r="Z59" s="69"/>
      <c r="AA59" s="69"/>
      <c r="AB59" s="69"/>
      <c r="AC59" s="69"/>
      <c r="AD59" s="69"/>
      <c r="AE59" s="69"/>
      <c r="AF59" s="69"/>
      <c r="AG59" s="69"/>
    </row>
    <row r="60" spans="1:33" ht="95.25" customHeight="1">
      <c r="A60" s="69" t="str">
        <f ca="1">IF(AND($D$1&gt;=C60,$D$1&lt;=D60),"CurrentSprint","NA")</f>
        <v>NA</v>
      </c>
      <c r="B60" s="283" t="s">
        <v>203</v>
      </c>
      <c r="C60" s="264">
        <v>46087</v>
      </c>
      <c r="D60" s="264">
        <v>46100</v>
      </c>
      <c r="E60" s="5">
        <v>15</v>
      </c>
      <c r="F60" s="5">
        <v>26</v>
      </c>
      <c r="G60" s="5"/>
      <c r="H60" s="246" t="s">
        <v>204</v>
      </c>
      <c r="I60" s="3" t="s">
        <v>205</v>
      </c>
      <c r="J60" s="4" t="s">
        <v>141</v>
      </c>
      <c r="K60" s="86" t="s">
        <v>206</v>
      </c>
      <c r="L60" s="69">
        <v>4</v>
      </c>
      <c r="M60" s="69"/>
      <c r="N60" s="69"/>
      <c r="O60" s="69"/>
      <c r="P60" s="69"/>
      <c r="Q60" s="69"/>
      <c r="R60" s="69"/>
      <c r="S60" s="69"/>
      <c r="T60" s="69"/>
      <c r="U60" s="69"/>
      <c r="V60" s="69"/>
      <c r="W60" s="69"/>
      <c r="X60" s="69"/>
      <c r="Y60" s="69"/>
      <c r="Z60" s="69"/>
      <c r="AA60" s="69"/>
      <c r="AB60" s="69"/>
      <c r="AC60" s="69"/>
      <c r="AD60" s="69"/>
      <c r="AE60" s="69"/>
      <c r="AF60" s="69"/>
      <c r="AG60" s="69"/>
    </row>
    <row r="61" spans="1:33" ht="111.75" customHeight="1">
      <c r="A61" s="69" t="str">
        <f ca="1">IF(AND($D$1&gt;=C61,$D$1&lt;=D61),"CurrentSprint","NA")</f>
        <v>NA</v>
      </c>
      <c r="B61" s="283" t="s">
        <v>207</v>
      </c>
      <c r="C61" s="264">
        <v>46101</v>
      </c>
      <c r="D61" s="264">
        <v>46114</v>
      </c>
      <c r="E61" s="5">
        <v>18</v>
      </c>
      <c r="F61" s="5">
        <v>21</v>
      </c>
      <c r="G61" s="5"/>
      <c r="H61" s="508" t="s">
        <v>208</v>
      </c>
      <c r="I61" s="3" t="s">
        <v>177</v>
      </c>
      <c r="J61" s="4" t="s">
        <v>209</v>
      </c>
      <c r="K61" s="482" t="s">
        <v>210</v>
      </c>
      <c r="L61" s="69">
        <v>0</v>
      </c>
      <c r="M61" s="69"/>
      <c r="N61" s="69"/>
      <c r="O61" s="69"/>
      <c r="P61" s="69"/>
      <c r="Q61" s="69"/>
      <c r="R61" s="69"/>
      <c r="S61" s="69"/>
      <c r="T61" s="69"/>
      <c r="U61" s="69"/>
      <c r="V61" s="69"/>
      <c r="W61" s="69"/>
      <c r="X61" s="69"/>
      <c r="Y61" s="69"/>
      <c r="Z61" s="69"/>
      <c r="AA61" s="69"/>
      <c r="AB61" s="69"/>
      <c r="AC61" s="69"/>
      <c r="AD61" s="69"/>
      <c r="AE61" s="69"/>
      <c r="AF61" s="69"/>
      <c r="AG61" s="69"/>
    </row>
    <row r="62" spans="1:33" ht="130.5" customHeight="1">
      <c r="A62" s="69" t="str">
        <f ca="1">IF(AND($D$1&gt;=C62,$D$1&lt;=D62),"CurrentSprint","NA")</f>
        <v>NA</v>
      </c>
      <c r="B62" s="283" t="s">
        <v>211</v>
      </c>
      <c r="C62" s="264">
        <v>46115</v>
      </c>
      <c r="D62" s="264">
        <v>46128</v>
      </c>
      <c r="E62" s="5">
        <v>16</v>
      </c>
      <c r="F62" s="5">
        <v>20</v>
      </c>
      <c r="G62" s="5"/>
      <c r="H62" s="508" t="s">
        <v>212</v>
      </c>
      <c r="I62" s="3" t="s">
        <v>177</v>
      </c>
      <c r="J62" s="4" t="s">
        <v>173</v>
      </c>
      <c r="K62" s="482" t="s">
        <v>213</v>
      </c>
      <c r="L62" s="69">
        <v>1</v>
      </c>
      <c r="M62" s="69"/>
      <c r="N62" s="69"/>
      <c r="O62" s="69"/>
      <c r="P62" s="69"/>
      <c r="Q62" s="69"/>
      <c r="R62" s="69"/>
      <c r="S62" s="69"/>
      <c r="T62" s="69"/>
      <c r="U62" s="69"/>
      <c r="V62" s="69"/>
      <c r="W62" s="69"/>
      <c r="X62" s="69"/>
      <c r="Y62" s="69"/>
      <c r="Z62" s="69"/>
      <c r="AA62" s="69"/>
      <c r="AB62" s="69"/>
      <c r="AC62" s="69"/>
      <c r="AD62" s="69"/>
      <c r="AE62" s="69"/>
      <c r="AF62" s="69"/>
      <c r="AG62" s="69"/>
    </row>
    <row r="63" spans="1:33" ht="84" customHeight="1">
      <c r="A63" s="69" t="str">
        <f ca="1">IF(AND($D$1&gt;=C63,$D$1&lt;=D63),"CurrentSprint","NA")</f>
        <v>NA</v>
      </c>
      <c r="B63" s="513" t="s">
        <v>214</v>
      </c>
      <c r="C63" s="264">
        <v>46129</v>
      </c>
      <c r="D63" s="264">
        <v>46142</v>
      </c>
      <c r="E63" s="5">
        <v>10</v>
      </c>
      <c r="F63" s="5">
        <v>31</v>
      </c>
      <c r="G63" s="5"/>
      <c r="H63" s="3" t="s">
        <v>215</v>
      </c>
      <c r="I63" s="3" t="s">
        <v>177</v>
      </c>
      <c r="J63" s="4" t="s">
        <v>156</v>
      </c>
      <c r="K63" s="482" t="s">
        <v>216</v>
      </c>
      <c r="L63" s="69">
        <v>4</v>
      </c>
      <c r="M63" s="69"/>
      <c r="N63" s="69"/>
      <c r="O63" s="69"/>
      <c r="P63" s="69"/>
      <c r="Q63" s="69"/>
      <c r="R63" s="69"/>
      <c r="S63" s="69"/>
      <c r="T63" s="69"/>
      <c r="U63" s="69"/>
      <c r="V63" s="69"/>
      <c r="W63" s="69"/>
      <c r="X63" s="69"/>
      <c r="Y63" s="69"/>
      <c r="Z63" s="69"/>
      <c r="AA63" s="69"/>
      <c r="AB63" s="69"/>
      <c r="AC63" s="69"/>
      <c r="AD63" s="69"/>
      <c r="AE63" s="69"/>
      <c r="AF63" s="69"/>
      <c r="AG63" s="69"/>
    </row>
    <row r="64" spans="1:33" ht="90.75" customHeight="1">
      <c r="A64" s="69" t="str">
        <f ca="1">IF(AND($D$1&gt;=C64,$D$1&lt;=D64),"CurrentSprint","NA")</f>
        <v>NA</v>
      </c>
      <c r="B64" s="283" t="s">
        <v>217</v>
      </c>
      <c r="C64" s="264">
        <v>46143</v>
      </c>
      <c r="D64" s="264">
        <v>46156</v>
      </c>
      <c r="E64" s="5">
        <v>19</v>
      </c>
      <c r="F64" s="5">
        <v>30</v>
      </c>
      <c r="G64" s="5"/>
      <c r="H64" s="3" t="s">
        <v>218</v>
      </c>
      <c r="I64" s="3" t="s">
        <v>219</v>
      </c>
      <c r="J64" s="4" t="s">
        <v>123</v>
      </c>
      <c r="K64" s="514" t="s">
        <v>220</v>
      </c>
      <c r="L64" s="69">
        <v>1</v>
      </c>
      <c r="M64" s="69"/>
      <c r="N64" s="69"/>
      <c r="O64" s="69"/>
      <c r="P64" s="69"/>
      <c r="Q64" s="69"/>
      <c r="R64" s="69"/>
      <c r="S64" s="69"/>
      <c r="T64" s="69"/>
      <c r="U64" s="69"/>
      <c r="V64" s="69"/>
      <c r="W64" s="69"/>
      <c r="X64" s="69"/>
      <c r="Y64" s="69"/>
      <c r="Z64" s="69"/>
      <c r="AA64" s="69"/>
      <c r="AB64" s="69"/>
      <c r="AC64" s="69"/>
      <c r="AD64" s="69"/>
      <c r="AE64" s="69"/>
      <c r="AF64" s="69"/>
      <c r="AG64" s="69"/>
    </row>
    <row r="65" spans="1:33" ht="19.5" customHeight="1">
      <c r="A65" s="69" t="str">
        <f ca="1">IF(AND($D$1&gt;=C65,$D$1&lt;=D65),"CurrentSprint","NA")</f>
        <v>NA</v>
      </c>
      <c r="B65" s="283" t="s">
        <v>221</v>
      </c>
      <c r="C65" s="264">
        <v>46157</v>
      </c>
      <c r="D65" s="264">
        <v>46170</v>
      </c>
      <c r="E65" s="5">
        <v>19</v>
      </c>
      <c r="F65" s="5"/>
      <c r="G65" s="5"/>
      <c r="H65" s="5"/>
      <c r="I65" s="3"/>
      <c r="J65" s="4"/>
      <c r="K65" s="69"/>
      <c r="L65" s="69"/>
      <c r="M65" s="69"/>
      <c r="N65" s="69"/>
      <c r="O65" s="69"/>
      <c r="P65" s="69"/>
      <c r="Q65" s="69"/>
      <c r="R65" s="69"/>
      <c r="S65" s="69"/>
      <c r="T65" s="69"/>
      <c r="U65" s="69"/>
      <c r="V65" s="69"/>
      <c r="W65" s="69"/>
      <c r="X65" s="69"/>
      <c r="Y65" s="69"/>
      <c r="Z65" s="69"/>
      <c r="AA65" s="69"/>
      <c r="AB65" s="69"/>
      <c r="AC65" s="69"/>
      <c r="AD65" s="69"/>
      <c r="AE65" s="69"/>
      <c r="AF65" s="69"/>
      <c r="AG65" s="69"/>
    </row>
    <row r="66" spans="1:33" ht="12.75">
      <c r="B66" s="283"/>
      <c r="C66" s="5"/>
      <c r="D66" s="428"/>
      <c r="E66" s="5"/>
      <c r="F66" s="5"/>
      <c r="G66" s="5" t="s">
        <v>222</v>
      </c>
      <c r="H66" s="283"/>
      <c r="I66" s="3"/>
      <c r="J66" s="6"/>
      <c r="K66" s="69"/>
      <c r="L66" s="69"/>
      <c r="M66" s="69"/>
      <c r="N66" s="69"/>
      <c r="O66" s="69"/>
      <c r="P66" s="69"/>
      <c r="Q66" s="69"/>
      <c r="R66" s="69"/>
      <c r="S66" s="69"/>
      <c r="T66" s="69"/>
      <c r="U66" s="69"/>
      <c r="V66" s="69"/>
      <c r="W66" s="69"/>
      <c r="X66" s="69"/>
      <c r="Y66" s="69"/>
      <c r="Z66" s="69"/>
      <c r="AA66" s="69"/>
      <c r="AB66" s="69"/>
      <c r="AC66" s="69"/>
      <c r="AD66" s="69"/>
      <c r="AE66" s="69"/>
      <c r="AF66" s="69"/>
      <c r="AG66" s="69"/>
    </row>
    <row r="67" spans="1:33" ht="12.75">
      <c r="B67" s="283"/>
      <c r="C67" s="5"/>
      <c r="D67" s="5"/>
      <c r="E67" s="100"/>
      <c r="F67" s="100"/>
      <c r="G67" s="100"/>
      <c r="H67" s="5"/>
      <c r="I67" s="3"/>
      <c r="J67" s="6"/>
      <c r="K67" s="69"/>
      <c r="L67" s="69"/>
      <c r="M67" s="69"/>
      <c r="N67" s="69"/>
      <c r="O67" s="69"/>
      <c r="P67" s="69"/>
      <c r="Q67" s="69"/>
      <c r="R67" s="69"/>
      <c r="S67" s="69"/>
      <c r="T67" s="69"/>
      <c r="U67" s="69"/>
      <c r="V67" s="69"/>
      <c r="W67" s="69"/>
      <c r="X67" s="69"/>
      <c r="Y67" s="69"/>
      <c r="Z67" s="69"/>
      <c r="AA67" s="69"/>
      <c r="AB67" s="69"/>
      <c r="AC67" s="69"/>
      <c r="AD67" s="69"/>
      <c r="AE67" s="69"/>
      <c r="AF67" s="69"/>
      <c r="AG67" s="69"/>
    </row>
    <row r="68" spans="1:33" ht="12.75">
      <c r="B68" s="283"/>
      <c r="C68" s="5"/>
      <c r="D68" s="5"/>
      <c r="E68" s="5"/>
      <c r="F68" s="5"/>
      <c r="G68" s="5"/>
      <c r="H68" s="5"/>
      <c r="I68" s="3"/>
      <c r="J68" s="6"/>
      <c r="K68" s="69"/>
      <c r="L68" s="69"/>
      <c r="M68" s="69"/>
      <c r="N68" s="69"/>
      <c r="O68" s="69"/>
      <c r="P68" s="69"/>
      <c r="Q68" s="69"/>
      <c r="R68" s="69"/>
      <c r="S68" s="69"/>
      <c r="T68" s="69"/>
      <c r="U68" s="69"/>
      <c r="V68" s="69"/>
      <c r="W68" s="69"/>
      <c r="X68" s="69"/>
      <c r="Y68" s="69"/>
      <c r="Z68" s="69"/>
      <c r="AA68" s="69"/>
      <c r="AB68" s="69"/>
      <c r="AC68" s="69"/>
      <c r="AD68" s="69"/>
      <c r="AE68" s="69"/>
      <c r="AF68" s="69"/>
      <c r="AG68" s="69"/>
    </row>
    <row r="69" spans="1:33" ht="12.75">
      <c r="B69" s="283"/>
      <c r="C69" s="5"/>
      <c r="D69" s="5"/>
      <c r="E69" s="5"/>
      <c r="F69" s="5"/>
      <c r="G69" s="5"/>
      <c r="H69" s="5"/>
      <c r="I69" s="3"/>
      <c r="J69" s="6"/>
      <c r="K69" s="69"/>
      <c r="L69" s="69"/>
      <c r="M69" s="69"/>
      <c r="N69" s="69"/>
      <c r="O69" s="69"/>
      <c r="P69" s="69"/>
      <c r="Q69" s="69"/>
      <c r="R69" s="69"/>
      <c r="S69" s="69"/>
      <c r="T69" s="69"/>
      <c r="U69" s="69"/>
      <c r="V69" s="69"/>
      <c r="W69" s="69"/>
      <c r="X69" s="69"/>
      <c r="Y69" s="69"/>
      <c r="Z69" s="69"/>
      <c r="AA69" s="69"/>
      <c r="AB69" s="69"/>
      <c r="AC69" s="69"/>
      <c r="AD69" s="69"/>
      <c r="AE69" s="69"/>
      <c r="AF69" s="69"/>
      <c r="AG69" s="69"/>
    </row>
    <row r="70" spans="1:33" ht="12.75">
      <c r="B70" s="283"/>
      <c r="C70" s="5"/>
      <c r="D70" s="5"/>
      <c r="E70" s="5"/>
      <c r="F70" s="5"/>
      <c r="G70" s="5"/>
      <c r="H70" s="5"/>
      <c r="I70" s="3"/>
      <c r="J70" s="6"/>
      <c r="K70" s="69"/>
      <c r="L70" s="69"/>
      <c r="M70" s="69"/>
      <c r="N70" s="69"/>
      <c r="O70" s="69"/>
      <c r="P70" s="69"/>
      <c r="Q70" s="69"/>
      <c r="R70" s="69"/>
      <c r="S70" s="69"/>
      <c r="T70" s="69"/>
      <c r="U70" s="69"/>
      <c r="V70" s="69"/>
      <c r="W70" s="69"/>
      <c r="X70" s="69"/>
      <c r="Y70" s="69"/>
      <c r="Z70" s="69"/>
      <c r="AA70" s="69"/>
      <c r="AB70" s="69"/>
      <c r="AC70" s="69"/>
      <c r="AD70" s="69"/>
      <c r="AE70" s="69"/>
      <c r="AF70" s="69"/>
      <c r="AG70" s="69"/>
    </row>
    <row r="71" spans="1:33" ht="12.75">
      <c r="B71" s="283"/>
      <c r="C71" s="5"/>
      <c r="D71" s="5"/>
      <c r="E71" s="5"/>
      <c r="F71" s="5"/>
      <c r="G71" s="5"/>
      <c r="H71" s="5"/>
      <c r="I71" s="3"/>
      <c r="J71" s="6"/>
      <c r="K71" s="69"/>
      <c r="L71" s="69"/>
      <c r="M71" s="69"/>
      <c r="N71" s="69"/>
      <c r="O71" s="69"/>
      <c r="P71" s="69"/>
      <c r="Q71" s="69"/>
      <c r="R71" s="69"/>
      <c r="S71" s="69"/>
      <c r="T71" s="69"/>
      <c r="U71" s="69"/>
      <c r="V71" s="69"/>
      <c r="W71" s="69"/>
      <c r="X71" s="69"/>
      <c r="Y71" s="69"/>
      <c r="Z71" s="69"/>
      <c r="AA71" s="69"/>
      <c r="AB71" s="69"/>
      <c r="AC71" s="69"/>
      <c r="AD71" s="69"/>
      <c r="AE71" s="69"/>
      <c r="AF71" s="69"/>
      <c r="AG71" s="69"/>
    </row>
    <row r="72" spans="1:33" ht="12.75">
      <c r="B72" s="283"/>
      <c r="C72" s="5"/>
      <c r="D72" s="5"/>
      <c r="E72" s="5"/>
      <c r="F72" s="5"/>
      <c r="G72" s="5"/>
      <c r="H72" s="5"/>
      <c r="I72" s="3"/>
      <c r="J72" s="6"/>
      <c r="K72" s="69"/>
      <c r="L72" s="69"/>
      <c r="M72" s="69"/>
      <c r="N72" s="69"/>
      <c r="O72" s="69"/>
      <c r="P72" s="69"/>
      <c r="Q72" s="69"/>
      <c r="R72" s="69"/>
      <c r="S72" s="69"/>
      <c r="T72" s="69"/>
      <c r="U72" s="69"/>
      <c r="V72" s="69"/>
      <c r="W72" s="69"/>
      <c r="X72" s="69"/>
      <c r="Y72" s="69"/>
      <c r="Z72" s="69"/>
      <c r="AA72" s="69"/>
      <c r="AB72" s="69"/>
      <c r="AC72" s="69"/>
      <c r="AD72" s="69"/>
      <c r="AE72" s="69"/>
      <c r="AF72" s="69"/>
      <c r="AG72" s="69"/>
    </row>
    <row r="73" spans="1:33" ht="12.75">
      <c r="B73" s="283"/>
      <c r="C73" s="5"/>
      <c r="D73" s="5"/>
      <c r="E73" s="5"/>
      <c r="F73" s="5"/>
      <c r="G73" s="5"/>
      <c r="H73" s="5"/>
      <c r="I73" s="3"/>
      <c r="J73" s="6"/>
      <c r="K73" s="69"/>
      <c r="L73" s="69"/>
      <c r="M73" s="69"/>
      <c r="N73" s="69"/>
      <c r="O73" s="69"/>
      <c r="P73" s="69"/>
      <c r="Q73" s="69"/>
      <c r="R73" s="69"/>
      <c r="S73" s="69"/>
      <c r="T73" s="69"/>
      <c r="U73" s="69"/>
      <c r="V73" s="69"/>
      <c r="W73" s="69"/>
      <c r="X73" s="69"/>
      <c r="Y73" s="69"/>
      <c r="Z73" s="69"/>
      <c r="AA73" s="69"/>
      <c r="AB73" s="69"/>
      <c r="AC73" s="69"/>
      <c r="AD73" s="69"/>
      <c r="AE73" s="69"/>
      <c r="AF73" s="69"/>
      <c r="AG73" s="69"/>
    </row>
    <row r="74" spans="1:33" ht="12.75">
      <c r="B74" s="283"/>
      <c r="C74" s="5"/>
      <c r="D74" s="5"/>
      <c r="E74" s="5"/>
      <c r="F74" s="5"/>
      <c r="G74" s="5"/>
      <c r="H74" s="5"/>
      <c r="I74" s="3"/>
      <c r="J74" s="6"/>
      <c r="K74" s="69"/>
      <c r="L74" s="69"/>
      <c r="M74" s="69"/>
      <c r="N74" s="69"/>
      <c r="O74" s="69"/>
      <c r="P74" s="69"/>
      <c r="Q74" s="69"/>
      <c r="R74" s="69"/>
      <c r="S74" s="69"/>
      <c r="T74" s="69"/>
      <c r="U74" s="69"/>
      <c r="V74" s="69"/>
      <c r="W74" s="69"/>
      <c r="X74" s="69"/>
      <c r="Y74" s="69"/>
      <c r="Z74" s="69"/>
      <c r="AA74" s="69"/>
      <c r="AB74" s="69"/>
      <c r="AC74" s="69"/>
      <c r="AD74" s="69"/>
      <c r="AE74" s="69"/>
      <c r="AF74" s="69"/>
      <c r="AG74" s="69"/>
    </row>
    <row r="75" spans="1:33" ht="12.75">
      <c r="B75" s="283"/>
      <c r="C75" s="5"/>
      <c r="D75" s="5"/>
      <c r="E75" s="5"/>
      <c r="F75" s="5"/>
      <c r="G75" s="5"/>
      <c r="H75" s="5"/>
      <c r="I75" s="3"/>
      <c r="J75" s="6"/>
      <c r="K75" s="69"/>
      <c r="L75" s="69"/>
      <c r="M75" s="69"/>
      <c r="N75" s="69"/>
      <c r="O75" s="69"/>
      <c r="P75" s="69"/>
      <c r="Q75" s="69"/>
      <c r="R75" s="69"/>
      <c r="S75" s="69"/>
      <c r="T75" s="69"/>
      <c r="U75" s="69"/>
      <c r="V75" s="69"/>
      <c r="W75" s="69"/>
      <c r="X75" s="69"/>
      <c r="Y75" s="69"/>
      <c r="Z75" s="69"/>
      <c r="AA75" s="69"/>
      <c r="AB75" s="69"/>
      <c r="AC75" s="69"/>
      <c r="AD75" s="69"/>
      <c r="AE75" s="69"/>
      <c r="AF75" s="69"/>
      <c r="AG75" s="69"/>
    </row>
    <row r="76" spans="1:33" ht="12.75">
      <c r="B76" s="283"/>
      <c r="C76" s="5"/>
      <c r="D76" s="5"/>
      <c r="E76" s="5"/>
      <c r="F76" s="5"/>
      <c r="G76" s="5"/>
      <c r="H76" s="5"/>
      <c r="I76" s="3"/>
      <c r="J76" s="6"/>
      <c r="K76" s="69"/>
      <c r="L76" s="69"/>
      <c r="M76" s="69"/>
      <c r="N76" s="69"/>
      <c r="O76" s="69"/>
      <c r="P76" s="69"/>
      <c r="Q76" s="69"/>
      <c r="R76" s="69"/>
      <c r="S76" s="69"/>
      <c r="T76" s="69"/>
      <c r="U76" s="69"/>
      <c r="V76" s="69"/>
      <c r="W76" s="69"/>
      <c r="X76" s="69"/>
      <c r="Y76" s="69"/>
      <c r="Z76" s="69"/>
      <c r="AA76" s="69"/>
      <c r="AB76" s="69"/>
      <c r="AC76" s="69"/>
      <c r="AD76" s="69"/>
      <c r="AE76" s="69"/>
      <c r="AF76" s="69"/>
      <c r="AG76" s="69"/>
    </row>
    <row r="77" spans="1:33" ht="12.75">
      <c r="B77" s="283"/>
      <c r="C77" s="5"/>
      <c r="D77" s="5"/>
      <c r="E77" s="5"/>
      <c r="F77" s="5"/>
      <c r="G77" s="5"/>
      <c r="H77" s="5"/>
      <c r="I77" s="3"/>
      <c r="J77" s="6"/>
      <c r="K77" s="69"/>
      <c r="L77" s="69"/>
      <c r="M77" s="69"/>
      <c r="N77" s="69"/>
      <c r="O77" s="69"/>
      <c r="P77" s="69"/>
      <c r="Q77" s="69"/>
      <c r="R77" s="69"/>
      <c r="S77" s="69"/>
      <c r="T77" s="69"/>
      <c r="U77" s="69"/>
      <c r="V77" s="69"/>
      <c r="W77" s="69"/>
      <c r="X77" s="69"/>
      <c r="Y77" s="69"/>
      <c r="Z77" s="69"/>
      <c r="AA77" s="69"/>
      <c r="AB77" s="69"/>
      <c r="AC77" s="69"/>
      <c r="AD77" s="69"/>
      <c r="AE77" s="69"/>
      <c r="AF77" s="69"/>
      <c r="AG77" s="69"/>
    </row>
    <row r="78" spans="1:33" ht="12.75">
      <c r="B78" s="283"/>
      <c r="C78" s="5"/>
      <c r="D78" s="5"/>
      <c r="E78" s="5"/>
      <c r="F78" s="5"/>
      <c r="G78" s="5"/>
      <c r="H78" s="5"/>
      <c r="I78" s="3"/>
      <c r="J78" s="6"/>
      <c r="K78" s="69"/>
      <c r="L78" s="69"/>
      <c r="M78" s="69"/>
      <c r="N78" s="69"/>
      <c r="O78" s="69"/>
      <c r="P78" s="69"/>
      <c r="Q78" s="69"/>
      <c r="R78" s="69"/>
      <c r="S78" s="69"/>
      <c r="T78" s="69"/>
      <c r="U78" s="69"/>
      <c r="V78" s="69"/>
      <c r="W78" s="69"/>
      <c r="X78" s="69"/>
      <c r="Y78" s="69"/>
      <c r="Z78" s="69"/>
      <c r="AA78" s="69"/>
      <c r="AB78" s="69"/>
      <c r="AC78" s="69"/>
      <c r="AD78" s="69"/>
      <c r="AE78" s="69"/>
      <c r="AF78" s="69"/>
      <c r="AG78" s="69"/>
    </row>
    <row r="79" spans="1:33" ht="12.75">
      <c r="B79" s="283"/>
      <c r="C79" s="5"/>
      <c r="D79" s="5"/>
      <c r="E79" s="5"/>
      <c r="F79" s="5"/>
      <c r="G79" s="5"/>
      <c r="H79" s="5"/>
      <c r="I79" s="3"/>
      <c r="J79" s="6"/>
      <c r="K79" s="69"/>
      <c r="L79" s="69"/>
      <c r="M79" s="69"/>
      <c r="N79" s="69"/>
      <c r="O79" s="69"/>
      <c r="P79" s="69"/>
      <c r="Q79" s="69"/>
      <c r="R79" s="69"/>
      <c r="S79" s="69"/>
      <c r="T79" s="69"/>
      <c r="U79" s="69"/>
      <c r="V79" s="69"/>
      <c r="W79" s="69"/>
      <c r="X79" s="69"/>
      <c r="Y79" s="69"/>
      <c r="Z79" s="69"/>
      <c r="AA79" s="69"/>
      <c r="AB79" s="69"/>
      <c r="AC79" s="69"/>
      <c r="AD79" s="69"/>
      <c r="AE79" s="69"/>
      <c r="AF79" s="69"/>
      <c r="AG79" s="69"/>
    </row>
    <row r="80" spans="1:33" ht="12.75">
      <c r="B80" s="283"/>
      <c r="C80" s="5"/>
      <c r="D80" s="5"/>
      <c r="E80" s="5"/>
      <c r="F80" s="5"/>
      <c r="G80" s="5"/>
      <c r="H80" s="5"/>
      <c r="I80" s="3"/>
      <c r="J80" s="6"/>
      <c r="K80" s="69"/>
      <c r="L80" s="69"/>
      <c r="M80" s="69"/>
      <c r="N80" s="69"/>
      <c r="O80" s="69"/>
      <c r="P80" s="69"/>
      <c r="Q80" s="69"/>
      <c r="R80" s="69"/>
      <c r="S80" s="69"/>
      <c r="T80" s="69"/>
      <c r="U80" s="69"/>
      <c r="V80" s="69"/>
      <c r="W80" s="69"/>
      <c r="X80" s="69"/>
      <c r="Y80" s="69"/>
      <c r="Z80" s="69"/>
      <c r="AA80" s="69"/>
      <c r="AB80" s="69"/>
      <c r="AC80" s="69"/>
      <c r="AD80" s="69"/>
      <c r="AE80" s="69"/>
      <c r="AF80" s="69"/>
      <c r="AG80" s="69"/>
    </row>
    <row r="81" spans="2:33" ht="12.75">
      <c r="B81" s="283"/>
      <c r="C81" s="5"/>
      <c r="D81" s="5"/>
      <c r="E81" s="5"/>
      <c r="F81" s="5"/>
      <c r="G81" s="5"/>
      <c r="H81" s="5"/>
      <c r="I81" s="3"/>
      <c r="J81" s="6"/>
      <c r="K81" s="69"/>
      <c r="L81" s="69"/>
      <c r="M81" s="69"/>
      <c r="N81" s="69"/>
      <c r="O81" s="69"/>
      <c r="P81" s="69"/>
      <c r="Q81" s="69"/>
      <c r="R81" s="69"/>
      <c r="S81" s="69"/>
      <c r="T81" s="69"/>
      <c r="U81" s="69"/>
      <c r="V81" s="69"/>
      <c r="W81" s="69"/>
      <c r="X81" s="69"/>
      <c r="Y81" s="69"/>
      <c r="Z81" s="69"/>
      <c r="AA81" s="69"/>
      <c r="AB81" s="69"/>
      <c r="AC81" s="69"/>
      <c r="AD81" s="69"/>
      <c r="AE81" s="69"/>
      <c r="AF81" s="69"/>
      <c r="AG81" s="69"/>
    </row>
    <row r="82" spans="2:33" ht="12.75">
      <c r="B82" s="283"/>
      <c r="C82" s="5"/>
      <c r="D82" s="5"/>
      <c r="E82" s="5"/>
      <c r="F82" s="5"/>
      <c r="G82" s="5"/>
      <c r="H82" s="5"/>
      <c r="I82" s="3"/>
      <c r="J82" s="6"/>
      <c r="K82" s="69"/>
      <c r="L82" s="69"/>
      <c r="M82" s="69"/>
      <c r="N82" s="69"/>
      <c r="O82" s="69"/>
      <c r="P82" s="69"/>
      <c r="Q82" s="69"/>
      <c r="R82" s="69"/>
      <c r="S82" s="69"/>
      <c r="T82" s="69"/>
      <c r="U82" s="69"/>
      <c r="V82" s="69"/>
      <c r="W82" s="69"/>
      <c r="X82" s="69"/>
      <c r="Y82" s="69"/>
      <c r="Z82" s="69"/>
      <c r="AA82" s="69"/>
      <c r="AB82" s="69"/>
      <c r="AC82" s="69"/>
      <c r="AD82" s="69"/>
      <c r="AE82" s="69"/>
      <c r="AF82" s="69"/>
      <c r="AG82" s="69"/>
    </row>
    <row r="83" spans="2:33" ht="12.75">
      <c r="B83" s="283"/>
      <c r="C83" s="5"/>
      <c r="D83" s="5"/>
      <c r="E83" s="5"/>
      <c r="F83" s="5"/>
      <c r="G83" s="5"/>
      <c r="H83" s="5"/>
      <c r="I83" s="3"/>
      <c r="J83" s="6"/>
      <c r="K83" s="69"/>
      <c r="L83" s="69"/>
      <c r="M83" s="69"/>
      <c r="N83" s="69"/>
      <c r="O83" s="69"/>
      <c r="P83" s="69"/>
      <c r="Q83" s="69"/>
      <c r="R83" s="69"/>
      <c r="S83" s="69"/>
      <c r="T83" s="69"/>
      <c r="U83" s="69"/>
      <c r="V83" s="69"/>
      <c r="W83" s="69"/>
      <c r="X83" s="69"/>
      <c r="Y83" s="69"/>
      <c r="Z83" s="69"/>
      <c r="AA83" s="69"/>
      <c r="AB83" s="69"/>
      <c r="AC83" s="69"/>
      <c r="AD83" s="69"/>
      <c r="AE83" s="69"/>
      <c r="AF83" s="69"/>
      <c r="AG83" s="69"/>
    </row>
    <row r="84" spans="2:33" ht="12.75">
      <c r="B84" s="283"/>
      <c r="C84" s="5"/>
      <c r="D84" s="5"/>
      <c r="E84" s="5"/>
      <c r="F84" s="5"/>
      <c r="G84" s="5"/>
      <c r="H84" s="5"/>
      <c r="I84" s="3"/>
      <c r="J84" s="6"/>
      <c r="K84" s="69"/>
      <c r="L84" s="69"/>
      <c r="M84" s="69"/>
      <c r="N84" s="69"/>
      <c r="O84" s="69"/>
      <c r="P84" s="69"/>
      <c r="Q84" s="69"/>
      <c r="R84" s="69"/>
      <c r="S84" s="69"/>
      <c r="T84" s="69"/>
      <c r="U84" s="69"/>
      <c r="V84" s="69"/>
      <c r="W84" s="69"/>
      <c r="X84" s="69"/>
      <c r="Y84" s="69"/>
      <c r="Z84" s="69"/>
      <c r="AA84" s="69"/>
      <c r="AB84" s="69"/>
      <c r="AC84" s="69"/>
      <c r="AD84" s="69"/>
      <c r="AE84" s="69"/>
      <c r="AF84" s="69"/>
      <c r="AG84" s="69"/>
    </row>
    <row r="85" spans="2:33" ht="12.75">
      <c r="B85" s="283"/>
      <c r="C85" s="5"/>
      <c r="D85" s="5"/>
      <c r="E85" s="5"/>
      <c r="F85" s="5"/>
      <c r="G85" s="5"/>
      <c r="H85" s="5"/>
      <c r="I85" s="3"/>
      <c r="J85" s="6"/>
      <c r="K85" s="69"/>
      <c r="L85" s="69"/>
      <c r="M85" s="69"/>
      <c r="N85" s="69"/>
      <c r="O85" s="69"/>
      <c r="P85" s="69"/>
      <c r="Q85" s="69"/>
      <c r="R85" s="69"/>
      <c r="S85" s="69"/>
      <c r="T85" s="69"/>
      <c r="U85" s="69"/>
      <c r="V85" s="69"/>
      <c r="W85" s="69"/>
      <c r="X85" s="69"/>
      <c r="Y85" s="69"/>
      <c r="Z85" s="69"/>
      <c r="AA85" s="69"/>
      <c r="AB85" s="69"/>
      <c r="AC85" s="69"/>
      <c r="AD85" s="69"/>
      <c r="AE85" s="69"/>
      <c r="AF85" s="69"/>
      <c r="AG85" s="69"/>
    </row>
    <row r="86" spans="2:33" ht="12.75">
      <c r="B86" s="283"/>
      <c r="C86" s="5"/>
      <c r="D86" s="5"/>
      <c r="E86" s="5"/>
      <c r="F86" s="5"/>
      <c r="G86" s="5"/>
      <c r="H86" s="5"/>
      <c r="I86" s="3"/>
      <c r="J86" s="6"/>
      <c r="K86" s="69"/>
      <c r="L86" s="69"/>
      <c r="M86" s="69"/>
      <c r="N86" s="69"/>
      <c r="O86" s="69"/>
      <c r="P86" s="69"/>
      <c r="Q86" s="69"/>
      <c r="R86" s="69"/>
      <c r="S86" s="69"/>
      <c r="T86" s="69"/>
      <c r="U86" s="69"/>
      <c r="V86" s="69"/>
      <c r="W86" s="69"/>
      <c r="X86" s="69"/>
      <c r="Y86" s="69"/>
      <c r="Z86" s="69"/>
      <c r="AA86" s="69"/>
      <c r="AB86" s="69"/>
      <c r="AC86" s="69"/>
      <c r="AD86" s="69"/>
      <c r="AE86" s="69"/>
      <c r="AF86" s="69"/>
      <c r="AG86" s="69"/>
    </row>
    <row r="87" spans="2:33" ht="12.75">
      <c r="B87" s="283"/>
      <c r="C87" s="5"/>
      <c r="D87" s="5"/>
      <c r="E87" s="5"/>
      <c r="F87" s="5"/>
      <c r="G87" s="5"/>
      <c r="H87" s="5"/>
      <c r="I87" s="3"/>
      <c r="J87" s="6"/>
      <c r="K87" s="69"/>
      <c r="L87" s="69"/>
      <c r="M87" s="69"/>
      <c r="N87" s="69"/>
      <c r="O87" s="69"/>
      <c r="P87" s="69"/>
      <c r="Q87" s="69"/>
      <c r="R87" s="69"/>
      <c r="S87" s="69"/>
      <c r="T87" s="69"/>
      <c r="U87" s="69"/>
      <c r="V87" s="69"/>
      <c r="W87" s="69"/>
      <c r="X87" s="69"/>
      <c r="Y87" s="69"/>
      <c r="Z87" s="69"/>
      <c r="AA87" s="69"/>
      <c r="AB87" s="69"/>
      <c r="AC87" s="69"/>
      <c r="AD87" s="69"/>
      <c r="AE87" s="69"/>
      <c r="AF87" s="69"/>
      <c r="AG87" s="69"/>
    </row>
    <row r="88" spans="2:33" ht="12.75">
      <c r="B88" s="283"/>
      <c r="C88" s="5"/>
      <c r="D88" s="5"/>
      <c r="E88" s="5"/>
      <c r="F88" s="5"/>
      <c r="G88" s="5"/>
      <c r="H88" s="5"/>
      <c r="I88" s="3"/>
      <c r="J88" s="6"/>
      <c r="K88" s="69"/>
      <c r="L88" s="69"/>
      <c r="M88" s="69"/>
      <c r="N88" s="69"/>
      <c r="O88" s="69"/>
      <c r="P88" s="69"/>
      <c r="Q88" s="69"/>
      <c r="R88" s="69"/>
      <c r="S88" s="69"/>
      <c r="T88" s="69"/>
      <c r="U88" s="69"/>
      <c r="V88" s="69"/>
      <c r="W88" s="69"/>
      <c r="X88" s="69"/>
      <c r="Y88" s="69"/>
      <c r="Z88" s="69"/>
      <c r="AA88" s="69"/>
      <c r="AB88" s="69"/>
      <c r="AC88" s="69"/>
      <c r="AD88" s="69"/>
      <c r="AE88" s="69"/>
      <c r="AF88" s="69"/>
      <c r="AG88" s="69"/>
    </row>
    <row r="89" spans="2:33" ht="12.75">
      <c r="B89" s="283"/>
      <c r="C89" s="5"/>
      <c r="D89" s="5"/>
      <c r="E89" s="5"/>
      <c r="F89" s="5"/>
      <c r="G89" s="5"/>
      <c r="H89" s="5"/>
      <c r="I89" s="3"/>
      <c r="J89" s="6"/>
      <c r="K89" s="69"/>
      <c r="L89" s="69"/>
      <c r="M89" s="69"/>
      <c r="N89" s="69"/>
      <c r="O89" s="69"/>
      <c r="P89" s="69"/>
      <c r="Q89" s="69"/>
      <c r="R89" s="69"/>
      <c r="S89" s="69"/>
      <c r="T89" s="69"/>
      <c r="U89" s="69"/>
      <c r="V89" s="69"/>
      <c r="W89" s="69"/>
      <c r="X89" s="69"/>
      <c r="Y89" s="69"/>
      <c r="Z89" s="69"/>
      <c r="AA89" s="69"/>
      <c r="AB89" s="69"/>
      <c r="AC89" s="69"/>
      <c r="AD89" s="69"/>
      <c r="AE89" s="69"/>
      <c r="AF89" s="69"/>
      <c r="AG89" s="69"/>
    </row>
    <row r="90" spans="2:33" ht="12.75">
      <c r="B90" s="283"/>
      <c r="C90" s="5"/>
      <c r="D90" s="5"/>
      <c r="E90" s="5"/>
      <c r="F90" s="5"/>
      <c r="G90" s="5"/>
      <c r="H90" s="5"/>
      <c r="I90" s="3"/>
      <c r="J90" s="6"/>
      <c r="K90" s="69"/>
      <c r="L90" s="69"/>
      <c r="M90" s="69"/>
      <c r="N90" s="69"/>
      <c r="O90" s="69"/>
      <c r="P90" s="69"/>
      <c r="Q90" s="69"/>
      <c r="R90" s="69"/>
      <c r="S90" s="69"/>
      <c r="T90" s="69"/>
      <c r="U90" s="69"/>
      <c r="V90" s="69"/>
      <c r="W90" s="69"/>
      <c r="X90" s="69"/>
      <c r="Y90" s="69"/>
      <c r="Z90" s="69"/>
      <c r="AA90" s="69"/>
      <c r="AB90" s="69"/>
      <c r="AC90" s="69"/>
      <c r="AD90" s="69"/>
      <c r="AE90" s="69"/>
      <c r="AF90" s="69"/>
      <c r="AG90" s="69"/>
    </row>
    <row r="91" spans="2:33" ht="12.75">
      <c r="B91" s="283"/>
      <c r="C91" s="5"/>
      <c r="D91" s="5"/>
      <c r="E91" s="5"/>
      <c r="F91" s="5"/>
      <c r="G91" s="5"/>
      <c r="H91" s="5"/>
      <c r="I91" s="3"/>
      <c r="J91" s="6"/>
      <c r="K91" s="69"/>
      <c r="L91" s="69"/>
      <c r="M91" s="69"/>
      <c r="N91" s="69"/>
      <c r="O91" s="69"/>
      <c r="P91" s="69"/>
      <c r="Q91" s="69"/>
      <c r="R91" s="69"/>
      <c r="S91" s="69"/>
      <c r="T91" s="69"/>
      <c r="U91" s="69"/>
      <c r="V91" s="69"/>
      <c r="W91" s="69"/>
      <c r="X91" s="69"/>
      <c r="Y91" s="69"/>
      <c r="Z91" s="69"/>
      <c r="AA91" s="69"/>
      <c r="AB91" s="69"/>
      <c r="AC91" s="69"/>
      <c r="AD91" s="69"/>
      <c r="AE91" s="69"/>
      <c r="AF91" s="69"/>
      <c r="AG91" s="69"/>
    </row>
    <row r="92" spans="2:33" ht="12.75">
      <c r="B92" s="283"/>
      <c r="C92" s="5"/>
      <c r="D92" s="5"/>
      <c r="E92" s="5"/>
      <c r="F92" s="5"/>
      <c r="G92" s="5"/>
      <c r="H92" s="5"/>
      <c r="I92" s="3"/>
      <c r="J92" s="6"/>
      <c r="K92" s="69"/>
      <c r="L92" s="69"/>
      <c r="M92" s="69"/>
      <c r="N92" s="69"/>
      <c r="O92" s="69"/>
      <c r="P92" s="69"/>
      <c r="Q92" s="69"/>
      <c r="R92" s="69"/>
      <c r="S92" s="69"/>
      <c r="T92" s="69"/>
      <c r="U92" s="69"/>
      <c r="V92" s="69"/>
      <c r="W92" s="69"/>
      <c r="X92" s="69"/>
      <c r="Y92" s="69"/>
      <c r="Z92" s="69"/>
      <c r="AA92" s="69"/>
      <c r="AB92" s="69"/>
      <c r="AC92" s="69"/>
      <c r="AD92" s="69"/>
      <c r="AE92" s="69"/>
      <c r="AF92" s="69"/>
      <c r="AG92" s="69"/>
    </row>
    <row r="93" spans="2:33" ht="12.75">
      <c r="B93" s="283"/>
      <c r="C93" s="5"/>
      <c r="D93" s="5"/>
      <c r="E93" s="5"/>
      <c r="F93" s="5"/>
      <c r="G93" s="5"/>
      <c r="H93" s="5"/>
      <c r="I93" s="3"/>
      <c r="J93" s="6"/>
      <c r="K93" s="69"/>
      <c r="L93" s="69"/>
      <c r="M93" s="69"/>
      <c r="N93" s="69"/>
      <c r="O93" s="69"/>
      <c r="P93" s="69"/>
      <c r="Q93" s="69"/>
      <c r="R93" s="69"/>
      <c r="S93" s="69"/>
      <c r="T93" s="69"/>
      <c r="U93" s="69"/>
      <c r="V93" s="69"/>
      <c r="W93" s="69"/>
      <c r="X93" s="69"/>
      <c r="Y93" s="69"/>
      <c r="Z93" s="69"/>
      <c r="AA93" s="69"/>
      <c r="AB93" s="69"/>
      <c r="AC93" s="69"/>
      <c r="AD93" s="69"/>
      <c r="AE93" s="69"/>
      <c r="AF93" s="69"/>
      <c r="AG93" s="69"/>
    </row>
    <row r="94" spans="2:33" ht="12.75">
      <c r="B94" s="283"/>
      <c r="C94" s="5"/>
      <c r="D94" s="5"/>
      <c r="E94" s="5"/>
      <c r="F94" s="5"/>
      <c r="G94" s="5"/>
      <c r="H94" s="5"/>
      <c r="I94" s="3"/>
      <c r="J94" s="6"/>
      <c r="K94" s="69"/>
      <c r="L94" s="69"/>
      <c r="M94" s="69"/>
      <c r="N94" s="69"/>
      <c r="O94" s="69"/>
      <c r="P94" s="69"/>
      <c r="Q94" s="69"/>
      <c r="R94" s="69"/>
      <c r="S94" s="69"/>
      <c r="T94" s="69"/>
      <c r="U94" s="69"/>
      <c r="V94" s="69"/>
      <c r="W94" s="69"/>
      <c r="X94" s="69"/>
      <c r="Y94" s="69"/>
      <c r="Z94" s="69"/>
      <c r="AA94" s="69"/>
      <c r="AB94" s="69"/>
      <c r="AC94" s="69"/>
      <c r="AD94" s="69"/>
      <c r="AE94" s="69"/>
      <c r="AF94" s="69"/>
      <c r="AG94" s="69"/>
    </row>
    <row r="95" spans="2:33" ht="12.75">
      <c r="B95" s="283"/>
      <c r="C95" s="5"/>
      <c r="D95" s="5"/>
      <c r="E95" s="5"/>
      <c r="F95" s="5"/>
      <c r="G95" s="5"/>
      <c r="H95" s="5"/>
      <c r="I95" s="3"/>
      <c r="J95" s="6"/>
      <c r="K95" s="69"/>
      <c r="L95" s="69"/>
      <c r="M95" s="69"/>
      <c r="N95" s="69"/>
      <c r="O95" s="69"/>
      <c r="P95" s="69"/>
      <c r="Q95" s="69"/>
      <c r="R95" s="69"/>
      <c r="S95" s="69"/>
      <c r="T95" s="69"/>
      <c r="U95" s="69"/>
      <c r="V95" s="69"/>
      <c r="W95" s="69"/>
      <c r="X95" s="69"/>
      <c r="Y95" s="69"/>
      <c r="Z95" s="69"/>
      <c r="AA95" s="69"/>
      <c r="AB95" s="69"/>
      <c r="AC95" s="69"/>
      <c r="AD95" s="69"/>
      <c r="AE95" s="69"/>
      <c r="AF95" s="69"/>
      <c r="AG95" s="69"/>
    </row>
    <row r="96" spans="2:33" ht="12.75">
      <c r="B96" s="283"/>
      <c r="C96" s="5"/>
      <c r="D96" s="5"/>
      <c r="E96" s="5"/>
      <c r="F96" s="5"/>
      <c r="G96" s="5"/>
      <c r="H96" s="5"/>
      <c r="I96" s="3"/>
      <c r="J96" s="6"/>
      <c r="K96" s="69"/>
      <c r="L96" s="69"/>
      <c r="M96" s="69"/>
      <c r="N96" s="69"/>
      <c r="O96" s="69"/>
      <c r="P96" s="69"/>
      <c r="Q96" s="69"/>
      <c r="R96" s="69"/>
      <c r="S96" s="69"/>
      <c r="T96" s="69"/>
      <c r="U96" s="69"/>
      <c r="V96" s="69"/>
      <c r="W96" s="69"/>
      <c r="X96" s="69"/>
      <c r="Y96" s="69"/>
      <c r="Z96" s="69"/>
      <c r="AA96" s="69"/>
      <c r="AB96" s="69"/>
      <c r="AC96" s="69"/>
      <c r="AD96" s="69"/>
      <c r="AE96" s="69"/>
      <c r="AF96" s="69"/>
      <c r="AG96" s="69"/>
    </row>
    <row r="97" spans="2:33" ht="12.75">
      <c r="B97" s="283"/>
      <c r="C97" s="5"/>
      <c r="D97" s="5"/>
      <c r="E97" s="5"/>
      <c r="F97" s="5"/>
      <c r="G97" s="5"/>
      <c r="H97" s="5"/>
      <c r="I97" s="3"/>
      <c r="J97" s="6"/>
      <c r="K97" s="69"/>
      <c r="L97" s="69"/>
      <c r="M97" s="69"/>
      <c r="N97" s="69"/>
      <c r="O97" s="69"/>
      <c r="P97" s="69"/>
      <c r="Q97" s="69"/>
      <c r="R97" s="69"/>
      <c r="S97" s="69"/>
      <c r="T97" s="69"/>
      <c r="U97" s="69"/>
      <c r="V97" s="69"/>
      <c r="W97" s="69"/>
      <c r="X97" s="69"/>
      <c r="Y97" s="69"/>
      <c r="Z97" s="69"/>
      <c r="AA97" s="69"/>
      <c r="AB97" s="69"/>
      <c r="AC97" s="69"/>
      <c r="AD97" s="69"/>
      <c r="AE97" s="69"/>
      <c r="AF97" s="69"/>
      <c r="AG97" s="69"/>
    </row>
    <row r="98" spans="2:33" ht="12.75">
      <c r="B98" s="283"/>
      <c r="C98" s="5"/>
      <c r="D98" s="5"/>
      <c r="E98" s="5"/>
      <c r="F98" s="5"/>
      <c r="G98" s="5"/>
      <c r="H98" s="5"/>
      <c r="I98" s="3"/>
      <c r="J98" s="6"/>
      <c r="K98" s="69"/>
      <c r="L98" s="69"/>
      <c r="M98" s="69"/>
      <c r="N98" s="69"/>
      <c r="O98" s="69"/>
      <c r="P98" s="69"/>
      <c r="Q98" s="69"/>
      <c r="R98" s="69"/>
      <c r="S98" s="69"/>
      <c r="T98" s="69"/>
      <c r="U98" s="69"/>
      <c r="V98" s="69"/>
      <c r="W98" s="69"/>
      <c r="X98" s="69"/>
      <c r="Y98" s="69"/>
      <c r="Z98" s="69"/>
      <c r="AA98" s="69"/>
      <c r="AB98" s="69"/>
      <c r="AC98" s="69"/>
      <c r="AD98" s="69"/>
      <c r="AE98" s="69"/>
      <c r="AF98" s="69"/>
      <c r="AG98" s="69"/>
    </row>
    <row r="99" spans="2:33" ht="12.75">
      <c r="B99" s="283"/>
      <c r="C99" s="5"/>
      <c r="D99" s="5"/>
      <c r="E99" s="5"/>
      <c r="F99" s="5"/>
      <c r="G99" s="5"/>
      <c r="H99" s="5"/>
      <c r="I99" s="3"/>
      <c r="J99" s="6"/>
      <c r="K99" s="69"/>
      <c r="L99" s="69"/>
      <c r="M99" s="69"/>
      <c r="N99" s="69"/>
      <c r="O99" s="69"/>
      <c r="P99" s="69"/>
      <c r="Q99" s="69"/>
      <c r="R99" s="69"/>
      <c r="S99" s="69"/>
      <c r="T99" s="69"/>
      <c r="U99" s="69"/>
      <c r="V99" s="69"/>
      <c r="W99" s="69"/>
      <c r="X99" s="69"/>
      <c r="Y99" s="69"/>
      <c r="Z99" s="69"/>
      <c r="AA99" s="69"/>
      <c r="AB99" s="69"/>
      <c r="AC99" s="69"/>
      <c r="AD99" s="69"/>
      <c r="AE99" s="69"/>
      <c r="AF99" s="69"/>
      <c r="AG99" s="69"/>
    </row>
    <row r="100" spans="2:33" ht="12.75">
      <c r="B100" s="283"/>
      <c r="C100" s="5"/>
      <c r="D100" s="5"/>
      <c r="E100" s="5"/>
      <c r="F100" s="5"/>
      <c r="G100" s="5"/>
      <c r="H100" s="5"/>
      <c r="I100" s="3"/>
      <c r="J100" s="6"/>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row>
    <row r="101" spans="2:33" ht="12.75">
      <c r="B101" s="283"/>
      <c r="C101" s="5"/>
      <c r="D101" s="5"/>
      <c r="E101" s="5"/>
      <c r="F101" s="5"/>
      <c r="G101" s="5"/>
      <c r="H101" s="5"/>
      <c r="I101" s="3"/>
      <c r="J101" s="6"/>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row>
    <row r="102" spans="2:33" ht="12.75">
      <c r="B102" s="283"/>
      <c r="C102" s="5"/>
      <c r="D102" s="5"/>
      <c r="E102" s="5"/>
      <c r="F102" s="5"/>
      <c r="G102" s="5"/>
      <c r="H102" s="5"/>
      <c r="I102" s="3"/>
      <c r="J102" s="6"/>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row>
    <row r="103" spans="2:33" ht="12.75">
      <c r="B103" s="283"/>
      <c r="C103" s="5"/>
      <c r="D103" s="5"/>
      <c r="E103" s="5"/>
      <c r="F103" s="5"/>
      <c r="G103" s="5"/>
      <c r="H103" s="5"/>
      <c r="I103" s="3"/>
      <c r="J103" s="6"/>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row>
    <row r="104" spans="2:33" ht="12.75">
      <c r="B104" s="283"/>
      <c r="C104" s="5"/>
      <c r="D104" s="5"/>
      <c r="E104" s="5"/>
      <c r="F104" s="5"/>
      <c r="G104" s="5"/>
      <c r="H104" s="5"/>
      <c r="I104" s="3"/>
      <c r="J104" s="6"/>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row>
    <row r="105" spans="2:33" ht="12.75">
      <c r="B105" s="283"/>
      <c r="C105" s="5"/>
      <c r="D105" s="5"/>
      <c r="E105" s="5"/>
      <c r="F105" s="5"/>
      <c r="G105" s="5"/>
      <c r="H105" s="5"/>
      <c r="I105" s="3"/>
      <c r="J105" s="6"/>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row>
    <row r="106" spans="2:33" ht="12.75">
      <c r="B106" s="283"/>
      <c r="C106" s="5"/>
      <c r="D106" s="5"/>
      <c r="E106" s="5"/>
      <c r="F106" s="5"/>
      <c r="G106" s="5"/>
      <c r="H106" s="5"/>
      <c r="I106" s="3"/>
      <c r="J106" s="6"/>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row>
    <row r="107" spans="2:33" ht="12.75">
      <c r="B107" s="283"/>
      <c r="C107" s="5"/>
      <c r="D107" s="5"/>
      <c r="E107" s="5"/>
      <c r="F107" s="5"/>
      <c r="G107" s="5"/>
      <c r="H107" s="5"/>
      <c r="I107" s="3"/>
      <c r="J107" s="6"/>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row>
    <row r="108" spans="2:33" ht="12.75">
      <c r="B108" s="283"/>
      <c r="C108" s="5"/>
      <c r="D108" s="5"/>
      <c r="E108" s="5"/>
      <c r="F108" s="5"/>
      <c r="G108" s="5"/>
      <c r="H108" s="5"/>
      <c r="I108" s="3"/>
      <c r="J108" s="6"/>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row>
    <row r="109" spans="2:33" ht="12.75">
      <c r="B109" s="283"/>
      <c r="C109" s="5"/>
      <c r="D109" s="5"/>
      <c r="E109" s="5"/>
      <c r="F109" s="5"/>
      <c r="G109" s="5"/>
      <c r="H109" s="5"/>
      <c r="I109" s="3"/>
      <c r="J109" s="6"/>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row>
    <row r="110" spans="2:33" ht="12.75">
      <c r="B110" s="283"/>
      <c r="C110" s="5"/>
      <c r="D110" s="5"/>
      <c r="E110" s="5"/>
      <c r="F110" s="5"/>
      <c r="G110" s="5"/>
      <c r="H110" s="5"/>
      <c r="I110" s="3"/>
      <c r="J110" s="6"/>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row>
    <row r="111" spans="2:33" ht="12.75">
      <c r="B111" s="283"/>
      <c r="C111" s="5"/>
      <c r="D111" s="5"/>
      <c r="E111" s="5"/>
      <c r="F111" s="5"/>
      <c r="G111" s="5"/>
      <c r="H111" s="5"/>
      <c r="I111" s="3"/>
      <c r="J111" s="6"/>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row>
    <row r="112" spans="2:33" ht="12.75">
      <c r="B112" s="283"/>
      <c r="C112" s="5"/>
      <c r="D112" s="5"/>
      <c r="E112" s="5"/>
      <c r="F112" s="5"/>
      <c r="G112" s="5"/>
      <c r="H112" s="5"/>
      <c r="I112" s="3"/>
      <c r="J112" s="6"/>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row>
    <row r="113" spans="2:33" ht="12.75">
      <c r="B113" s="283"/>
      <c r="C113" s="5"/>
      <c r="D113" s="5"/>
      <c r="E113" s="5"/>
      <c r="F113" s="5"/>
      <c r="G113" s="5"/>
      <c r="H113" s="5"/>
      <c r="I113" s="3"/>
      <c r="J113" s="6"/>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row>
    <row r="114" spans="2:33" ht="12.75">
      <c r="B114" s="283"/>
      <c r="C114" s="5"/>
      <c r="D114" s="5"/>
      <c r="E114" s="5"/>
      <c r="F114" s="5"/>
      <c r="G114" s="5"/>
      <c r="H114" s="5"/>
      <c r="I114" s="3"/>
      <c r="J114" s="6"/>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row>
    <row r="115" spans="2:33" ht="12.75">
      <c r="B115" s="283"/>
      <c r="C115" s="5"/>
      <c r="D115" s="5"/>
      <c r="E115" s="5"/>
      <c r="F115" s="5"/>
      <c r="G115" s="5"/>
      <c r="H115" s="5"/>
      <c r="I115" s="3"/>
      <c r="J115" s="6"/>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row>
    <row r="116" spans="2:33" ht="12.75">
      <c r="B116" s="283"/>
      <c r="C116" s="5"/>
      <c r="D116" s="5"/>
      <c r="E116" s="5"/>
      <c r="F116" s="5"/>
      <c r="G116" s="5"/>
      <c r="H116" s="5"/>
      <c r="I116" s="3"/>
      <c r="J116" s="6"/>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row>
    <row r="117" spans="2:33" ht="12.75">
      <c r="B117" s="283"/>
      <c r="C117" s="5"/>
      <c r="D117" s="5"/>
      <c r="E117" s="5"/>
      <c r="F117" s="5"/>
      <c r="G117" s="5"/>
      <c r="H117" s="5"/>
      <c r="I117" s="3"/>
      <c r="J117" s="6"/>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row>
    <row r="118" spans="2:33" ht="12.75">
      <c r="B118" s="283"/>
      <c r="C118" s="5"/>
      <c r="D118" s="5"/>
      <c r="E118" s="5"/>
      <c r="F118" s="5"/>
      <c r="G118" s="5"/>
      <c r="H118" s="5"/>
      <c r="I118" s="3"/>
      <c r="J118" s="6"/>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row>
    <row r="119" spans="2:33" ht="12.75">
      <c r="B119" s="283"/>
      <c r="C119" s="5"/>
      <c r="D119" s="5"/>
      <c r="E119" s="5"/>
      <c r="F119" s="5"/>
      <c r="G119" s="5"/>
      <c r="H119" s="5"/>
      <c r="I119" s="3"/>
      <c r="J119" s="6"/>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row>
    <row r="120" spans="2:33" ht="12.75">
      <c r="B120" s="283"/>
      <c r="C120" s="5"/>
      <c r="D120" s="5"/>
      <c r="E120" s="5"/>
      <c r="F120" s="5"/>
      <c r="G120" s="5"/>
      <c r="H120" s="5"/>
      <c r="I120" s="3"/>
      <c r="J120" s="6"/>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row>
    <row r="121" spans="2:33" ht="12.75">
      <c r="B121" s="283"/>
      <c r="C121" s="5"/>
      <c r="D121" s="5"/>
      <c r="E121" s="5"/>
      <c r="F121" s="5"/>
      <c r="G121" s="5"/>
      <c r="H121" s="5"/>
      <c r="I121" s="3"/>
      <c r="J121" s="6"/>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row>
    <row r="122" spans="2:33" ht="12.75">
      <c r="B122" s="283"/>
      <c r="C122" s="5"/>
      <c r="D122" s="5"/>
      <c r="E122" s="5"/>
      <c r="F122" s="5"/>
      <c r="G122" s="5"/>
      <c r="H122" s="5"/>
      <c r="I122" s="3"/>
      <c r="J122" s="6"/>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row>
    <row r="123" spans="2:33" ht="12.75">
      <c r="B123" s="283"/>
      <c r="C123" s="5"/>
      <c r="D123" s="5"/>
      <c r="E123" s="5"/>
      <c r="F123" s="5"/>
      <c r="G123" s="5"/>
      <c r="H123" s="5"/>
      <c r="I123" s="3"/>
      <c r="J123" s="6"/>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row>
    <row r="124" spans="2:33" ht="12.75">
      <c r="B124" s="283"/>
      <c r="C124" s="5"/>
      <c r="D124" s="5"/>
      <c r="E124" s="5"/>
      <c r="F124" s="5"/>
      <c r="G124" s="5"/>
      <c r="H124" s="5"/>
      <c r="I124" s="3"/>
      <c r="J124" s="6"/>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row>
    <row r="125" spans="2:33" ht="12.75">
      <c r="B125" s="283"/>
      <c r="C125" s="5"/>
      <c r="D125" s="5"/>
      <c r="E125" s="5"/>
      <c r="F125" s="5"/>
      <c r="G125" s="5"/>
      <c r="H125" s="5"/>
      <c r="I125" s="3"/>
      <c r="J125" s="6"/>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row>
    <row r="126" spans="2:33" ht="12.75">
      <c r="B126" s="283"/>
      <c r="C126" s="5"/>
      <c r="D126" s="5"/>
      <c r="E126" s="5"/>
      <c r="F126" s="5"/>
      <c r="G126" s="5"/>
      <c r="H126" s="5"/>
      <c r="I126" s="3"/>
      <c r="J126" s="6"/>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row>
    <row r="127" spans="2:33" ht="12.75">
      <c r="B127" s="283"/>
      <c r="C127" s="5"/>
      <c r="D127" s="5"/>
      <c r="E127" s="5"/>
      <c r="F127" s="5"/>
      <c r="G127" s="5"/>
      <c r="H127" s="5"/>
      <c r="I127" s="3"/>
      <c r="J127" s="6"/>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row>
    <row r="128" spans="2:33" ht="12.75">
      <c r="B128" s="283"/>
      <c r="C128" s="5"/>
      <c r="D128" s="5"/>
      <c r="E128" s="5"/>
      <c r="F128" s="5"/>
      <c r="G128" s="5"/>
      <c r="H128" s="5"/>
      <c r="I128" s="3"/>
      <c r="J128" s="6"/>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row>
    <row r="129" spans="2:33" ht="12.75">
      <c r="B129" s="283"/>
      <c r="C129" s="5"/>
      <c r="D129" s="5"/>
      <c r="E129" s="5"/>
      <c r="F129" s="5"/>
      <c r="G129" s="5"/>
      <c r="H129" s="5"/>
      <c r="I129" s="3"/>
      <c r="J129" s="6"/>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row>
    <row r="130" spans="2:33" ht="12.75">
      <c r="B130" s="283"/>
      <c r="C130" s="5"/>
      <c r="D130" s="5"/>
      <c r="E130" s="5"/>
      <c r="F130" s="5"/>
      <c r="G130" s="5"/>
      <c r="H130" s="5"/>
      <c r="I130" s="3"/>
      <c r="J130" s="6"/>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row>
    <row r="131" spans="2:33" ht="12.75">
      <c r="B131" s="283"/>
      <c r="C131" s="5"/>
      <c r="D131" s="5"/>
      <c r="E131" s="5"/>
      <c r="F131" s="5"/>
      <c r="G131" s="5"/>
      <c r="H131" s="5"/>
      <c r="I131" s="3"/>
      <c r="J131" s="6"/>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row>
    <row r="132" spans="2:33" ht="12.75">
      <c r="B132" s="283"/>
      <c r="C132" s="5"/>
      <c r="D132" s="5"/>
      <c r="E132" s="5"/>
      <c r="F132" s="5"/>
      <c r="G132" s="5"/>
      <c r="H132" s="5"/>
      <c r="I132" s="3"/>
      <c r="J132" s="6"/>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row>
    <row r="133" spans="2:33" ht="12.75">
      <c r="B133" s="283"/>
      <c r="C133" s="5"/>
      <c r="D133" s="5"/>
      <c r="E133" s="5"/>
      <c r="F133" s="5"/>
      <c r="G133" s="5"/>
      <c r="H133" s="5"/>
      <c r="I133" s="3"/>
      <c r="J133" s="6"/>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row>
    <row r="134" spans="2:33" ht="12.75">
      <c r="B134" s="283"/>
      <c r="C134" s="5"/>
      <c r="D134" s="5"/>
      <c r="E134" s="5"/>
      <c r="F134" s="5"/>
      <c r="G134" s="5"/>
      <c r="H134" s="5"/>
      <c r="I134" s="3"/>
      <c r="J134" s="6"/>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row>
    <row r="135" spans="2:33" ht="12.75">
      <c r="B135" s="283"/>
      <c r="C135" s="5"/>
      <c r="D135" s="5"/>
      <c r="E135" s="5"/>
      <c r="F135" s="5"/>
      <c r="G135" s="5"/>
      <c r="H135" s="5"/>
      <c r="I135" s="3"/>
      <c r="J135" s="6"/>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row>
    <row r="136" spans="2:33" ht="12.75">
      <c r="B136" s="283"/>
      <c r="C136" s="5"/>
      <c r="D136" s="5"/>
      <c r="E136" s="5"/>
      <c r="F136" s="5"/>
      <c r="G136" s="5"/>
      <c r="H136" s="5"/>
      <c r="I136" s="3"/>
      <c r="J136" s="6"/>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row>
    <row r="137" spans="2:33" ht="12.75">
      <c r="B137" s="283"/>
      <c r="C137" s="5"/>
      <c r="D137" s="5"/>
      <c r="E137" s="5"/>
      <c r="F137" s="5"/>
      <c r="G137" s="5"/>
      <c r="H137" s="5"/>
      <c r="I137" s="3"/>
      <c r="J137" s="6"/>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row>
    <row r="138" spans="2:33" ht="12.75">
      <c r="B138" s="283"/>
      <c r="C138" s="5"/>
      <c r="D138" s="5"/>
      <c r="E138" s="5"/>
      <c r="F138" s="5"/>
      <c r="G138" s="5"/>
      <c r="H138" s="5"/>
      <c r="I138" s="3"/>
      <c r="J138" s="6"/>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row>
    <row r="139" spans="2:33" ht="12.75">
      <c r="B139" s="283"/>
      <c r="C139" s="5"/>
      <c r="D139" s="5"/>
      <c r="E139" s="5"/>
      <c r="F139" s="5"/>
      <c r="G139" s="5"/>
      <c r="H139" s="5"/>
      <c r="I139" s="3"/>
      <c r="J139" s="6"/>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row>
    <row r="140" spans="2:33" ht="12.75">
      <c r="B140" s="283"/>
      <c r="C140" s="5"/>
      <c r="D140" s="5"/>
      <c r="E140" s="5"/>
      <c r="F140" s="5"/>
      <c r="G140" s="5"/>
      <c r="H140" s="5"/>
      <c r="I140" s="3"/>
      <c r="J140" s="6"/>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row>
    <row r="141" spans="2:33" ht="12.75">
      <c r="B141" s="283"/>
      <c r="C141" s="5"/>
      <c r="D141" s="5"/>
      <c r="E141" s="5"/>
      <c r="F141" s="5"/>
      <c r="G141" s="5"/>
      <c r="H141" s="5"/>
      <c r="I141" s="3"/>
      <c r="J141" s="6"/>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row>
    <row r="142" spans="2:33" ht="12.75">
      <c r="B142" s="283"/>
      <c r="C142" s="5"/>
      <c r="D142" s="5"/>
      <c r="E142" s="5"/>
      <c r="F142" s="5"/>
      <c r="G142" s="5"/>
      <c r="H142" s="5"/>
      <c r="I142" s="3"/>
      <c r="J142" s="6"/>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row>
    <row r="143" spans="2:33" ht="12.75">
      <c r="B143" s="283"/>
      <c r="C143" s="5"/>
      <c r="D143" s="5"/>
      <c r="E143" s="5"/>
      <c r="F143" s="5"/>
      <c r="G143" s="5"/>
      <c r="H143" s="5"/>
      <c r="I143" s="3"/>
      <c r="J143" s="6"/>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row>
    <row r="144" spans="2:33" ht="12.75">
      <c r="B144" s="283"/>
      <c r="C144" s="5"/>
      <c r="D144" s="5"/>
      <c r="E144" s="5"/>
      <c r="F144" s="5"/>
      <c r="G144" s="5"/>
      <c r="H144" s="5"/>
      <c r="I144" s="3"/>
      <c r="J144" s="6"/>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row>
    <row r="145" spans="2:33" ht="12.75">
      <c r="B145" s="283"/>
      <c r="C145" s="5"/>
      <c r="D145" s="5"/>
      <c r="E145" s="5"/>
      <c r="F145" s="5"/>
      <c r="G145" s="5"/>
      <c r="H145" s="5"/>
      <c r="I145" s="3"/>
      <c r="J145" s="6"/>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row>
    <row r="146" spans="2:33" ht="12.75">
      <c r="B146" s="283"/>
      <c r="C146" s="5"/>
      <c r="D146" s="5"/>
      <c r="E146" s="5"/>
      <c r="F146" s="5"/>
      <c r="G146" s="5"/>
      <c r="H146" s="5"/>
      <c r="I146" s="3"/>
      <c r="J146" s="6"/>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row>
    <row r="147" spans="2:33" ht="12.75">
      <c r="B147" s="283"/>
      <c r="C147" s="5"/>
      <c r="D147" s="5"/>
      <c r="E147" s="5"/>
      <c r="F147" s="5"/>
      <c r="G147" s="5"/>
      <c r="H147" s="5"/>
      <c r="I147" s="3"/>
      <c r="J147" s="6"/>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row>
    <row r="148" spans="2:33" ht="12.75">
      <c r="B148" s="283"/>
      <c r="C148" s="5"/>
      <c r="D148" s="5"/>
      <c r="E148" s="5"/>
      <c r="F148" s="5"/>
      <c r="G148" s="5"/>
      <c r="H148" s="5"/>
      <c r="I148" s="3"/>
      <c r="J148" s="6"/>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row>
    <row r="149" spans="2:33" ht="12.75">
      <c r="B149" s="283"/>
      <c r="C149" s="5"/>
      <c r="D149" s="5"/>
      <c r="E149" s="5"/>
      <c r="F149" s="5"/>
      <c r="G149" s="5"/>
      <c r="H149" s="5"/>
      <c r="I149" s="3"/>
      <c r="J149" s="6"/>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row>
    <row r="150" spans="2:33" ht="12.75">
      <c r="B150" s="283"/>
      <c r="C150" s="5"/>
      <c r="D150" s="5"/>
      <c r="E150" s="5"/>
      <c r="F150" s="5"/>
      <c r="G150" s="5"/>
      <c r="H150" s="5"/>
      <c r="I150" s="3"/>
      <c r="J150" s="6"/>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row>
    <row r="151" spans="2:33" ht="12.75">
      <c r="B151" s="283"/>
      <c r="C151" s="5"/>
      <c r="D151" s="5"/>
      <c r="E151" s="5"/>
      <c r="F151" s="5"/>
      <c r="G151" s="5"/>
      <c r="H151" s="5"/>
      <c r="I151" s="3"/>
      <c r="J151" s="6"/>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row>
    <row r="152" spans="2:33" ht="12.75">
      <c r="B152" s="283"/>
      <c r="C152" s="5"/>
      <c r="D152" s="5"/>
      <c r="E152" s="5"/>
      <c r="F152" s="5"/>
      <c r="G152" s="5"/>
      <c r="H152" s="5"/>
      <c r="I152" s="3"/>
      <c r="J152" s="6"/>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row>
    <row r="153" spans="2:33" ht="12.75">
      <c r="B153" s="283"/>
      <c r="C153" s="5"/>
      <c r="D153" s="5"/>
      <c r="E153" s="5"/>
      <c r="F153" s="5"/>
      <c r="G153" s="5"/>
      <c r="H153" s="5"/>
      <c r="I153" s="3"/>
      <c r="J153" s="6"/>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row>
    <row r="154" spans="2:33" ht="12.75">
      <c r="B154" s="283"/>
      <c r="C154" s="5"/>
      <c r="D154" s="5"/>
      <c r="E154" s="5"/>
      <c r="F154" s="5"/>
      <c r="G154" s="5"/>
      <c r="H154" s="5"/>
      <c r="I154" s="3"/>
      <c r="J154" s="6"/>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row>
    <row r="155" spans="2:33" ht="12.75">
      <c r="B155" s="283"/>
      <c r="C155" s="5"/>
      <c r="D155" s="5"/>
      <c r="E155" s="5"/>
      <c r="F155" s="5"/>
      <c r="G155" s="5"/>
      <c r="H155" s="5"/>
      <c r="I155" s="3"/>
      <c r="J155" s="6"/>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row>
    <row r="156" spans="2:33" ht="12.75">
      <c r="B156" s="283"/>
      <c r="C156" s="5"/>
      <c r="D156" s="5"/>
      <c r="E156" s="5"/>
      <c r="F156" s="5"/>
      <c r="G156" s="5"/>
      <c r="H156" s="5"/>
      <c r="I156" s="3"/>
      <c r="J156" s="6"/>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row>
    <row r="157" spans="2:33" ht="12.75">
      <c r="B157" s="283"/>
      <c r="C157" s="5"/>
      <c r="D157" s="5"/>
      <c r="E157" s="5"/>
      <c r="F157" s="5"/>
      <c r="G157" s="5"/>
      <c r="H157" s="5"/>
      <c r="I157" s="3"/>
      <c r="J157" s="6"/>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row>
    <row r="158" spans="2:33" ht="12.75">
      <c r="B158" s="283"/>
      <c r="C158" s="5"/>
      <c r="D158" s="5"/>
      <c r="E158" s="5"/>
      <c r="F158" s="5"/>
      <c r="G158" s="5"/>
      <c r="H158" s="5"/>
      <c r="I158" s="3"/>
      <c r="J158" s="6"/>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row>
    <row r="159" spans="2:33" ht="12.75">
      <c r="B159" s="283"/>
      <c r="C159" s="5"/>
      <c r="D159" s="5"/>
      <c r="E159" s="5"/>
      <c r="F159" s="5"/>
      <c r="G159" s="5"/>
      <c r="H159" s="5"/>
      <c r="I159" s="3"/>
      <c r="J159" s="6"/>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row>
    <row r="160" spans="2:33" ht="12.75">
      <c r="B160" s="283"/>
      <c r="C160" s="5"/>
      <c r="D160" s="5"/>
      <c r="E160" s="5"/>
      <c r="F160" s="5"/>
      <c r="G160" s="5"/>
      <c r="H160" s="5"/>
      <c r="I160" s="3"/>
      <c r="J160" s="6"/>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row>
    <row r="161" spans="2:33" ht="12.75">
      <c r="B161" s="283"/>
      <c r="C161" s="5"/>
      <c r="D161" s="5"/>
      <c r="E161" s="5"/>
      <c r="F161" s="5"/>
      <c r="G161" s="5"/>
      <c r="H161" s="5"/>
      <c r="I161" s="3"/>
      <c r="J161" s="6"/>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row>
    <row r="162" spans="2:33" ht="12.75">
      <c r="B162" s="283"/>
      <c r="C162" s="5"/>
      <c r="D162" s="5"/>
      <c r="E162" s="5"/>
      <c r="F162" s="5"/>
      <c r="G162" s="5"/>
      <c r="H162" s="5"/>
      <c r="I162" s="3"/>
      <c r="J162" s="6"/>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row>
    <row r="163" spans="2:33" ht="12.75">
      <c r="B163" s="283"/>
      <c r="C163" s="5"/>
      <c r="D163" s="5"/>
      <c r="E163" s="5"/>
      <c r="F163" s="5"/>
      <c r="G163" s="5"/>
      <c r="H163" s="5"/>
      <c r="I163" s="3"/>
      <c r="J163" s="6"/>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row>
    <row r="164" spans="2:33" ht="12.75">
      <c r="B164" s="283"/>
      <c r="C164" s="5"/>
      <c r="D164" s="5"/>
      <c r="E164" s="5"/>
      <c r="F164" s="5"/>
      <c r="G164" s="5"/>
      <c r="H164" s="5"/>
      <c r="I164" s="3"/>
      <c r="J164" s="6"/>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row>
    <row r="165" spans="2:33" ht="12.75">
      <c r="B165" s="283"/>
      <c r="C165" s="5"/>
      <c r="D165" s="5"/>
      <c r="E165" s="5"/>
      <c r="F165" s="5"/>
      <c r="G165" s="5"/>
      <c r="H165" s="5"/>
      <c r="I165" s="3"/>
      <c r="J165" s="6"/>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row>
    <row r="166" spans="2:33" ht="12.75">
      <c r="B166" s="283"/>
      <c r="C166" s="5"/>
      <c r="D166" s="5"/>
      <c r="E166" s="5"/>
      <c r="F166" s="5"/>
      <c r="G166" s="5"/>
      <c r="H166" s="5"/>
      <c r="I166" s="3"/>
      <c r="J166" s="6"/>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row>
    <row r="167" spans="2:33" ht="12.75">
      <c r="B167" s="283"/>
      <c r="C167" s="5"/>
      <c r="D167" s="5"/>
      <c r="E167" s="5"/>
      <c r="F167" s="5"/>
      <c r="G167" s="5"/>
      <c r="H167" s="5"/>
      <c r="I167" s="3"/>
      <c r="J167" s="6"/>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row>
    <row r="168" spans="2:33" ht="12.75">
      <c r="B168" s="283"/>
      <c r="C168" s="5"/>
      <c r="D168" s="5"/>
      <c r="E168" s="5"/>
      <c r="F168" s="5"/>
      <c r="G168" s="5"/>
      <c r="H168" s="5"/>
      <c r="I168" s="3"/>
      <c r="J168" s="6"/>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row>
    <row r="169" spans="2:33" ht="12.75">
      <c r="B169" s="283"/>
      <c r="C169" s="5"/>
      <c r="D169" s="5"/>
      <c r="E169" s="5"/>
      <c r="F169" s="5"/>
      <c r="G169" s="5"/>
      <c r="H169" s="5"/>
      <c r="I169" s="3"/>
      <c r="J169" s="6"/>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row>
    <row r="170" spans="2:33" ht="12.75">
      <c r="B170" s="283"/>
      <c r="C170" s="5"/>
      <c r="D170" s="5"/>
      <c r="E170" s="5"/>
      <c r="F170" s="5"/>
      <c r="G170" s="5"/>
      <c r="H170" s="5"/>
      <c r="I170" s="3"/>
      <c r="J170" s="6"/>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row>
    <row r="171" spans="2:33" ht="12.75">
      <c r="B171" s="283"/>
      <c r="C171" s="5"/>
      <c r="D171" s="5"/>
      <c r="E171" s="5"/>
      <c r="F171" s="5"/>
      <c r="G171" s="5"/>
      <c r="H171" s="5"/>
      <c r="I171" s="3"/>
      <c r="J171" s="6"/>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row>
    <row r="172" spans="2:33" ht="12.75">
      <c r="B172" s="283"/>
      <c r="C172" s="5"/>
      <c r="D172" s="5"/>
      <c r="E172" s="5"/>
      <c r="F172" s="5"/>
      <c r="G172" s="5"/>
      <c r="H172" s="5"/>
      <c r="I172" s="3"/>
      <c r="J172" s="6"/>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row>
    <row r="173" spans="2:33" ht="12.75">
      <c r="B173" s="283"/>
      <c r="C173" s="5"/>
      <c r="D173" s="5"/>
      <c r="E173" s="5"/>
      <c r="F173" s="5"/>
      <c r="G173" s="5"/>
      <c r="H173" s="5"/>
      <c r="I173" s="3"/>
      <c r="J173" s="6"/>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row>
    <row r="174" spans="2:33" ht="12.75">
      <c r="B174" s="283"/>
      <c r="C174" s="5"/>
      <c r="D174" s="5"/>
      <c r="E174" s="5"/>
      <c r="F174" s="5"/>
      <c r="G174" s="5"/>
      <c r="H174" s="5"/>
      <c r="I174" s="3"/>
      <c r="J174" s="6"/>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row>
    <row r="175" spans="2:33" ht="12.75">
      <c r="B175" s="283"/>
      <c r="C175" s="5"/>
      <c r="D175" s="5"/>
      <c r="E175" s="5"/>
      <c r="F175" s="5"/>
      <c r="G175" s="5"/>
      <c r="H175" s="5"/>
      <c r="I175" s="3"/>
      <c r="J175" s="6"/>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row>
    <row r="176" spans="2:33" ht="12.75">
      <c r="B176" s="283"/>
      <c r="C176" s="5"/>
      <c r="D176" s="5"/>
      <c r="E176" s="5"/>
      <c r="F176" s="5"/>
      <c r="G176" s="5"/>
      <c r="H176" s="5"/>
      <c r="I176" s="3"/>
      <c r="J176" s="6"/>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row>
    <row r="177" spans="2:33" ht="12.75">
      <c r="B177" s="283"/>
      <c r="C177" s="5"/>
      <c r="D177" s="5"/>
      <c r="E177" s="5"/>
      <c r="F177" s="5"/>
      <c r="G177" s="5"/>
      <c r="H177" s="5"/>
      <c r="I177" s="3"/>
      <c r="J177" s="6"/>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row>
    <row r="178" spans="2:33" ht="12.75">
      <c r="B178" s="283"/>
      <c r="C178" s="5"/>
      <c r="D178" s="5"/>
      <c r="E178" s="5"/>
      <c r="F178" s="5"/>
      <c r="G178" s="5"/>
      <c r="H178" s="5"/>
      <c r="I178" s="3"/>
      <c r="J178" s="6"/>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row>
    <row r="179" spans="2:33" ht="12.75">
      <c r="B179" s="283"/>
      <c r="C179" s="5"/>
      <c r="D179" s="5"/>
      <c r="E179" s="5"/>
      <c r="F179" s="5"/>
      <c r="G179" s="5"/>
      <c r="H179" s="5"/>
      <c r="I179" s="3"/>
      <c r="J179" s="6"/>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row>
    <row r="180" spans="2:33" ht="12.75">
      <c r="B180" s="283"/>
      <c r="C180" s="5"/>
      <c r="D180" s="5"/>
      <c r="E180" s="5"/>
      <c r="F180" s="5"/>
      <c r="G180" s="5"/>
      <c r="H180" s="5"/>
      <c r="I180" s="3"/>
      <c r="J180" s="6"/>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row>
    <row r="181" spans="2:33" ht="12.75">
      <c r="B181" s="283"/>
      <c r="C181" s="5"/>
      <c r="D181" s="5"/>
      <c r="E181" s="5"/>
      <c r="F181" s="5"/>
      <c r="G181" s="5"/>
      <c r="H181" s="5"/>
      <c r="I181" s="3"/>
      <c r="J181" s="6"/>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row>
    <row r="182" spans="2:33" ht="12.75">
      <c r="B182" s="283"/>
      <c r="C182" s="5"/>
      <c r="D182" s="5"/>
      <c r="E182" s="5"/>
      <c r="F182" s="5"/>
      <c r="G182" s="5"/>
      <c r="H182" s="5"/>
      <c r="I182" s="3"/>
      <c r="J182" s="6"/>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row>
    <row r="183" spans="2:33" ht="12.75">
      <c r="B183" s="283"/>
      <c r="C183" s="5"/>
      <c r="D183" s="5"/>
      <c r="E183" s="5"/>
      <c r="F183" s="5"/>
      <c r="G183" s="5"/>
      <c r="H183" s="5"/>
      <c r="I183" s="3"/>
      <c r="J183" s="6"/>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row>
    <row r="184" spans="2:33" ht="12.75">
      <c r="B184" s="283"/>
      <c r="C184" s="5"/>
      <c r="D184" s="5"/>
      <c r="E184" s="5"/>
      <c r="F184" s="5"/>
      <c r="G184" s="5"/>
      <c r="H184" s="5"/>
      <c r="I184" s="3"/>
      <c r="J184" s="6"/>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row>
    <row r="185" spans="2:33" ht="12.75">
      <c r="B185" s="283"/>
      <c r="C185" s="5"/>
      <c r="D185" s="5"/>
      <c r="E185" s="5"/>
      <c r="F185" s="5"/>
      <c r="G185" s="5"/>
      <c r="H185" s="5"/>
      <c r="I185" s="3"/>
      <c r="J185" s="6"/>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row>
    <row r="186" spans="2:33" ht="12.75">
      <c r="B186" s="283"/>
      <c r="C186" s="5"/>
      <c r="D186" s="5"/>
      <c r="E186" s="5"/>
      <c r="F186" s="5"/>
      <c r="G186" s="5"/>
      <c r="H186" s="5"/>
      <c r="I186" s="3"/>
      <c r="J186" s="6"/>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row>
    <row r="187" spans="2:33" ht="12.75">
      <c r="B187" s="283"/>
      <c r="C187" s="5"/>
      <c r="D187" s="5"/>
      <c r="E187" s="5"/>
      <c r="F187" s="5"/>
      <c r="G187" s="5"/>
      <c r="H187" s="5"/>
      <c r="I187" s="3"/>
      <c r="J187" s="6"/>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row>
    <row r="188" spans="2:33" ht="12.75">
      <c r="B188" s="283"/>
      <c r="C188" s="5"/>
      <c r="D188" s="5"/>
      <c r="E188" s="5"/>
      <c r="F188" s="5"/>
      <c r="G188" s="5"/>
      <c r="H188" s="5"/>
      <c r="I188" s="3"/>
      <c r="J188" s="6"/>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row>
    <row r="189" spans="2:33" ht="12.75">
      <c r="B189" s="283"/>
      <c r="C189" s="5"/>
      <c r="D189" s="5"/>
      <c r="E189" s="5"/>
      <c r="F189" s="5"/>
      <c r="G189" s="5"/>
      <c r="H189" s="5"/>
      <c r="I189" s="3"/>
      <c r="J189" s="6"/>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row>
    <row r="190" spans="2:33" ht="12.75">
      <c r="B190" s="283"/>
      <c r="C190" s="5"/>
      <c r="D190" s="5"/>
      <c r="E190" s="5"/>
      <c r="F190" s="5"/>
      <c r="G190" s="5"/>
      <c r="H190" s="5"/>
      <c r="I190" s="3"/>
      <c r="J190" s="6"/>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row>
    <row r="191" spans="2:33" ht="12.75">
      <c r="B191" s="283"/>
      <c r="C191" s="5"/>
      <c r="D191" s="5"/>
      <c r="E191" s="5"/>
      <c r="F191" s="5"/>
      <c r="G191" s="5"/>
      <c r="H191" s="5"/>
      <c r="I191" s="3"/>
      <c r="J191" s="6"/>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row>
    <row r="192" spans="2:33" ht="12.75">
      <c r="B192" s="283"/>
      <c r="C192" s="5"/>
      <c r="D192" s="5"/>
      <c r="E192" s="5"/>
      <c r="F192" s="5"/>
      <c r="G192" s="5"/>
      <c r="H192" s="5"/>
      <c r="I192" s="3"/>
      <c r="J192" s="6"/>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row>
    <row r="193" spans="2:33" ht="12.75">
      <c r="B193" s="283"/>
      <c r="C193" s="5"/>
      <c r="D193" s="5"/>
      <c r="E193" s="5"/>
      <c r="F193" s="5"/>
      <c r="G193" s="5"/>
      <c r="H193" s="5"/>
      <c r="I193" s="3"/>
      <c r="J193" s="6"/>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row>
    <row r="194" spans="2:33" ht="12.75">
      <c r="B194" s="283"/>
      <c r="C194" s="5"/>
      <c r="D194" s="5"/>
      <c r="E194" s="5"/>
      <c r="F194" s="5"/>
      <c r="G194" s="5"/>
      <c r="H194" s="5"/>
      <c r="I194" s="3"/>
      <c r="J194" s="6"/>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row>
    <row r="195" spans="2:33" ht="12.75">
      <c r="B195" s="283"/>
      <c r="C195" s="5"/>
      <c r="D195" s="5"/>
      <c r="E195" s="5"/>
      <c r="F195" s="5"/>
      <c r="G195" s="5"/>
      <c r="H195" s="5"/>
      <c r="I195" s="3"/>
      <c r="J195" s="6"/>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row>
    <row r="196" spans="2:33" ht="12.75">
      <c r="B196" s="283"/>
      <c r="C196" s="5"/>
      <c r="D196" s="5"/>
      <c r="E196" s="5"/>
      <c r="F196" s="5"/>
      <c r="G196" s="5"/>
      <c r="H196" s="5"/>
      <c r="I196" s="3"/>
      <c r="J196" s="6"/>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row>
    <row r="197" spans="2:33" ht="12.75">
      <c r="B197" s="283"/>
      <c r="C197" s="5"/>
      <c r="D197" s="5"/>
      <c r="E197" s="5"/>
      <c r="F197" s="5"/>
      <c r="G197" s="5"/>
      <c r="H197" s="5"/>
      <c r="I197" s="3"/>
      <c r="J197" s="6"/>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row>
    <row r="198" spans="2:33" ht="12.75">
      <c r="B198" s="283"/>
      <c r="C198" s="5"/>
      <c r="D198" s="5"/>
      <c r="E198" s="5"/>
      <c r="F198" s="5"/>
      <c r="G198" s="5"/>
      <c r="H198" s="5"/>
      <c r="I198" s="3"/>
      <c r="J198" s="6"/>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row>
    <row r="199" spans="2:33" ht="12.75">
      <c r="B199" s="283"/>
      <c r="C199" s="5"/>
      <c r="D199" s="5"/>
      <c r="E199" s="5"/>
      <c r="F199" s="5"/>
      <c r="G199" s="5"/>
      <c r="H199" s="5"/>
      <c r="I199" s="3"/>
      <c r="J199" s="6"/>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row>
    <row r="200" spans="2:33" ht="12.75">
      <c r="B200" s="283"/>
      <c r="C200" s="5"/>
      <c r="D200" s="5"/>
      <c r="E200" s="5"/>
      <c r="F200" s="5"/>
      <c r="G200" s="5"/>
      <c r="H200" s="5"/>
      <c r="I200" s="3"/>
      <c r="J200" s="6"/>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row>
    <row r="201" spans="2:33" ht="12.75">
      <c r="B201" s="283"/>
      <c r="C201" s="5"/>
      <c r="D201" s="5"/>
      <c r="E201" s="5"/>
      <c r="F201" s="5"/>
      <c r="G201" s="5"/>
      <c r="H201" s="5"/>
      <c r="I201" s="3"/>
      <c r="J201" s="6"/>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row>
    <row r="202" spans="2:33" ht="12.75">
      <c r="B202" s="283"/>
      <c r="C202" s="5"/>
      <c r="D202" s="5"/>
      <c r="E202" s="5"/>
      <c r="F202" s="5"/>
      <c r="G202" s="5"/>
      <c r="H202" s="5"/>
      <c r="I202" s="3"/>
      <c r="J202" s="6"/>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row>
    <row r="203" spans="2:33" ht="12.75">
      <c r="B203" s="283"/>
      <c r="C203" s="5"/>
      <c r="D203" s="5"/>
      <c r="E203" s="5"/>
      <c r="F203" s="5"/>
      <c r="G203" s="5"/>
      <c r="H203" s="5"/>
      <c r="I203" s="3"/>
      <c r="J203" s="6"/>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row>
    <row r="204" spans="2:33" ht="12.75">
      <c r="B204" s="283"/>
      <c r="C204" s="5"/>
      <c r="D204" s="5"/>
      <c r="E204" s="5"/>
      <c r="F204" s="5"/>
      <c r="G204" s="5"/>
      <c r="H204" s="5"/>
      <c r="I204" s="3"/>
      <c r="J204" s="6"/>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row>
    <row r="205" spans="2:33" ht="12.75">
      <c r="B205" s="283"/>
      <c r="C205" s="5"/>
      <c r="D205" s="5"/>
      <c r="E205" s="5"/>
      <c r="F205" s="5"/>
      <c r="G205" s="5"/>
      <c r="H205" s="5"/>
      <c r="I205" s="3"/>
      <c r="J205" s="6"/>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row>
    <row r="206" spans="2:33" ht="12.75">
      <c r="B206" s="283"/>
      <c r="C206" s="5"/>
      <c r="D206" s="5"/>
      <c r="E206" s="5"/>
      <c r="F206" s="5"/>
      <c r="G206" s="5"/>
      <c r="H206" s="5"/>
      <c r="I206" s="3"/>
      <c r="J206" s="6"/>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row>
    <row r="207" spans="2:33" ht="12.75">
      <c r="B207" s="283"/>
      <c r="C207" s="5"/>
      <c r="D207" s="5"/>
      <c r="E207" s="5"/>
      <c r="F207" s="5"/>
      <c r="G207" s="5"/>
      <c r="H207" s="5"/>
      <c r="I207" s="3"/>
      <c r="J207" s="6"/>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row>
    <row r="208" spans="2:33" ht="12.75">
      <c r="B208" s="283"/>
      <c r="C208" s="5"/>
      <c r="D208" s="5"/>
      <c r="E208" s="5"/>
      <c r="F208" s="5"/>
      <c r="G208" s="5"/>
      <c r="H208" s="5"/>
      <c r="I208" s="3"/>
      <c r="J208" s="6"/>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row>
    <row r="209" spans="2:33" ht="12.75">
      <c r="B209" s="283"/>
      <c r="C209" s="5"/>
      <c r="D209" s="5"/>
      <c r="E209" s="5"/>
      <c r="F209" s="5"/>
      <c r="G209" s="5"/>
      <c r="H209" s="5"/>
      <c r="I209" s="3"/>
      <c r="J209" s="6"/>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row>
    <row r="210" spans="2:33" ht="12.75">
      <c r="B210" s="283"/>
      <c r="C210" s="5"/>
      <c r="D210" s="5"/>
      <c r="E210" s="5"/>
      <c r="F210" s="5"/>
      <c r="G210" s="5"/>
      <c r="H210" s="5"/>
      <c r="I210" s="3"/>
      <c r="J210" s="6"/>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row>
    <row r="211" spans="2:33" ht="12.75">
      <c r="B211" s="283"/>
      <c r="C211" s="5"/>
      <c r="D211" s="5"/>
      <c r="E211" s="5"/>
      <c r="F211" s="5"/>
      <c r="G211" s="5"/>
      <c r="H211" s="5"/>
      <c r="I211" s="3"/>
      <c r="J211" s="6"/>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row>
    <row r="212" spans="2:33" ht="12.75">
      <c r="B212" s="283"/>
      <c r="C212" s="5"/>
      <c r="D212" s="5"/>
      <c r="E212" s="5"/>
      <c r="F212" s="5"/>
      <c r="G212" s="5"/>
      <c r="H212" s="5"/>
      <c r="I212" s="3"/>
      <c r="J212" s="6"/>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row>
    <row r="213" spans="2:33" ht="12.75">
      <c r="B213" s="283"/>
      <c r="C213" s="5"/>
      <c r="D213" s="5"/>
      <c r="E213" s="5"/>
      <c r="F213" s="5"/>
      <c r="G213" s="5"/>
      <c r="H213" s="5"/>
      <c r="I213" s="3"/>
      <c r="J213" s="6"/>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row>
    <row r="214" spans="2:33" ht="12.75">
      <c r="B214" s="283"/>
      <c r="C214" s="5"/>
      <c r="D214" s="5"/>
      <c r="E214" s="5"/>
      <c r="F214" s="5"/>
      <c r="G214" s="5"/>
      <c r="H214" s="5"/>
      <c r="I214" s="3"/>
      <c r="J214" s="6"/>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row>
    <row r="215" spans="2:33" ht="12.75">
      <c r="B215" s="283"/>
      <c r="C215" s="5"/>
      <c r="D215" s="5"/>
      <c r="E215" s="5"/>
      <c r="F215" s="5"/>
      <c r="G215" s="5"/>
      <c r="H215" s="5"/>
      <c r="I215" s="3"/>
      <c r="J215" s="6"/>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row>
    <row r="216" spans="2:33" ht="12.75">
      <c r="B216" s="283"/>
      <c r="C216" s="5"/>
      <c r="D216" s="5"/>
      <c r="E216" s="5"/>
      <c r="F216" s="5"/>
      <c r="G216" s="5"/>
      <c r="H216" s="5"/>
      <c r="I216" s="3"/>
      <c r="J216" s="6"/>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row>
    <row r="217" spans="2:33" ht="12.75">
      <c r="B217" s="283"/>
      <c r="C217" s="5"/>
      <c r="D217" s="5"/>
      <c r="E217" s="5"/>
      <c r="F217" s="5"/>
      <c r="G217" s="5"/>
      <c r="H217" s="5"/>
      <c r="I217" s="3"/>
      <c r="J217" s="6"/>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row>
    <row r="218" spans="2:33" ht="12.75">
      <c r="B218" s="283"/>
      <c r="C218" s="5"/>
      <c r="D218" s="5"/>
      <c r="E218" s="5"/>
      <c r="F218" s="5"/>
      <c r="G218" s="5"/>
      <c r="H218" s="5"/>
      <c r="I218" s="3"/>
      <c r="J218" s="6"/>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row>
    <row r="219" spans="2:33" ht="12.75">
      <c r="B219" s="283"/>
      <c r="C219" s="5"/>
      <c r="D219" s="5"/>
      <c r="E219" s="5"/>
      <c r="F219" s="5"/>
      <c r="G219" s="5"/>
      <c r="H219" s="5"/>
      <c r="I219" s="3"/>
      <c r="J219" s="6"/>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row>
    <row r="220" spans="2:33" ht="12.75">
      <c r="B220" s="283"/>
      <c r="C220" s="5"/>
      <c r="D220" s="5"/>
      <c r="E220" s="5"/>
      <c r="F220" s="5"/>
      <c r="G220" s="5"/>
      <c r="H220" s="5"/>
      <c r="I220" s="3"/>
      <c r="J220" s="6"/>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row>
    <row r="221" spans="2:33" ht="12.75">
      <c r="B221" s="283"/>
      <c r="C221" s="5"/>
      <c r="D221" s="5"/>
      <c r="E221" s="5"/>
      <c r="F221" s="5"/>
      <c r="G221" s="5"/>
      <c r="H221" s="5"/>
      <c r="I221" s="3"/>
      <c r="J221" s="6"/>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row>
    <row r="222" spans="2:33" ht="12.75">
      <c r="B222" s="283"/>
      <c r="C222" s="5"/>
      <c r="D222" s="5"/>
      <c r="E222" s="5"/>
      <c r="F222" s="5"/>
      <c r="G222" s="5"/>
      <c r="H222" s="5"/>
      <c r="I222" s="3"/>
      <c r="J222" s="6"/>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row>
    <row r="223" spans="2:33" ht="12.75">
      <c r="B223" s="283"/>
      <c r="C223" s="5"/>
      <c r="D223" s="5"/>
      <c r="E223" s="5"/>
      <c r="F223" s="5"/>
      <c r="G223" s="5"/>
      <c r="H223" s="5"/>
      <c r="I223" s="3"/>
      <c r="J223" s="6"/>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row>
    <row r="224" spans="2:33" ht="12.75">
      <c r="B224" s="283"/>
      <c r="C224" s="5"/>
      <c r="D224" s="5"/>
      <c r="E224" s="5"/>
      <c r="F224" s="5"/>
      <c r="G224" s="5"/>
      <c r="H224" s="5"/>
      <c r="I224" s="3"/>
      <c r="J224" s="6"/>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row>
    <row r="225" spans="2:33" ht="12.75">
      <c r="B225" s="283"/>
      <c r="C225" s="5"/>
      <c r="D225" s="5"/>
      <c r="E225" s="5"/>
      <c r="F225" s="5"/>
      <c r="G225" s="5"/>
      <c r="H225" s="5"/>
      <c r="I225" s="3"/>
      <c r="J225" s="6"/>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row>
    <row r="226" spans="2:33" ht="12.75">
      <c r="B226" s="283"/>
      <c r="C226" s="5"/>
      <c r="D226" s="5"/>
      <c r="E226" s="5"/>
      <c r="F226" s="5"/>
      <c r="G226" s="5"/>
      <c r="H226" s="5"/>
      <c r="I226" s="3"/>
      <c r="J226" s="6"/>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row>
    <row r="227" spans="2:33" ht="12.75">
      <c r="B227" s="283"/>
      <c r="C227" s="5"/>
      <c r="D227" s="5"/>
      <c r="E227" s="5"/>
      <c r="F227" s="5"/>
      <c r="G227" s="5"/>
      <c r="H227" s="5"/>
      <c r="I227" s="3"/>
      <c r="J227" s="6"/>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row>
    <row r="228" spans="2:33" ht="12.75">
      <c r="B228" s="283"/>
      <c r="C228" s="5"/>
      <c r="D228" s="5"/>
      <c r="E228" s="5"/>
      <c r="F228" s="5"/>
      <c r="G228" s="5"/>
      <c r="H228" s="5"/>
      <c r="I228" s="3"/>
      <c r="J228" s="6"/>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row>
    <row r="229" spans="2:33" ht="12.75">
      <c r="B229" s="283"/>
      <c r="C229" s="5"/>
      <c r="D229" s="5"/>
      <c r="E229" s="5"/>
      <c r="F229" s="5"/>
      <c r="G229" s="5"/>
      <c r="H229" s="5"/>
      <c r="I229" s="3"/>
      <c r="J229" s="6"/>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row>
    <row r="230" spans="2:33" ht="12.75">
      <c r="B230" s="283"/>
      <c r="C230" s="5"/>
      <c r="D230" s="5"/>
      <c r="E230" s="5"/>
      <c r="F230" s="5"/>
      <c r="G230" s="5"/>
      <c r="H230" s="5"/>
      <c r="I230" s="3"/>
      <c r="J230" s="6"/>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row>
    <row r="231" spans="2:33" ht="12.75">
      <c r="B231" s="283"/>
      <c r="C231" s="5"/>
      <c r="D231" s="5"/>
      <c r="E231" s="5"/>
      <c r="F231" s="5"/>
      <c r="G231" s="5"/>
      <c r="H231" s="5"/>
      <c r="I231" s="3"/>
      <c r="J231" s="6"/>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row>
    <row r="232" spans="2:33" ht="12.75">
      <c r="B232" s="283"/>
      <c r="C232" s="5"/>
      <c r="D232" s="5"/>
      <c r="E232" s="5"/>
      <c r="F232" s="5"/>
      <c r="G232" s="5"/>
      <c r="H232" s="5"/>
      <c r="I232" s="3"/>
      <c r="J232" s="6"/>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row>
    <row r="233" spans="2:33" ht="12.75">
      <c r="B233" s="283"/>
      <c r="C233" s="5"/>
      <c r="D233" s="5"/>
      <c r="E233" s="5"/>
      <c r="F233" s="5"/>
      <c r="G233" s="5"/>
      <c r="H233" s="5"/>
      <c r="I233" s="3"/>
      <c r="J233" s="6"/>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row>
    <row r="234" spans="2:33" ht="12.75">
      <c r="B234" s="283"/>
      <c r="C234" s="5"/>
      <c r="D234" s="5"/>
      <c r="E234" s="5"/>
      <c r="F234" s="5"/>
      <c r="G234" s="5"/>
      <c r="H234" s="5"/>
      <c r="I234" s="3"/>
      <c r="J234" s="6"/>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row>
    <row r="235" spans="2:33" ht="12.75">
      <c r="B235" s="283"/>
      <c r="C235" s="5"/>
      <c r="D235" s="5"/>
      <c r="E235" s="5"/>
      <c r="F235" s="5"/>
      <c r="G235" s="5"/>
      <c r="H235" s="5"/>
      <c r="I235" s="3"/>
      <c r="J235" s="6"/>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row>
    <row r="236" spans="2:33" ht="12.75">
      <c r="B236" s="283"/>
      <c r="C236" s="5"/>
      <c r="D236" s="5"/>
      <c r="E236" s="5"/>
      <c r="F236" s="5"/>
      <c r="G236" s="5"/>
      <c r="H236" s="5"/>
      <c r="I236" s="3"/>
      <c r="J236" s="6"/>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row>
    <row r="237" spans="2:33" ht="12.75">
      <c r="B237" s="283"/>
      <c r="C237" s="5"/>
      <c r="D237" s="5"/>
      <c r="E237" s="5"/>
      <c r="F237" s="5"/>
      <c r="G237" s="5"/>
      <c r="H237" s="5"/>
      <c r="I237" s="3"/>
      <c r="J237" s="6"/>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row>
    <row r="238" spans="2:33" ht="12.75">
      <c r="B238" s="283"/>
      <c r="C238" s="5"/>
      <c r="D238" s="5"/>
      <c r="E238" s="5"/>
      <c r="F238" s="5"/>
      <c r="G238" s="5"/>
      <c r="H238" s="5"/>
      <c r="I238" s="3"/>
      <c r="J238" s="6"/>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row>
    <row r="239" spans="2:33" ht="12.75">
      <c r="B239" s="283"/>
      <c r="C239" s="5"/>
      <c r="D239" s="5"/>
      <c r="E239" s="5"/>
      <c r="F239" s="5"/>
      <c r="G239" s="5"/>
      <c r="H239" s="5"/>
      <c r="I239" s="3"/>
      <c r="J239" s="6"/>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row>
    <row r="240" spans="2:33" ht="12.75">
      <c r="B240" s="283"/>
      <c r="C240" s="5"/>
      <c r="D240" s="5"/>
      <c r="E240" s="5"/>
      <c r="F240" s="5"/>
      <c r="G240" s="5"/>
      <c r="H240" s="5"/>
      <c r="I240" s="3"/>
      <c r="J240" s="6"/>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row>
    <row r="241" spans="2:33" ht="12.75">
      <c r="B241" s="283"/>
      <c r="C241" s="5"/>
      <c r="D241" s="5"/>
      <c r="E241" s="5"/>
      <c r="F241" s="5"/>
      <c r="G241" s="5"/>
      <c r="H241" s="5"/>
      <c r="I241" s="3"/>
      <c r="J241" s="6"/>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row>
    <row r="242" spans="2:33" ht="12.75">
      <c r="B242" s="283"/>
      <c r="C242" s="5"/>
      <c r="D242" s="5"/>
      <c r="E242" s="5"/>
      <c r="F242" s="5"/>
      <c r="G242" s="5"/>
      <c r="H242" s="5"/>
      <c r="I242" s="3"/>
      <c r="J242" s="6"/>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row>
    <row r="243" spans="2:33" ht="12.75">
      <c r="B243" s="283"/>
      <c r="C243" s="5"/>
      <c r="D243" s="5"/>
      <c r="E243" s="5"/>
      <c r="F243" s="5"/>
      <c r="G243" s="5"/>
      <c r="H243" s="5"/>
      <c r="I243" s="3"/>
      <c r="J243" s="6"/>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row>
    <row r="244" spans="2:33" ht="12.75">
      <c r="B244" s="283"/>
      <c r="C244" s="5"/>
      <c r="D244" s="5"/>
      <c r="E244" s="5"/>
      <c r="F244" s="5"/>
      <c r="G244" s="5"/>
      <c r="H244" s="5"/>
      <c r="I244" s="3"/>
      <c r="J244" s="6"/>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row>
    <row r="245" spans="2:33" ht="12.75">
      <c r="B245" s="283"/>
      <c r="C245" s="5"/>
      <c r="D245" s="5"/>
      <c r="E245" s="5"/>
      <c r="F245" s="5"/>
      <c r="G245" s="5"/>
      <c r="H245" s="5"/>
      <c r="I245" s="3"/>
      <c r="J245" s="6"/>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row>
    <row r="246" spans="2:33" ht="12.75">
      <c r="B246" s="283"/>
      <c r="C246" s="5"/>
      <c r="D246" s="5"/>
      <c r="E246" s="5"/>
      <c r="F246" s="5"/>
      <c r="G246" s="5"/>
      <c r="H246" s="5"/>
      <c r="I246" s="3"/>
      <c r="J246" s="6"/>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row>
    <row r="247" spans="2:33" ht="12.75">
      <c r="B247" s="283"/>
      <c r="C247" s="5"/>
      <c r="D247" s="5"/>
      <c r="E247" s="5"/>
      <c r="F247" s="5"/>
      <c r="G247" s="5"/>
      <c r="H247" s="5"/>
      <c r="I247" s="3"/>
      <c r="J247" s="6"/>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row>
    <row r="248" spans="2:33" ht="12.75">
      <c r="B248" s="283"/>
      <c r="C248" s="5"/>
      <c r="D248" s="5"/>
      <c r="E248" s="5"/>
      <c r="F248" s="5"/>
      <c r="G248" s="5"/>
      <c r="H248" s="5"/>
      <c r="I248" s="3"/>
      <c r="J248" s="6"/>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row>
    <row r="249" spans="2:33" ht="12.75">
      <c r="B249" s="283"/>
      <c r="C249" s="5"/>
      <c r="D249" s="5"/>
      <c r="E249" s="5"/>
      <c r="F249" s="5"/>
      <c r="G249" s="5"/>
      <c r="H249" s="5"/>
      <c r="I249" s="3"/>
      <c r="J249" s="6"/>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row>
    <row r="250" spans="2:33" ht="12.75">
      <c r="B250" s="283"/>
      <c r="C250" s="5"/>
      <c r="D250" s="5"/>
      <c r="E250" s="5"/>
      <c r="F250" s="5"/>
      <c r="G250" s="5"/>
      <c r="H250" s="5"/>
      <c r="I250" s="3"/>
      <c r="J250" s="6"/>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row>
    <row r="251" spans="2:33" ht="12.75">
      <c r="B251" s="283"/>
      <c r="C251" s="5"/>
      <c r="D251" s="5"/>
      <c r="E251" s="5"/>
      <c r="F251" s="5"/>
      <c r="G251" s="5"/>
      <c r="H251" s="5"/>
      <c r="I251" s="3"/>
      <c r="J251" s="6"/>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row>
    <row r="252" spans="2:33" ht="12.75">
      <c r="B252" s="283"/>
      <c r="C252" s="5"/>
      <c r="D252" s="5"/>
      <c r="E252" s="5"/>
      <c r="F252" s="5"/>
      <c r="G252" s="5"/>
      <c r="H252" s="5"/>
      <c r="I252" s="3"/>
      <c r="J252" s="6"/>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row>
    <row r="253" spans="2:33" ht="12.75">
      <c r="B253" s="283"/>
      <c r="C253" s="5"/>
      <c r="D253" s="5"/>
      <c r="E253" s="5"/>
      <c r="F253" s="5"/>
      <c r="G253" s="5"/>
      <c r="H253" s="5"/>
      <c r="I253" s="3"/>
      <c r="J253" s="6"/>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row>
    <row r="254" spans="2:33" ht="12.75">
      <c r="B254" s="283"/>
      <c r="C254" s="5"/>
      <c r="D254" s="5"/>
      <c r="E254" s="5"/>
      <c r="F254" s="5"/>
      <c r="G254" s="5"/>
      <c r="H254" s="5"/>
      <c r="I254" s="3"/>
      <c r="J254" s="6"/>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row>
    <row r="255" spans="2:33" ht="12.75">
      <c r="B255" s="283"/>
      <c r="C255" s="5"/>
      <c r="D255" s="5"/>
      <c r="E255" s="5"/>
      <c r="F255" s="5"/>
      <c r="G255" s="5"/>
      <c r="H255" s="5"/>
      <c r="I255" s="3"/>
      <c r="J255" s="6"/>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row>
    <row r="256" spans="2:33" ht="12.75">
      <c r="B256" s="283"/>
      <c r="C256" s="5"/>
      <c r="D256" s="5"/>
      <c r="E256" s="5"/>
      <c r="F256" s="5"/>
      <c r="G256" s="5"/>
      <c r="H256" s="5"/>
      <c r="I256" s="3"/>
      <c r="J256" s="6"/>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row>
    <row r="257" spans="2:33" ht="12.75">
      <c r="B257" s="283"/>
      <c r="C257" s="5"/>
      <c r="D257" s="5"/>
      <c r="E257" s="5"/>
      <c r="F257" s="5"/>
      <c r="G257" s="5"/>
      <c r="H257" s="5"/>
      <c r="I257" s="3"/>
      <c r="J257" s="6"/>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row>
    <row r="258" spans="2:33" ht="12.75">
      <c r="B258" s="283"/>
      <c r="C258" s="5"/>
      <c r="D258" s="5"/>
      <c r="E258" s="5"/>
      <c r="F258" s="5"/>
      <c r="G258" s="5"/>
      <c r="H258" s="5"/>
      <c r="I258" s="3"/>
      <c r="J258" s="6"/>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row>
    <row r="259" spans="2:33" ht="12.75">
      <c r="B259" s="283"/>
      <c r="C259" s="5"/>
      <c r="D259" s="5"/>
      <c r="E259" s="5"/>
      <c r="F259" s="5"/>
      <c r="G259" s="5"/>
      <c r="H259" s="5"/>
      <c r="I259" s="3"/>
      <c r="J259" s="6"/>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row>
    <row r="260" spans="2:33" ht="12.75">
      <c r="B260" s="283"/>
      <c r="C260" s="5"/>
      <c r="D260" s="5"/>
      <c r="E260" s="5"/>
      <c r="F260" s="5"/>
      <c r="G260" s="5"/>
      <c r="H260" s="5"/>
      <c r="I260" s="3"/>
      <c r="J260" s="6"/>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row>
    <row r="261" spans="2:33" ht="12.75">
      <c r="B261" s="283"/>
      <c r="C261" s="5"/>
      <c r="D261" s="5"/>
      <c r="E261" s="5"/>
      <c r="F261" s="5"/>
      <c r="G261" s="5"/>
      <c r="H261" s="5"/>
      <c r="I261" s="3"/>
      <c r="J261" s="6"/>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row>
    <row r="262" spans="2:33" ht="12.75">
      <c r="B262" s="283"/>
      <c r="C262" s="5"/>
      <c r="D262" s="5"/>
      <c r="E262" s="5"/>
      <c r="F262" s="5"/>
      <c r="G262" s="5"/>
      <c r="H262" s="5"/>
      <c r="I262" s="3"/>
      <c r="J262" s="6"/>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row>
    <row r="263" spans="2:33" ht="12.75">
      <c r="B263" s="283"/>
      <c r="C263" s="5"/>
      <c r="D263" s="5"/>
      <c r="E263" s="5"/>
      <c r="F263" s="5"/>
      <c r="G263" s="5"/>
      <c r="H263" s="5"/>
      <c r="I263" s="3"/>
      <c r="J263" s="6"/>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row>
    <row r="264" spans="2:33" ht="12.75">
      <c r="B264" s="283"/>
      <c r="C264" s="5"/>
      <c r="D264" s="5"/>
      <c r="E264" s="5"/>
      <c r="F264" s="5"/>
      <c r="G264" s="5"/>
      <c r="H264" s="5"/>
      <c r="I264" s="3"/>
      <c r="J264" s="6"/>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row>
    <row r="265" spans="2:33" ht="12.75">
      <c r="B265" s="283"/>
      <c r="C265" s="5"/>
      <c r="D265" s="5"/>
      <c r="E265" s="5"/>
      <c r="F265" s="5"/>
      <c r="G265" s="5"/>
      <c r="H265" s="5"/>
      <c r="I265" s="3"/>
      <c r="J265" s="6"/>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row>
    <row r="266" spans="2:33" ht="12.75">
      <c r="B266" s="283"/>
      <c r="C266" s="5"/>
      <c r="D266" s="5"/>
      <c r="E266" s="5"/>
      <c r="F266" s="5"/>
      <c r="G266" s="5"/>
      <c r="H266" s="5"/>
      <c r="I266" s="3"/>
      <c r="J266" s="6"/>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row>
    <row r="267" spans="2:33" ht="12.75">
      <c r="B267" s="283"/>
      <c r="C267" s="5"/>
      <c r="D267" s="5"/>
      <c r="E267" s="5"/>
      <c r="F267" s="5"/>
      <c r="G267" s="5"/>
      <c r="H267" s="5"/>
      <c r="I267" s="3"/>
      <c r="J267" s="6"/>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row>
    <row r="268" spans="2:33" ht="12.75">
      <c r="B268" s="283"/>
      <c r="C268" s="5"/>
      <c r="D268" s="5"/>
      <c r="E268" s="5"/>
      <c r="F268" s="5"/>
      <c r="G268" s="5"/>
      <c r="H268" s="5"/>
      <c r="I268" s="3"/>
      <c r="J268" s="6"/>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row>
    <row r="269" spans="2:33" ht="12.75">
      <c r="B269" s="283"/>
      <c r="C269" s="5"/>
      <c r="D269" s="5"/>
      <c r="E269" s="5"/>
      <c r="F269" s="5"/>
      <c r="G269" s="5"/>
      <c r="H269" s="5"/>
      <c r="I269" s="3"/>
      <c r="J269" s="6"/>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row>
    <row r="270" spans="2:33" ht="12.75">
      <c r="B270" s="283"/>
      <c r="C270" s="5"/>
      <c r="D270" s="5"/>
      <c r="E270" s="5"/>
      <c r="F270" s="5"/>
      <c r="G270" s="5"/>
      <c r="H270" s="5"/>
      <c r="I270" s="3"/>
      <c r="J270" s="6"/>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row>
    <row r="271" spans="2:33" ht="12.75">
      <c r="B271" s="283"/>
      <c r="C271" s="5"/>
      <c r="D271" s="5"/>
      <c r="E271" s="5"/>
      <c r="F271" s="5"/>
      <c r="G271" s="5"/>
      <c r="H271" s="5"/>
      <c r="I271" s="3"/>
      <c r="J271" s="6"/>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row>
    <row r="272" spans="2:33" ht="12.75">
      <c r="B272" s="283"/>
      <c r="C272" s="5"/>
      <c r="D272" s="5"/>
      <c r="E272" s="5"/>
      <c r="F272" s="5"/>
      <c r="G272" s="5"/>
      <c r="H272" s="5"/>
      <c r="I272" s="3"/>
      <c r="J272" s="6"/>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row>
    <row r="273" spans="2:33" ht="12.75">
      <c r="B273" s="283"/>
      <c r="C273" s="5"/>
      <c r="D273" s="5"/>
      <c r="E273" s="5"/>
      <c r="F273" s="5"/>
      <c r="G273" s="5"/>
      <c r="H273" s="5"/>
      <c r="I273" s="3"/>
      <c r="J273" s="6"/>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row>
    <row r="274" spans="2:33" ht="12.75">
      <c r="B274" s="283"/>
      <c r="C274" s="5"/>
      <c r="D274" s="5"/>
      <c r="E274" s="5"/>
      <c r="F274" s="5"/>
      <c r="G274" s="5"/>
      <c r="H274" s="5"/>
      <c r="I274" s="3"/>
      <c r="J274" s="6"/>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row>
    <row r="275" spans="2:33" ht="12.75">
      <c r="B275" s="283"/>
      <c r="C275" s="5"/>
      <c r="D275" s="5"/>
      <c r="E275" s="5"/>
      <c r="F275" s="5"/>
      <c r="G275" s="5"/>
      <c r="H275" s="5"/>
      <c r="I275" s="3"/>
      <c r="J275" s="6"/>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row>
    <row r="276" spans="2:33" ht="12.75">
      <c r="B276" s="283"/>
      <c r="C276" s="5"/>
      <c r="D276" s="5"/>
      <c r="E276" s="5"/>
      <c r="F276" s="5"/>
      <c r="G276" s="5"/>
      <c r="H276" s="5"/>
      <c r="I276" s="3"/>
      <c r="J276" s="6"/>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row>
    <row r="277" spans="2:33" ht="12.75">
      <c r="B277" s="283"/>
      <c r="C277" s="5"/>
      <c r="D277" s="5"/>
      <c r="E277" s="5"/>
      <c r="F277" s="5"/>
      <c r="G277" s="5"/>
      <c r="H277" s="5"/>
      <c r="I277" s="3"/>
      <c r="J277" s="6"/>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row>
    <row r="278" spans="2:33" ht="12.75">
      <c r="B278" s="283"/>
      <c r="C278" s="5"/>
      <c r="D278" s="5"/>
      <c r="E278" s="5"/>
      <c r="F278" s="5"/>
      <c r="G278" s="5"/>
      <c r="H278" s="5"/>
      <c r="I278" s="3"/>
      <c r="J278" s="6"/>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row>
    <row r="279" spans="2:33" ht="12.75">
      <c r="B279" s="283"/>
      <c r="C279" s="5"/>
      <c r="D279" s="5"/>
      <c r="E279" s="5"/>
      <c r="F279" s="5"/>
      <c r="G279" s="5"/>
      <c r="H279" s="5"/>
      <c r="I279" s="3"/>
      <c r="J279" s="6"/>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row>
    <row r="280" spans="2:33" ht="12.75">
      <c r="B280" s="283"/>
      <c r="C280" s="5"/>
      <c r="D280" s="5"/>
      <c r="E280" s="5"/>
      <c r="F280" s="5"/>
      <c r="G280" s="5"/>
      <c r="H280" s="5"/>
      <c r="I280" s="3"/>
      <c r="J280" s="6"/>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row>
    <row r="281" spans="2:33" ht="12.75">
      <c r="B281" s="283"/>
      <c r="C281" s="5"/>
      <c r="D281" s="5"/>
      <c r="E281" s="5"/>
      <c r="F281" s="5"/>
      <c r="G281" s="5"/>
      <c r="H281" s="5"/>
      <c r="I281" s="3"/>
      <c r="J281" s="6"/>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row>
    <row r="282" spans="2:33" ht="12.75">
      <c r="B282" s="283"/>
      <c r="C282" s="5"/>
      <c r="D282" s="5"/>
      <c r="E282" s="5"/>
      <c r="F282" s="5"/>
      <c r="G282" s="5"/>
      <c r="H282" s="5"/>
      <c r="I282" s="3"/>
      <c r="J282" s="6"/>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row>
    <row r="283" spans="2:33" ht="12.75">
      <c r="B283" s="283"/>
      <c r="C283" s="5"/>
      <c r="D283" s="5"/>
      <c r="E283" s="5"/>
      <c r="F283" s="5"/>
      <c r="G283" s="5"/>
      <c r="H283" s="5"/>
      <c r="I283" s="3"/>
      <c r="J283" s="6"/>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row>
    <row r="284" spans="2:33" ht="12.75">
      <c r="B284" s="283"/>
      <c r="C284" s="5"/>
      <c r="D284" s="5"/>
      <c r="E284" s="5"/>
      <c r="F284" s="5"/>
      <c r="G284" s="5"/>
      <c r="H284" s="5"/>
      <c r="I284" s="3"/>
      <c r="J284" s="6"/>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row>
    <row r="285" spans="2:33" ht="12.75">
      <c r="B285" s="283"/>
      <c r="C285" s="5"/>
      <c r="D285" s="5"/>
      <c r="E285" s="5"/>
      <c r="F285" s="5"/>
      <c r="G285" s="5"/>
      <c r="H285" s="5"/>
      <c r="I285" s="3"/>
      <c r="J285" s="6"/>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row>
    <row r="286" spans="2:33" ht="12.75">
      <c r="B286" s="283"/>
      <c r="C286" s="5"/>
      <c r="D286" s="5"/>
      <c r="E286" s="5"/>
      <c r="F286" s="5"/>
      <c r="G286" s="5"/>
      <c r="H286" s="5"/>
      <c r="I286" s="3"/>
      <c r="J286" s="6"/>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row>
    <row r="287" spans="2:33" ht="12.75">
      <c r="B287" s="283"/>
      <c r="C287" s="5"/>
      <c r="D287" s="5"/>
      <c r="E287" s="5"/>
      <c r="F287" s="5"/>
      <c r="G287" s="5"/>
      <c r="H287" s="5"/>
      <c r="I287" s="3"/>
      <c r="J287" s="6"/>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row>
    <row r="288" spans="2:33" ht="12.75">
      <c r="B288" s="283"/>
      <c r="C288" s="5"/>
      <c r="D288" s="5"/>
      <c r="E288" s="5"/>
      <c r="F288" s="5"/>
      <c r="G288" s="5"/>
      <c r="H288" s="5"/>
      <c r="I288" s="3"/>
      <c r="J288" s="6"/>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row>
    <row r="289" spans="2:33" ht="12.75">
      <c r="B289" s="283"/>
      <c r="C289" s="5"/>
      <c r="D289" s="5"/>
      <c r="E289" s="5"/>
      <c r="F289" s="5"/>
      <c r="G289" s="5"/>
      <c r="H289" s="5"/>
      <c r="I289" s="3"/>
      <c r="J289" s="6"/>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row>
    <row r="290" spans="2:33" ht="12.75">
      <c r="B290" s="283"/>
      <c r="C290" s="5"/>
      <c r="D290" s="5"/>
      <c r="E290" s="5"/>
      <c r="F290" s="5"/>
      <c r="G290" s="5"/>
      <c r="H290" s="5"/>
      <c r="I290" s="3"/>
      <c r="J290" s="6"/>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row>
    <row r="291" spans="2:33" ht="12.75">
      <c r="B291" s="283"/>
      <c r="C291" s="5"/>
      <c r="D291" s="5"/>
      <c r="E291" s="5"/>
      <c r="F291" s="5"/>
      <c r="G291" s="5"/>
      <c r="H291" s="5"/>
      <c r="I291" s="3"/>
      <c r="J291" s="6"/>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row>
    <row r="292" spans="2:33" ht="12.75">
      <c r="B292" s="283"/>
      <c r="C292" s="5"/>
      <c r="D292" s="5"/>
      <c r="E292" s="5"/>
      <c r="F292" s="5"/>
      <c r="G292" s="5"/>
      <c r="H292" s="5"/>
      <c r="I292" s="3"/>
      <c r="J292" s="6"/>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row>
    <row r="293" spans="2:33" ht="12.75">
      <c r="B293" s="283"/>
      <c r="C293" s="5"/>
      <c r="D293" s="5"/>
      <c r="E293" s="5"/>
      <c r="F293" s="5"/>
      <c r="G293" s="5"/>
      <c r="H293" s="5"/>
      <c r="I293" s="3"/>
      <c r="J293" s="6"/>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row>
    <row r="294" spans="2:33" ht="12.75">
      <c r="B294" s="283"/>
      <c r="C294" s="5"/>
      <c r="D294" s="5"/>
      <c r="E294" s="5"/>
      <c r="F294" s="5"/>
      <c r="G294" s="5"/>
      <c r="H294" s="5"/>
      <c r="I294" s="3"/>
      <c r="J294" s="6"/>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row>
    <row r="295" spans="2:33" ht="12.75">
      <c r="B295" s="283"/>
      <c r="C295" s="5"/>
      <c r="D295" s="5"/>
      <c r="E295" s="5"/>
      <c r="F295" s="5"/>
      <c r="G295" s="5"/>
      <c r="H295" s="5"/>
      <c r="I295" s="3"/>
      <c r="J295" s="6"/>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row>
    <row r="296" spans="2:33" ht="12.75">
      <c r="B296" s="283"/>
      <c r="C296" s="5"/>
      <c r="D296" s="5"/>
      <c r="E296" s="5"/>
      <c r="F296" s="5"/>
      <c r="G296" s="5"/>
      <c r="H296" s="5"/>
      <c r="I296" s="3"/>
      <c r="J296" s="6"/>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row>
    <row r="297" spans="2:33" ht="12.75">
      <c r="B297" s="283"/>
      <c r="C297" s="5"/>
      <c r="D297" s="5"/>
      <c r="E297" s="5"/>
      <c r="F297" s="5"/>
      <c r="G297" s="5"/>
      <c r="H297" s="5"/>
      <c r="I297" s="3"/>
      <c r="J297" s="6"/>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row>
    <row r="298" spans="2:33" ht="12.75">
      <c r="B298" s="283"/>
      <c r="C298" s="5"/>
      <c r="D298" s="5"/>
      <c r="E298" s="5"/>
      <c r="F298" s="5"/>
      <c r="G298" s="5"/>
      <c r="H298" s="5"/>
      <c r="I298" s="3"/>
      <c r="J298" s="6"/>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row>
    <row r="299" spans="2:33" ht="12.75">
      <c r="B299" s="283"/>
      <c r="C299" s="5"/>
      <c r="D299" s="5"/>
      <c r="E299" s="5"/>
      <c r="F299" s="5"/>
      <c r="G299" s="5"/>
      <c r="H299" s="5"/>
      <c r="I299" s="3"/>
      <c r="J299" s="6"/>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row>
    <row r="300" spans="2:33" ht="12.75">
      <c r="B300" s="283"/>
      <c r="C300" s="5"/>
      <c r="D300" s="5"/>
      <c r="E300" s="5"/>
      <c r="F300" s="5"/>
      <c r="G300" s="5"/>
      <c r="H300" s="5"/>
      <c r="I300" s="3"/>
      <c r="J300" s="6"/>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row>
    <row r="301" spans="2:33" ht="12.75">
      <c r="B301" s="283"/>
      <c r="C301" s="5"/>
      <c r="D301" s="5"/>
      <c r="E301" s="5"/>
      <c r="F301" s="5"/>
      <c r="G301" s="5"/>
      <c r="H301" s="5"/>
      <c r="I301" s="3"/>
      <c r="J301" s="6"/>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row>
    <row r="302" spans="2:33" ht="12.75">
      <c r="B302" s="283"/>
      <c r="C302" s="5"/>
      <c r="D302" s="5"/>
      <c r="E302" s="5"/>
      <c r="F302" s="5"/>
      <c r="G302" s="5"/>
      <c r="H302" s="5"/>
      <c r="I302" s="3"/>
      <c r="J302" s="6"/>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row>
    <row r="303" spans="2:33" ht="12.75">
      <c r="B303" s="283"/>
      <c r="C303" s="5"/>
      <c r="D303" s="5"/>
      <c r="E303" s="5"/>
      <c r="F303" s="5"/>
      <c r="G303" s="5"/>
      <c r="H303" s="5"/>
      <c r="I303" s="3"/>
      <c r="J303" s="6"/>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row>
    <row r="304" spans="2:33" ht="12.75">
      <c r="B304" s="283"/>
      <c r="C304" s="5"/>
      <c r="D304" s="5"/>
      <c r="E304" s="5"/>
      <c r="F304" s="5"/>
      <c r="G304" s="5"/>
      <c r="H304" s="5"/>
      <c r="I304" s="3"/>
      <c r="J304" s="6"/>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row>
    <row r="305" spans="2:33" ht="12.75">
      <c r="B305" s="283"/>
      <c r="C305" s="5"/>
      <c r="D305" s="5"/>
      <c r="E305" s="5"/>
      <c r="F305" s="5"/>
      <c r="G305" s="5"/>
      <c r="H305" s="5"/>
      <c r="I305" s="3"/>
      <c r="J305" s="6"/>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row>
    <row r="306" spans="2:33" ht="12.75">
      <c r="B306" s="283"/>
      <c r="C306" s="5"/>
      <c r="D306" s="5"/>
      <c r="E306" s="5"/>
      <c r="F306" s="5"/>
      <c r="G306" s="5"/>
      <c r="H306" s="5"/>
      <c r="I306" s="3"/>
      <c r="J306" s="6"/>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row>
    <row r="307" spans="2:33" ht="12.75">
      <c r="B307" s="283"/>
      <c r="C307" s="5"/>
      <c r="D307" s="5"/>
      <c r="E307" s="5"/>
      <c r="F307" s="5"/>
      <c r="G307" s="5"/>
      <c r="H307" s="5"/>
      <c r="I307" s="3"/>
      <c r="J307" s="6"/>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row>
    <row r="308" spans="2:33" ht="12.75">
      <c r="B308" s="283"/>
      <c r="C308" s="5"/>
      <c r="D308" s="5"/>
      <c r="E308" s="5"/>
      <c r="F308" s="5"/>
      <c r="G308" s="5"/>
      <c r="H308" s="5"/>
      <c r="I308" s="3"/>
      <c r="J308" s="6"/>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row>
    <row r="309" spans="2:33" ht="12.75">
      <c r="B309" s="283"/>
      <c r="C309" s="5"/>
      <c r="D309" s="5"/>
      <c r="E309" s="5"/>
      <c r="F309" s="5"/>
      <c r="G309" s="5"/>
      <c r="H309" s="5"/>
      <c r="I309" s="3"/>
      <c r="J309" s="6"/>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row>
    <row r="310" spans="2:33" ht="12.75">
      <c r="B310" s="283"/>
      <c r="C310" s="5"/>
      <c r="D310" s="5"/>
      <c r="E310" s="5"/>
      <c r="F310" s="5"/>
      <c r="G310" s="5"/>
      <c r="H310" s="5"/>
      <c r="I310" s="3"/>
      <c r="J310" s="6"/>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row>
    <row r="311" spans="2:33" ht="12.75">
      <c r="B311" s="283"/>
      <c r="C311" s="5"/>
      <c r="D311" s="5"/>
      <c r="E311" s="5"/>
      <c r="F311" s="5"/>
      <c r="G311" s="5"/>
      <c r="H311" s="5"/>
      <c r="I311" s="3"/>
      <c r="J311" s="6"/>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row>
    <row r="312" spans="2:33" ht="12.75">
      <c r="B312" s="283"/>
      <c r="C312" s="5"/>
      <c r="D312" s="5"/>
      <c r="E312" s="5"/>
      <c r="F312" s="5"/>
      <c r="G312" s="5"/>
      <c r="H312" s="5"/>
      <c r="I312" s="3"/>
      <c r="J312" s="6"/>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row>
    <row r="313" spans="2:33" ht="12.75">
      <c r="B313" s="283"/>
      <c r="C313" s="5"/>
      <c r="D313" s="5"/>
      <c r="E313" s="5"/>
      <c r="F313" s="5"/>
      <c r="G313" s="5"/>
      <c r="H313" s="5"/>
      <c r="I313" s="3"/>
      <c r="J313" s="6"/>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row>
    <row r="314" spans="2:33" ht="12.75">
      <c r="B314" s="283"/>
      <c r="C314" s="5"/>
      <c r="D314" s="5"/>
      <c r="E314" s="5"/>
      <c r="F314" s="5"/>
      <c r="G314" s="5"/>
      <c r="H314" s="5"/>
      <c r="I314" s="3"/>
      <c r="J314" s="6"/>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row>
    <row r="315" spans="2:33" ht="12.75">
      <c r="B315" s="283"/>
      <c r="C315" s="5"/>
      <c r="D315" s="5"/>
      <c r="E315" s="5"/>
      <c r="F315" s="5"/>
      <c r="G315" s="5"/>
      <c r="H315" s="5"/>
      <c r="I315" s="3"/>
      <c r="J315" s="6"/>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row>
    <row r="316" spans="2:33" ht="12.75">
      <c r="B316" s="283"/>
      <c r="C316" s="5"/>
      <c r="D316" s="5"/>
      <c r="E316" s="5"/>
      <c r="F316" s="5"/>
      <c r="G316" s="5"/>
      <c r="H316" s="5"/>
      <c r="I316" s="3"/>
      <c r="J316" s="6"/>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row>
    <row r="317" spans="2:33" ht="12.75">
      <c r="B317" s="283"/>
      <c r="C317" s="5"/>
      <c r="D317" s="5"/>
      <c r="E317" s="5"/>
      <c r="F317" s="5"/>
      <c r="G317" s="5"/>
      <c r="H317" s="5"/>
      <c r="I317" s="3"/>
      <c r="J317" s="6"/>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row>
    <row r="318" spans="2:33" ht="12.75">
      <c r="B318" s="283"/>
      <c r="C318" s="5"/>
      <c r="D318" s="5"/>
      <c r="E318" s="5"/>
      <c r="F318" s="5"/>
      <c r="G318" s="5"/>
      <c r="H318" s="5"/>
      <c r="I318" s="3"/>
      <c r="J318" s="6"/>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row>
    <row r="319" spans="2:33" ht="12.75">
      <c r="B319" s="283"/>
      <c r="C319" s="5"/>
      <c r="D319" s="5"/>
      <c r="E319" s="5"/>
      <c r="F319" s="5"/>
      <c r="G319" s="5"/>
      <c r="H319" s="5"/>
      <c r="I319" s="3"/>
      <c r="J319" s="6"/>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row>
    <row r="320" spans="2:33" ht="12.75">
      <c r="B320" s="283"/>
      <c r="C320" s="5"/>
      <c r="D320" s="5"/>
      <c r="E320" s="5"/>
      <c r="F320" s="5"/>
      <c r="G320" s="5"/>
      <c r="H320" s="5"/>
      <c r="I320" s="3"/>
      <c r="J320" s="6"/>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row>
    <row r="321" spans="2:33" ht="12.75">
      <c r="B321" s="283"/>
      <c r="C321" s="5"/>
      <c r="D321" s="5"/>
      <c r="E321" s="5"/>
      <c r="F321" s="5"/>
      <c r="G321" s="5"/>
      <c r="H321" s="5"/>
      <c r="I321" s="3"/>
      <c r="J321" s="6"/>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row>
    <row r="322" spans="2:33" ht="12.75">
      <c r="B322" s="283"/>
      <c r="C322" s="5"/>
      <c r="D322" s="5"/>
      <c r="E322" s="5"/>
      <c r="F322" s="5"/>
      <c r="G322" s="5"/>
      <c r="H322" s="5"/>
      <c r="I322" s="3"/>
      <c r="J322" s="6"/>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row>
    <row r="323" spans="2:33" ht="12.75">
      <c r="B323" s="283"/>
      <c r="C323" s="5"/>
      <c r="D323" s="5"/>
      <c r="E323" s="5"/>
      <c r="F323" s="5"/>
      <c r="G323" s="5"/>
      <c r="H323" s="5"/>
      <c r="I323" s="3"/>
      <c r="J323" s="6"/>
      <c r="K323" s="69"/>
      <c r="L323" s="69"/>
      <c r="M323" s="69"/>
      <c r="N323" s="69"/>
      <c r="O323" s="69"/>
      <c r="P323" s="69"/>
      <c r="Q323" s="69"/>
      <c r="R323" s="69"/>
      <c r="S323" s="69"/>
      <c r="T323" s="69"/>
      <c r="U323" s="69"/>
      <c r="V323" s="69"/>
      <c r="W323" s="69"/>
      <c r="X323" s="69"/>
      <c r="Y323" s="69"/>
      <c r="Z323" s="69"/>
      <c r="AA323" s="69"/>
      <c r="AB323" s="69"/>
      <c r="AC323" s="69"/>
      <c r="AD323" s="69"/>
      <c r="AE323" s="69"/>
      <c r="AF323" s="69"/>
      <c r="AG323" s="69"/>
    </row>
    <row r="324" spans="2:33" ht="12.75">
      <c r="B324" s="283"/>
      <c r="C324" s="5"/>
      <c r="D324" s="5"/>
      <c r="E324" s="5"/>
      <c r="F324" s="5"/>
      <c r="G324" s="5"/>
      <c r="H324" s="5"/>
      <c r="I324" s="3"/>
      <c r="J324" s="6"/>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row>
    <row r="325" spans="2:33" ht="12.75">
      <c r="B325" s="283"/>
      <c r="C325" s="5"/>
      <c r="D325" s="5"/>
      <c r="E325" s="5"/>
      <c r="F325" s="5"/>
      <c r="G325" s="5"/>
      <c r="H325" s="5"/>
      <c r="I325" s="3"/>
      <c r="J325" s="6"/>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row>
    <row r="326" spans="2:33" ht="12.75">
      <c r="B326" s="283"/>
      <c r="C326" s="5"/>
      <c r="D326" s="5"/>
      <c r="E326" s="5"/>
      <c r="F326" s="5"/>
      <c r="G326" s="5"/>
      <c r="H326" s="5"/>
      <c r="I326" s="3"/>
      <c r="J326" s="6"/>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row>
    <row r="327" spans="2:33" ht="12.75">
      <c r="B327" s="283"/>
      <c r="C327" s="5"/>
      <c r="D327" s="5"/>
      <c r="E327" s="5"/>
      <c r="F327" s="5"/>
      <c r="G327" s="5"/>
      <c r="H327" s="5"/>
      <c r="I327" s="3"/>
      <c r="J327" s="6"/>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row>
    <row r="328" spans="2:33" ht="12.75">
      <c r="B328" s="283"/>
      <c r="C328" s="5"/>
      <c r="D328" s="5"/>
      <c r="E328" s="5"/>
      <c r="F328" s="5"/>
      <c r="G328" s="5"/>
      <c r="H328" s="5"/>
      <c r="I328" s="3"/>
      <c r="J328" s="6"/>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row>
    <row r="329" spans="2:33" ht="12.75">
      <c r="B329" s="283"/>
      <c r="C329" s="5"/>
      <c r="D329" s="5"/>
      <c r="E329" s="5"/>
      <c r="F329" s="5"/>
      <c r="G329" s="5"/>
      <c r="H329" s="5"/>
      <c r="I329" s="3"/>
      <c r="J329" s="6"/>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row>
    <row r="330" spans="2:33" ht="12.75">
      <c r="B330" s="283"/>
      <c r="C330" s="5"/>
      <c r="D330" s="5"/>
      <c r="E330" s="5"/>
      <c r="F330" s="5"/>
      <c r="G330" s="5"/>
      <c r="H330" s="5"/>
      <c r="I330" s="3"/>
      <c r="J330" s="6"/>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row>
    <row r="331" spans="2:33" ht="12.75">
      <c r="B331" s="283"/>
      <c r="C331" s="5"/>
      <c r="D331" s="5"/>
      <c r="E331" s="5"/>
      <c r="F331" s="5"/>
      <c r="G331" s="5"/>
      <c r="H331" s="5"/>
      <c r="I331" s="3"/>
      <c r="J331" s="6"/>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row>
    <row r="332" spans="2:33" ht="12.75">
      <c r="B332" s="283"/>
      <c r="C332" s="5"/>
      <c r="D332" s="5"/>
      <c r="E332" s="5"/>
      <c r="F332" s="5"/>
      <c r="G332" s="5"/>
      <c r="H332" s="5"/>
      <c r="I332" s="3"/>
      <c r="J332" s="6"/>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row>
    <row r="333" spans="2:33" ht="12.75">
      <c r="B333" s="283"/>
      <c r="C333" s="5"/>
      <c r="D333" s="5"/>
      <c r="E333" s="5"/>
      <c r="F333" s="5"/>
      <c r="G333" s="5"/>
      <c r="H333" s="5"/>
      <c r="I333" s="3"/>
      <c r="J333" s="6"/>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row>
    <row r="334" spans="2:33" ht="12.75">
      <c r="B334" s="283"/>
      <c r="C334" s="5"/>
      <c r="D334" s="5"/>
      <c r="E334" s="5"/>
      <c r="F334" s="5"/>
      <c r="G334" s="5"/>
      <c r="H334" s="5"/>
      <c r="I334" s="3"/>
      <c r="J334" s="6"/>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row>
    <row r="335" spans="2:33" ht="12.75">
      <c r="B335" s="283"/>
      <c r="C335" s="5"/>
      <c r="D335" s="5"/>
      <c r="E335" s="5"/>
      <c r="F335" s="5"/>
      <c r="G335" s="5"/>
      <c r="H335" s="5"/>
      <c r="I335" s="3"/>
      <c r="J335" s="6"/>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row>
    <row r="336" spans="2:33" ht="12.75">
      <c r="B336" s="283"/>
      <c r="C336" s="5"/>
      <c r="D336" s="5"/>
      <c r="E336" s="5"/>
      <c r="F336" s="5"/>
      <c r="G336" s="5"/>
      <c r="H336" s="5"/>
      <c r="I336" s="3"/>
      <c r="J336" s="6"/>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row>
    <row r="337" spans="2:33" ht="12.75">
      <c r="B337" s="283"/>
      <c r="C337" s="5"/>
      <c r="D337" s="5"/>
      <c r="E337" s="5"/>
      <c r="F337" s="5"/>
      <c r="G337" s="5"/>
      <c r="H337" s="5"/>
      <c r="I337" s="3"/>
      <c r="J337" s="6"/>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row>
    <row r="338" spans="2:33" ht="12.75">
      <c r="B338" s="283"/>
      <c r="C338" s="5"/>
      <c r="D338" s="5"/>
      <c r="E338" s="5"/>
      <c r="F338" s="5"/>
      <c r="G338" s="5"/>
      <c r="H338" s="5"/>
      <c r="I338" s="3"/>
      <c r="J338" s="6"/>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row>
    <row r="339" spans="2:33" ht="12.75">
      <c r="B339" s="283"/>
      <c r="C339" s="5"/>
      <c r="D339" s="5"/>
      <c r="E339" s="5"/>
      <c r="F339" s="5"/>
      <c r="G339" s="5"/>
      <c r="H339" s="5"/>
      <c r="I339" s="3"/>
      <c r="J339" s="6"/>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row>
    <row r="340" spans="2:33" ht="12.75">
      <c r="B340" s="283"/>
      <c r="C340" s="5"/>
      <c r="D340" s="5"/>
      <c r="E340" s="5"/>
      <c r="F340" s="5"/>
      <c r="G340" s="5"/>
      <c r="H340" s="5"/>
      <c r="I340" s="3"/>
      <c r="J340" s="6"/>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row>
    <row r="341" spans="2:33" ht="12.75">
      <c r="B341" s="283"/>
      <c r="C341" s="5"/>
      <c r="D341" s="5"/>
      <c r="E341" s="5"/>
      <c r="F341" s="5"/>
      <c r="G341" s="5"/>
      <c r="H341" s="5"/>
      <c r="I341" s="3"/>
      <c r="J341" s="6"/>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row>
    <row r="342" spans="2:33" ht="12.75">
      <c r="B342" s="283"/>
      <c r="C342" s="5"/>
      <c r="D342" s="5"/>
      <c r="E342" s="5"/>
      <c r="F342" s="5"/>
      <c r="G342" s="5"/>
      <c r="H342" s="5"/>
      <c r="I342" s="3"/>
      <c r="J342" s="6"/>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row>
    <row r="343" spans="2:33" ht="12.75">
      <c r="B343" s="283"/>
      <c r="C343" s="5"/>
      <c r="D343" s="5"/>
      <c r="E343" s="5"/>
      <c r="F343" s="5"/>
      <c r="G343" s="5"/>
      <c r="H343" s="5"/>
      <c r="I343" s="3"/>
      <c r="J343" s="6"/>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row>
    <row r="344" spans="2:33" ht="12.75">
      <c r="B344" s="283"/>
      <c r="C344" s="5"/>
      <c r="D344" s="5"/>
      <c r="E344" s="5"/>
      <c r="F344" s="5"/>
      <c r="G344" s="5"/>
      <c r="H344" s="5"/>
      <c r="I344" s="3"/>
      <c r="J344" s="6"/>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row>
    <row r="345" spans="2:33" ht="12.75">
      <c r="B345" s="283"/>
      <c r="C345" s="5"/>
      <c r="D345" s="5"/>
      <c r="E345" s="5"/>
      <c r="F345" s="5"/>
      <c r="G345" s="5"/>
      <c r="H345" s="5"/>
      <c r="I345" s="3"/>
      <c r="J345" s="6"/>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row>
    <row r="346" spans="2:33" ht="12.75">
      <c r="B346" s="283"/>
      <c r="C346" s="5"/>
      <c r="D346" s="5"/>
      <c r="E346" s="5"/>
      <c r="F346" s="5"/>
      <c r="G346" s="5"/>
      <c r="H346" s="5"/>
      <c r="I346" s="3"/>
      <c r="J346" s="6"/>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row>
    <row r="347" spans="2:33" ht="12.75">
      <c r="B347" s="283"/>
      <c r="C347" s="5"/>
      <c r="D347" s="5"/>
      <c r="E347" s="5"/>
      <c r="F347" s="5"/>
      <c r="G347" s="5"/>
      <c r="H347" s="5"/>
      <c r="I347" s="3"/>
      <c r="J347" s="6"/>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row>
    <row r="348" spans="2:33" ht="12.75">
      <c r="B348" s="283"/>
      <c r="C348" s="5"/>
      <c r="D348" s="5"/>
      <c r="E348" s="5"/>
      <c r="F348" s="5"/>
      <c r="G348" s="5"/>
      <c r="H348" s="5"/>
      <c r="I348" s="3"/>
      <c r="J348" s="6"/>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row>
    <row r="349" spans="2:33" ht="12.75">
      <c r="B349" s="283"/>
      <c r="C349" s="5"/>
      <c r="D349" s="5"/>
      <c r="E349" s="5"/>
      <c r="F349" s="5"/>
      <c r="G349" s="5"/>
      <c r="H349" s="5"/>
      <c r="I349" s="3"/>
      <c r="J349" s="6"/>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row>
    <row r="350" spans="2:33" ht="12.75">
      <c r="B350" s="283"/>
      <c r="C350" s="5"/>
      <c r="D350" s="5"/>
      <c r="E350" s="5"/>
      <c r="F350" s="5"/>
      <c r="G350" s="5"/>
      <c r="H350" s="5"/>
      <c r="I350" s="3"/>
      <c r="J350" s="6"/>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row>
    <row r="351" spans="2:33" ht="12.75">
      <c r="B351" s="283"/>
      <c r="C351" s="5"/>
      <c r="D351" s="5"/>
      <c r="E351" s="5"/>
      <c r="F351" s="5"/>
      <c r="G351" s="5"/>
      <c r="H351" s="5"/>
      <c r="I351" s="3"/>
      <c r="J351" s="6"/>
      <c r="K351" s="69"/>
      <c r="L351" s="69"/>
      <c r="M351" s="69"/>
      <c r="N351" s="69"/>
      <c r="O351" s="69"/>
      <c r="P351" s="69"/>
      <c r="Q351" s="69"/>
      <c r="R351" s="69"/>
      <c r="S351" s="69"/>
      <c r="T351" s="69"/>
      <c r="U351" s="69"/>
      <c r="V351" s="69"/>
      <c r="W351" s="69"/>
      <c r="X351" s="69"/>
      <c r="Y351" s="69"/>
      <c r="Z351" s="69"/>
      <c r="AA351" s="69"/>
      <c r="AB351" s="69"/>
      <c r="AC351" s="69"/>
      <c r="AD351" s="69"/>
      <c r="AE351" s="69"/>
      <c r="AF351" s="69"/>
      <c r="AG351" s="69"/>
    </row>
    <row r="352" spans="2:33" ht="12.75">
      <c r="B352" s="283"/>
      <c r="C352" s="5"/>
      <c r="D352" s="5"/>
      <c r="E352" s="5"/>
      <c r="F352" s="5"/>
      <c r="G352" s="5"/>
      <c r="H352" s="5"/>
      <c r="I352" s="3"/>
      <c r="J352" s="6"/>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row>
    <row r="353" spans="2:33" ht="12.75">
      <c r="B353" s="283"/>
      <c r="C353" s="5"/>
      <c r="D353" s="5"/>
      <c r="E353" s="5"/>
      <c r="F353" s="5"/>
      <c r="G353" s="5"/>
      <c r="H353" s="5"/>
      <c r="I353" s="3"/>
      <c r="J353" s="6"/>
      <c r="K353" s="69"/>
      <c r="L353" s="69"/>
      <c r="M353" s="69"/>
      <c r="N353" s="69"/>
      <c r="O353" s="69"/>
      <c r="P353" s="69"/>
      <c r="Q353" s="69"/>
      <c r="R353" s="69"/>
      <c r="S353" s="69"/>
      <c r="T353" s="69"/>
      <c r="U353" s="69"/>
      <c r="V353" s="69"/>
      <c r="W353" s="69"/>
      <c r="X353" s="69"/>
      <c r="Y353" s="69"/>
      <c r="Z353" s="69"/>
      <c r="AA353" s="69"/>
      <c r="AB353" s="69"/>
      <c r="AC353" s="69"/>
      <c r="AD353" s="69"/>
      <c r="AE353" s="69"/>
      <c r="AF353" s="69"/>
      <c r="AG353" s="69"/>
    </row>
    <row r="354" spans="2:33" ht="12.75">
      <c r="B354" s="283"/>
      <c r="C354" s="5"/>
      <c r="D354" s="5"/>
      <c r="E354" s="5"/>
      <c r="F354" s="5"/>
      <c r="G354" s="5"/>
      <c r="H354" s="5"/>
      <c r="I354" s="3"/>
      <c r="J354" s="6"/>
      <c r="K354" s="69"/>
      <c r="L354" s="69"/>
      <c r="M354" s="69"/>
      <c r="N354" s="69"/>
      <c r="O354" s="69"/>
      <c r="P354" s="69"/>
      <c r="Q354" s="69"/>
      <c r="R354" s="69"/>
      <c r="S354" s="69"/>
      <c r="T354" s="69"/>
      <c r="U354" s="69"/>
      <c r="V354" s="69"/>
      <c r="W354" s="69"/>
      <c r="X354" s="69"/>
      <c r="Y354" s="69"/>
      <c r="Z354" s="69"/>
      <c r="AA354" s="69"/>
      <c r="AB354" s="69"/>
      <c r="AC354" s="69"/>
      <c r="AD354" s="69"/>
      <c r="AE354" s="69"/>
      <c r="AF354" s="69"/>
      <c r="AG354" s="69"/>
    </row>
    <row r="355" spans="2:33" ht="12.75">
      <c r="B355" s="283"/>
      <c r="C355" s="5"/>
      <c r="D355" s="5"/>
      <c r="E355" s="5"/>
      <c r="F355" s="5"/>
      <c r="G355" s="5"/>
      <c r="H355" s="5"/>
      <c r="I355" s="3"/>
      <c r="J355" s="6"/>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row>
    <row r="356" spans="2:33" ht="12.75">
      <c r="B356" s="283"/>
      <c r="C356" s="5"/>
      <c r="D356" s="5"/>
      <c r="E356" s="5"/>
      <c r="F356" s="5"/>
      <c r="G356" s="5"/>
      <c r="H356" s="5"/>
      <c r="I356" s="3"/>
      <c r="J356" s="6"/>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row>
    <row r="357" spans="2:33" ht="12.75">
      <c r="B357" s="283"/>
      <c r="C357" s="5"/>
      <c r="D357" s="5"/>
      <c r="E357" s="5"/>
      <c r="F357" s="5"/>
      <c r="G357" s="5"/>
      <c r="H357" s="5"/>
      <c r="I357" s="3"/>
      <c r="J357" s="6"/>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row>
    <row r="358" spans="2:33" ht="12.75">
      <c r="B358" s="283"/>
      <c r="C358" s="5"/>
      <c r="D358" s="5"/>
      <c r="E358" s="5"/>
      <c r="F358" s="5"/>
      <c r="G358" s="5"/>
      <c r="H358" s="5"/>
      <c r="I358" s="3"/>
      <c r="J358" s="6"/>
      <c r="K358" s="69"/>
      <c r="L358" s="69"/>
      <c r="M358" s="69"/>
      <c r="N358" s="69"/>
      <c r="O358" s="69"/>
      <c r="P358" s="69"/>
      <c r="Q358" s="69"/>
      <c r="R358" s="69"/>
      <c r="S358" s="69"/>
      <c r="T358" s="69"/>
      <c r="U358" s="69"/>
      <c r="V358" s="69"/>
      <c r="W358" s="69"/>
      <c r="X358" s="69"/>
      <c r="Y358" s="69"/>
      <c r="Z358" s="69"/>
      <c r="AA358" s="69"/>
      <c r="AB358" s="69"/>
      <c r="AC358" s="69"/>
      <c r="AD358" s="69"/>
      <c r="AE358" s="69"/>
      <c r="AF358" s="69"/>
      <c r="AG358" s="69"/>
    </row>
    <row r="359" spans="2:33" ht="12.75">
      <c r="B359" s="283"/>
      <c r="C359" s="5"/>
      <c r="D359" s="5"/>
      <c r="E359" s="5"/>
      <c r="F359" s="5"/>
      <c r="G359" s="5"/>
      <c r="H359" s="5"/>
      <c r="I359" s="3"/>
      <c r="J359" s="6"/>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row>
    <row r="360" spans="2:33" ht="12.75">
      <c r="B360" s="283"/>
      <c r="C360" s="5"/>
      <c r="D360" s="5"/>
      <c r="E360" s="5"/>
      <c r="F360" s="5"/>
      <c r="G360" s="5"/>
      <c r="H360" s="5"/>
      <c r="I360" s="3"/>
      <c r="J360" s="6"/>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row>
    <row r="361" spans="2:33" ht="12.75">
      <c r="B361" s="283"/>
      <c r="C361" s="5"/>
      <c r="D361" s="5"/>
      <c r="E361" s="5"/>
      <c r="F361" s="5"/>
      <c r="G361" s="5"/>
      <c r="H361" s="5"/>
      <c r="I361" s="3"/>
      <c r="J361" s="6"/>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row>
    <row r="362" spans="2:33" ht="12.75">
      <c r="B362" s="283"/>
      <c r="C362" s="5"/>
      <c r="D362" s="5"/>
      <c r="E362" s="5"/>
      <c r="F362" s="5"/>
      <c r="G362" s="5"/>
      <c r="H362" s="5"/>
      <c r="I362" s="3"/>
      <c r="J362" s="6"/>
      <c r="K362" s="69"/>
      <c r="L362" s="69"/>
      <c r="M362" s="69"/>
      <c r="N362" s="69"/>
      <c r="O362" s="69"/>
      <c r="P362" s="69"/>
      <c r="Q362" s="69"/>
      <c r="R362" s="69"/>
      <c r="S362" s="69"/>
      <c r="T362" s="69"/>
      <c r="U362" s="69"/>
      <c r="V362" s="69"/>
      <c r="W362" s="69"/>
      <c r="X362" s="69"/>
      <c r="Y362" s="69"/>
      <c r="Z362" s="69"/>
      <c r="AA362" s="69"/>
      <c r="AB362" s="69"/>
      <c r="AC362" s="69"/>
      <c r="AD362" s="69"/>
      <c r="AE362" s="69"/>
      <c r="AF362" s="69"/>
      <c r="AG362" s="69"/>
    </row>
    <row r="363" spans="2:33" ht="12.75">
      <c r="B363" s="283"/>
      <c r="C363" s="5"/>
      <c r="D363" s="5"/>
      <c r="E363" s="5"/>
      <c r="F363" s="5"/>
      <c r="G363" s="5"/>
      <c r="H363" s="5"/>
      <c r="I363" s="3"/>
      <c r="J363" s="6"/>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row>
    <row r="364" spans="2:33" ht="12.75">
      <c r="B364" s="283"/>
      <c r="C364" s="5"/>
      <c r="D364" s="5"/>
      <c r="E364" s="5"/>
      <c r="F364" s="5"/>
      <c r="G364" s="5"/>
      <c r="H364" s="5"/>
      <c r="I364" s="3"/>
      <c r="J364" s="6"/>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row>
    <row r="365" spans="2:33" ht="12.75">
      <c r="B365" s="283"/>
      <c r="C365" s="5"/>
      <c r="D365" s="5"/>
      <c r="E365" s="5"/>
      <c r="F365" s="5"/>
      <c r="G365" s="5"/>
      <c r="H365" s="5"/>
      <c r="I365" s="3"/>
      <c r="J365" s="6"/>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row>
    <row r="366" spans="2:33" ht="12.75">
      <c r="B366" s="283"/>
      <c r="C366" s="5"/>
      <c r="D366" s="5"/>
      <c r="E366" s="5"/>
      <c r="F366" s="5"/>
      <c r="G366" s="5"/>
      <c r="H366" s="5"/>
      <c r="I366" s="3"/>
      <c r="J366" s="6"/>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row>
    <row r="367" spans="2:33" ht="12.75">
      <c r="B367" s="283"/>
      <c r="C367" s="5"/>
      <c r="D367" s="5"/>
      <c r="E367" s="5"/>
      <c r="F367" s="5"/>
      <c r="G367" s="5"/>
      <c r="H367" s="5"/>
      <c r="I367" s="3"/>
      <c r="J367" s="6"/>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row>
    <row r="368" spans="2:33" ht="12.75">
      <c r="B368" s="283"/>
      <c r="C368" s="5"/>
      <c r="D368" s="5"/>
      <c r="E368" s="5"/>
      <c r="F368" s="5"/>
      <c r="G368" s="5"/>
      <c r="H368" s="5"/>
      <c r="I368" s="3"/>
      <c r="J368" s="6"/>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row>
    <row r="369" spans="2:33" ht="12.75">
      <c r="B369" s="283"/>
      <c r="C369" s="5"/>
      <c r="D369" s="5"/>
      <c r="E369" s="5"/>
      <c r="F369" s="5"/>
      <c r="G369" s="5"/>
      <c r="H369" s="5"/>
      <c r="I369" s="3"/>
      <c r="J369" s="6"/>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row>
    <row r="370" spans="2:33" ht="12.75">
      <c r="B370" s="283"/>
      <c r="C370" s="5"/>
      <c r="D370" s="5"/>
      <c r="E370" s="5"/>
      <c r="F370" s="5"/>
      <c r="G370" s="5"/>
      <c r="H370" s="5"/>
      <c r="I370" s="3"/>
      <c r="J370" s="6"/>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row>
    <row r="371" spans="2:33" ht="12.75">
      <c r="B371" s="283"/>
      <c r="C371" s="5"/>
      <c r="D371" s="5"/>
      <c r="E371" s="5"/>
      <c r="F371" s="5"/>
      <c r="G371" s="5"/>
      <c r="H371" s="5"/>
      <c r="I371" s="3"/>
      <c r="J371" s="6"/>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row>
    <row r="372" spans="2:33" ht="12.75">
      <c r="B372" s="283"/>
      <c r="C372" s="5"/>
      <c r="D372" s="5"/>
      <c r="E372" s="5"/>
      <c r="F372" s="5"/>
      <c r="G372" s="5"/>
      <c r="H372" s="5"/>
      <c r="I372" s="3"/>
      <c r="J372" s="6"/>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row>
    <row r="373" spans="2:33" ht="12.75">
      <c r="B373" s="283"/>
      <c r="C373" s="5"/>
      <c r="D373" s="5"/>
      <c r="E373" s="5"/>
      <c r="F373" s="5"/>
      <c r="G373" s="5"/>
      <c r="H373" s="5"/>
      <c r="I373" s="3"/>
      <c r="J373" s="6"/>
      <c r="K373" s="69"/>
      <c r="L373" s="69"/>
      <c r="M373" s="69"/>
      <c r="N373" s="69"/>
      <c r="O373" s="69"/>
      <c r="P373" s="69"/>
      <c r="Q373" s="69"/>
      <c r="R373" s="69"/>
      <c r="S373" s="69"/>
      <c r="T373" s="69"/>
      <c r="U373" s="69"/>
      <c r="V373" s="69"/>
      <c r="W373" s="69"/>
      <c r="X373" s="69"/>
      <c r="Y373" s="69"/>
      <c r="Z373" s="69"/>
      <c r="AA373" s="69"/>
      <c r="AB373" s="69"/>
      <c r="AC373" s="69"/>
      <c r="AD373" s="69"/>
      <c r="AE373" s="69"/>
      <c r="AF373" s="69"/>
      <c r="AG373" s="69"/>
    </row>
    <row r="374" spans="2:33" ht="12.75">
      <c r="B374" s="283"/>
      <c r="C374" s="5"/>
      <c r="D374" s="5"/>
      <c r="E374" s="5"/>
      <c r="F374" s="5"/>
      <c r="G374" s="5"/>
      <c r="H374" s="5"/>
      <c r="I374" s="3"/>
      <c r="J374" s="6"/>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row>
    <row r="375" spans="2:33" ht="12.75">
      <c r="B375" s="283"/>
      <c r="C375" s="5"/>
      <c r="D375" s="5"/>
      <c r="E375" s="5"/>
      <c r="F375" s="5"/>
      <c r="G375" s="5"/>
      <c r="H375" s="5"/>
      <c r="I375" s="3"/>
      <c r="J375" s="6"/>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row>
    <row r="376" spans="2:33" ht="12.75">
      <c r="B376" s="283"/>
      <c r="C376" s="5"/>
      <c r="D376" s="5"/>
      <c r="E376" s="5"/>
      <c r="F376" s="5"/>
      <c r="G376" s="5"/>
      <c r="H376" s="5"/>
      <c r="I376" s="3"/>
      <c r="J376" s="6"/>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row>
    <row r="377" spans="2:33" ht="12.75">
      <c r="B377" s="283"/>
      <c r="C377" s="5"/>
      <c r="D377" s="5"/>
      <c r="E377" s="5"/>
      <c r="F377" s="5"/>
      <c r="G377" s="5"/>
      <c r="H377" s="5"/>
      <c r="I377" s="3"/>
      <c r="J377" s="6"/>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row>
    <row r="378" spans="2:33" ht="12.75">
      <c r="B378" s="283"/>
      <c r="C378" s="5"/>
      <c r="D378" s="5"/>
      <c r="E378" s="5"/>
      <c r="F378" s="5"/>
      <c r="G378" s="5"/>
      <c r="H378" s="5"/>
      <c r="I378" s="3"/>
      <c r="J378" s="6"/>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row>
    <row r="379" spans="2:33" ht="12.75">
      <c r="B379" s="283"/>
      <c r="C379" s="5"/>
      <c r="D379" s="5"/>
      <c r="E379" s="5"/>
      <c r="F379" s="5"/>
      <c r="G379" s="5"/>
      <c r="H379" s="5"/>
      <c r="I379" s="3"/>
      <c r="J379" s="6"/>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row>
    <row r="380" spans="2:33" ht="12.75">
      <c r="B380" s="283"/>
      <c r="C380" s="5"/>
      <c r="D380" s="5"/>
      <c r="E380" s="5"/>
      <c r="F380" s="5"/>
      <c r="G380" s="5"/>
      <c r="H380" s="5"/>
      <c r="I380" s="3"/>
      <c r="J380" s="6"/>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row>
    <row r="381" spans="2:33" ht="12.75">
      <c r="B381" s="283"/>
      <c r="C381" s="5"/>
      <c r="D381" s="5"/>
      <c r="E381" s="5"/>
      <c r="F381" s="5"/>
      <c r="G381" s="5"/>
      <c r="H381" s="5"/>
      <c r="I381" s="3"/>
      <c r="J381" s="6"/>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row>
    <row r="382" spans="2:33" ht="12.75">
      <c r="B382" s="283"/>
      <c r="C382" s="5"/>
      <c r="D382" s="5"/>
      <c r="E382" s="5"/>
      <c r="F382" s="5"/>
      <c r="G382" s="5"/>
      <c r="H382" s="5"/>
      <c r="I382" s="3"/>
      <c r="J382" s="6"/>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row>
    <row r="383" spans="2:33" ht="12.75">
      <c r="B383" s="283"/>
      <c r="C383" s="5"/>
      <c r="D383" s="5"/>
      <c r="E383" s="5"/>
      <c r="F383" s="5"/>
      <c r="G383" s="5"/>
      <c r="H383" s="5"/>
      <c r="I383" s="3"/>
      <c r="J383" s="6"/>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row>
    <row r="384" spans="2:33" ht="12.75">
      <c r="B384" s="283"/>
      <c r="C384" s="5"/>
      <c r="D384" s="5"/>
      <c r="E384" s="5"/>
      <c r="F384" s="5"/>
      <c r="G384" s="5"/>
      <c r="H384" s="5"/>
      <c r="I384" s="3"/>
      <c r="J384" s="6"/>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row>
    <row r="385" spans="2:33" ht="12.75">
      <c r="B385" s="283"/>
      <c r="C385" s="5"/>
      <c r="D385" s="5"/>
      <c r="E385" s="5"/>
      <c r="F385" s="5"/>
      <c r="G385" s="5"/>
      <c r="H385" s="5"/>
      <c r="I385" s="3"/>
      <c r="J385" s="6"/>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row>
    <row r="386" spans="2:33" ht="12.75">
      <c r="B386" s="283"/>
      <c r="C386" s="5"/>
      <c r="D386" s="5"/>
      <c r="E386" s="5"/>
      <c r="F386" s="5"/>
      <c r="G386" s="5"/>
      <c r="H386" s="5"/>
      <c r="I386" s="3"/>
      <c r="J386" s="6"/>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row>
    <row r="387" spans="2:33" ht="12.75">
      <c r="B387" s="283"/>
      <c r="C387" s="5"/>
      <c r="D387" s="5"/>
      <c r="E387" s="5"/>
      <c r="F387" s="5"/>
      <c r="G387" s="5"/>
      <c r="H387" s="5"/>
      <c r="I387" s="3"/>
      <c r="J387" s="6"/>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row>
    <row r="388" spans="2:33" ht="12.75">
      <c r="B388" s="283"/>
      <c r="C388" s="5"/>
      <c r="D388" s="5"/>
      <c r="E388" s="5"/>
      <c r="F388" s="5"/>
      <c r="G388" s="5"/>
      <c r="H388" s="5"/>
      <c r="I388" s="3"/>
      <c r="J388" s="6"/>
      <c r="K388" s="69"/>
      <c r="L388" s="69"/>
      <c r="M388" s="69"/>
      <c r="N388" s="69"/>
      <c r="O388" s="69"/>
      <c r="P388" s="69"/>
      <c r="Q388" s="69"/>
      <c r="R388" s="69"/>
      <c r="S388" s="69"/>
      <c r="T388" s="69"/>
      <c r="U388" s="69"/>
      <c r="V388" s="69"/>
      <c r="W388" s="69"/>
      <c r="X388" s="69"/>
      <c r="Y388" s="69"/>
      <c r="Z388" s="69"/>
      <c r="AA388" s="69"/>
      <c r="AB388" s="69"/>
      <c r="AC388" s="69"/>
      <c r="AD388" s="69"/>
      <c r="AE388" s="69"/>
      <c r="AF388" s="69"/>
      <c r="AG388" s="69"/>
    </row>
    <row r="389" spans="2:33" ht="12.75">
      <c r="B389" s="283"/>
      <c r="C389" s="5"/>
      <c r="D389" s="5"/>
      <c r="E389" s="5"/>
      <c r="F389" s="5"/>
      <c r="G389" s="5"/>
      <c r="H389" s="5"/>
      <c r="I389" s="3"/>
      <c r="J389" s="6"/>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row>
    <row r="390" spans="2:33" ht="12.75">
      <c r="B390" s="283"/>
      <c r="C390" s="5"/>
      <c r="D390" s="5"/>
      <c r="E390" s="5"/>
      <c r="F390" s="5"/>
      <c r="G390" s="5"/>
      <c r="H390" s="5"/>
      <c r="I390" s="3"/>
      <c r="J390" s="6"/>
      <c r="K390" s="69"/>
      <c r="L390" s="69"/>
      <c r="M390" s="69"/>
      <c r="N390" s="69"/>
      <c r="O390" s="69"/>
      <c r="P390" s="69"/>
      <c r="Q390" s="69"/>
      <c r="R390" s="69"/>
      <c r="S390" s="69"/>
      <c r="T390" s="69"/>
      <c r="U390" s="69"/>
      <c r="V390" s="69"/>
      <c r="W390" s="69"/>
      <c r="X390" s="69"/>
      <c r="Y390" s="69"/>
      <c r="Z390" s="69"/>
      <c r="AA390" s="69"/>
      <c r="AB390" s="69"/>
      <c r="AC390" s="69"/>
      <c r="AD390" s="69"/>
      <c r="AE390" s="69"/>
      <c r="AF390" s="69"/>
      <c r="AG390" s="69"/>
    </row>
    <row r="391" spans="2:33" ht="12.75">
      <c r="B391" s="283"/>
      <c r="C391" s="5"/>
      <c r="D391" s="5"/>
      <c r="E391" s="5"/>
      <c r="F391" s="5"/>
      <c r="G391" s="5"/>
      <c r="H391" s="5"/>
      <c r="I391" s="3"/>
      <c r="J391" s="6"/>
      <c r="K391" s="69"/>
      <c r="L391" s="69"/>
      <c r="M391" s="69"/>
      <c r="N391" s="69"/>
      <c r="O391" s="69"/>
      <c r="P391" s="69"/>
      <c r="Q391" s="69"/>
      <c r="R391" s="69"/>
      <c r="S391" s="69"/>
      <c r="T391" s="69"/>
      <c r="U391" s="69"/>
      <c r="V391" s="69"/>
      <c r="W391" s="69"/>
      <c r="X391" s="69"/>
      <c r="Y391" s="69"/>
      <c r="Z391" s="69"/>
      <c r="AA391" s="69"/>
      <c r="AB391" s="69"/>
      <c r="AC391" s="69"/>
      <c r="AD391" s="69"/>
      <c r="AE391" s="69"/>
      <c r="AF391" s="69"/>
      <c r="AG391" s="69"/>
    </row>
    <row r="392" spans="2:33" ht="12.75">
      <c r="B392" s="283"/>
      <c r="C392" s="5"/>
      <c r="D392" s="5"/>
      <c r="E392" s="5"/>
      <c r="F392" s="5"/>
      <c r="G392" s="5"/>
      <c r="H392" s="5"/>
      <c r="I392" s="3"/>
      <c r="J392" s="6"/>
      <c r="K392" s="69"/>
      <c r="L392" s="69"/>
      <c r="M392" s="69"/>
      <c r="N392" s="69"/>
      <c r="O392" s="69"/>
      <c r="P392" s="69"/>
      <c r="Q392" s="69"/>
      <c r="R392" s="69"/>
      <c r="S392" s="69"/>
      <c r="T392" s="69"/>
      <c r="U392" s="69"/>
      <c r="V392" s="69"/>
      <c r="W392" s="69"/>
      <c r="X392" s="69"/>
      <c r="Y392" s="69"/>
      <c r="Z392" s="69"/>
      <c r="AA392" s="69"/>
      <c r="AB392" s="69"/>
      <c r="AC392" s="69"/>
      <c r="AD392" s="69"/>
      <c r="AE392" s="69"/>
      <c r="AF392" s="69"/>
      <c r="AG392" s="69"/>
    </row>
    <row r="393" spans="2:33" ht="12.75">
      <c r="B393" s="283"/>
      <c r="C393" s="5"/>
      <c r="D393" s="5"/>
      <c r="E393" s="5"/>
      <c r="F393" s="5"/>
      <c r="G393" s="5"/>
      <c r="H393" s="5"/>
      <c r="I393" s="3"/>
      <c r="J393" s="6"/>
      <c r="K393" s="69"/>
      <c r="L393" s="69"/>
      <c r="M393" s="69"/>
      <c r="N393" s="69"/>
      <c r="O393" s="69"/>
      <c r="P393" s="69"/>
      <c r="Q393" s="69"/>
      <c r="R393" s="69"/>
      <c r="S393" s="69"/>
      <c r="T393" s="69"/>
      <c r="U393" s="69"/>
      <c r="V393" s="69"/>
      <c r="W393" s="69"/>
      <c r="X393" s="69"/>
      <c r="Y393" s="69"/>
      <c r="Z393" s="69"/>
      <c r="AA393" s="69"/>
      <c r="AB393" s="69"/>
      <c r="AC393" s="69"/>
      <c r="AD393" s="69"/>
      <c r="AE393" s="69"/>
      <c r="AF393" s="69"/>
      <c r="AG393" s="69"/>
    </row>
    <row r="394" spans="2:33" ht="12.75">
      <c r="B394" s="283"/>
      <c r="C394" s="5"/>
      <c r="D394" s="5"/>
      <c r="E394" s="5"/>
      <c r="F394" s="5"/>
      <c r="G394" s="5"/>
      <c r="H394" s="5"/>
      <c r="I394" s="3"/>
      <c r="J394" s="6"/>
      <c r="K394" s="69"/>
      <c r="L394" s="69"/>
      <c r="M394" s="69"/>
      <c r="N394" s="69"/>
      <c r="O394" s="69"/>
      <c r="P394" s="69"/>
      <c r="Q394" s="69"/>
      <c r="R394" s="69"/>
      <c r="S394" s="69"/>
      <c r="T394" s="69"/>
      <c r="U394" s="69"/>
      <c r="V394" s="69"/>
      <c r="W394" s="69"/>
      <c r="X394" s="69"/>
      <c r="Y394" s="69"/>
      <c r="Z394" s="69"/>
      <c r="AA394" s="69"/>
      <c r="AB394" s="69"/>
      <c r="AC394" s="69"/>
      <c r="AD394" s="69"/>
      <c r="AE394" s="69"/>
      <c r="AF394" s="69"/>
      <c r="AG394" s="69"/>
    </row>
    <row r="395" spans="2:33" ht="12.75">
      <c r="B395" s="283"/>
      <c r="C395" s="5"/>
      <c r="D395" s="5"/>
      <c r="E395" s="5"/>
      <c r="F395" s="5"/>
      <c r="G395" s="5"/>
      <c r="H395" s="5"/>
      <c r="I395" s="3"/>
      <c r="J395" s="6"/>
      <c r="K395" s="69"/>
      <c r="L395" s="69"/>
      <c r="M395" s="69"/>
      <c r="N395" s="69"/>
      <c r="O395" s="69"/>
      <c r="P395" s="69"/>
      <c r="Q395" s="69"/>
      <c r="R395" s="69"/>
      <c r="S395" s="69"/>
      <c r="T395" s="69"/>
      <c r="U395" s="69"/>
      <c r="V395" s="69"/>
      <c r="W395" s="69"/>
      <c r="X395" s="69"/>
      <c r="Y395" s="69"/>
      <c r="Z395" s="69"/>
      <c r="AA395" s="69"/>
      <c r="AB395" s="69"/>
      <c r="AC395" s="69"/>
      <c r="AD395" s="69"/>
      <c r="AE395" s="69"/>
      <c r="AF395" s="69"/>
      <c r="AG395" s="69"/>
    </row>
    <row r="396" spans="2:33" ht="12.75">
      <c r="B396" s="283"/>
      <c r="C396" s="5"/>
      <c r="D396" s="5"/>
      <c r="E396" s="5"/>
      <c r="F396" s="5"/>
      <c r="G396" s="5"/>
      <c r="H396" s="5"/>
      <c r="I396" s="3"/>
      <c r="J396" s="6"/>
      <c r="K396" s="69"/>
      <c r="L396" s="69"/>
      <c r="M396" s="69"/>
      <c r="N396" s="69"/>
      <c r="O396" s="69"/>
      <c r="P396" s="69"/>
      <c r="Q396" s="69"/>
      <c r="R396" s="69"/>
      <c r="S396" s="69"/>
      <c r="T396" s="69"/>
      <c r="U396" s="69"/>
      <c r="V396" s="69"/>
      <c r="W396" s="69"/>
      <c r="X396" s="69"/>
      <c r="Y396" s="69"/>
      <c r="Z396" s="69"/>
      <c r="AA396" s="69"/>
      <c r="AB396" s="69"/>
      <c r="AC396" s="69"/>
      <c r="AD396" s="69"/>
      <c r="AE396" s="69"/>
      <c r="AF396" s="69"/>
      <c r="AG396" s="69"/>
    </row>
    <row r="397" spans="2:33" ht="12.75">
      <c r="B397" s="283"/>
      <c r="C397" s="5"/>
      <c r="D397" s="5"/>
      <c r="E397" s="5"/>
      <c r="F397" s="5"/>
      <c r="G397" s="5"/>
      <c r="H397" s="5"/>
      <c r="I397" s="3"/>
      <c r="J397" s="6"/>
      <c r="K397" s="69"/>
      <c r="L397" s="69"/>
      <c r="M397" s="69"/>
      <c r="N397" s="69"/>
      <c r="O397" s="69"/>
      <c r="P397" s="69"/>
      <c r="Q397" s="69"/>
      <c r="R397" s="69"/>
      <c r="S397" s="69"/>
      <c r="T397" s="69"/>
      <c r="U397" s="69"/>
      <c r="V397" s="69"/>
      <c r="W397" s="69"/>
      <c r="X397" s="69"/>
      <c r="Y397" s="69"/>
      <c r="Z397" s="69"/>
      <c r="AA397" s="69"/>
      <c r="AB397" s="69"/>
      <c r="AC397" s="69"/>
      <c r="AD397" s="69"/>
      <c r="AE397" s="69"/>
      <c r="AF397" s="69"/>
      <c r="AG397" s="69"/>
    </row>
    <row r="398" spans="2:33" ht="12.75">
      <c r="B398" s="283"/>
      <c r="C398" s="5"/>
      <c r="D398" s="5"/>
      <c r="E398" s="5"/>
      <c r="F398" s="5"/>
      <c r="G398" s="5"/>
      <c r="H398" s="5"/>
      <c r="I398" s="3"/>
      <c r="J398" s="6"/>
      <c r="K398" s="69"/>
      <c r="L398" s="69"/>
      <c r="M398" s="69"/>
      <c r="N398" s="69"/>
      <c r="O398" s="69"/>
      <c r="P398" s="69"/>
      <c r="Q398" s="69"/>
      <c r="R398" s="69"/>
      <c r="S398" s="69"/>
      <c r="T398" s="69"/>
      <c r="U398" s="69"/>
      <c r="V398" s="69"/>
      <c r="W398" s="69"/>
      <c r="X398" s="69"/>
      <c r="Y398" s="69"/>
      <c r="Z398" s="69"/>
      <c r="AA398" s="69"/>
      <c r="AB398" s="69"/>
      <c r="AC398" s="69"/>
      <c r="AD398" s="69"/>
      <c r="AE398" s="69"/>
      <c r="AF398" s="69"/>
      <c r="AG398" s="69"/>
    </row>
    <row r="399" spans="2:33" ht="12.75">
      <c r="B399" s="283"/>
      <c r="C399" s="5"/>
      <c r="D399" s="5"/>
      <c r="E399" s="5"/>
      <c r="F399" s="5"/>
      <c r="G399" s="5"/>
      <c r="H399" s="5"/>
      <c r="I399" s="3"/>
      <c r="J399" s="6"/>
      <c r="K399" s="69"/>
      <c r="L399" s="69"/>
      <c r="M399" s="69"/>
      <c r="N399" s="69"/>
      <c r="O399" s="69"/>
      <c r="P399" s="69"/>
      <c r="Q399" s="69"/>
      <c r="R399" s="69"/>
      <c r="S399" s="69"/>
      <c r="T399" s="69"/>
      <c r="U399" s="69"/>
      <c r="V399" s="69"/>
      <c r="W399" s="69"/>
      <c r="X399" s="69"/>
      <c r="Y399" s="69"/>
      <c r="Z399" s="69"/>
      <c r="AA399" s="69"/>
      <c r="AB399" s="69"/>
      <c r="AC399" s="69"/>
      <c r="AD399" s="69"/>
      <c r="AE399" s="69"/>
      <c r="AF399" s="69"/>
      <c r="AG399" s="69"/>
    </row>
    <row r="400" spans="2:33" ht="12.75">
      <c r="B400" s="283"/>
      <c r="C400" s="5"/>
      <c r="D400" s="5"/>
      <c r="E400" s="5"/>
      <c r="F400" s="5"/>
      <c r="G400" s="5"/>
      <c r="H400" s="5"/>
      <c r="I400" s="3"/>
      <c r="J400" s="6"/>
      <c r="K400" s="69"/>
      <c r="L400" s="69"/>
      <c r="M400" s="69"/>
      <c r="N400" s="69"/>
      <c r="O400" s="69"/>
      <c r="P400" s="69"/>
      <c r="Q400" s="69"/>
      <c r="R400" s="69"/>
      <c r="S400" s="69"/>
      <c r="T400" s="69"/>
      <c r="U400" s="69"/>
      <c r="V400" s="69"/>
      <c r="W400" s="69"/>
      <c r="X400" s="69"/>
      <c r="Y400" s="69"/>
      <c r="Z400" s="69"/>
      <c r="AA400" s="69"/>
      <c r="AB400" s="69"/>
      <c r="AC400" s="69"/>
      <c r="AD400" s="69"/>
      <c r="AE400" s="69"/>
      <c r="AF400" s="69"/>
      <c r="AG400" s="69"/>
    </row>
    <row r="401" spans="2:33" ht="12.75">
      <c r="B401" s="283"/>
      <c r="C401" s="5"/>
      <c r="D401" s="5"/>
      <c r="E401" s="5"/>
      <c r="F401" s="5"/>
      <c r="G401" s="5"/>
      <c r="H401" s="5"/>
      <c r="I401" s="3"/>
      <c r="J401" s="6"/>
      <c r="K401" s="69"/>
      <c r="L401" s="69"/>
      <c r="M401" s="69"/>
      <c r="N401" s="69"/>
      <c r="O401" s="69"/>
      <c r="P401" s="69"/>
      <c r="Q401" s="69"/>
      <c r="R401" s="69"/>
      <c r="S401" s="69"/>
      <c r="T401" s="69"/>
      <c r="U401" s="69"/>
      <c r="V401" s="69"/>
      <c r="W401" s="69"/>
      <c r="X401" s="69"/>
      <c r="Y401" s="69"/>
      <c r="Z401" s="69"/>
      <c r="AA401" s="69"/>
      <c r="AB401" s="69"/>
      <c r="AC401" s="69"/>
      <c r="AD401" s="69"/>
      <c r="AE401" s="69"/>
      <c r="AF401" s="69"/>
      <c r="AG401" s="69"/>
    </row>
    <row r="402" spans="2:33" ht="12.75">
      <c r="B402" s="283"/>
      <c r="C402" s="5"/>
      <c r="D402" s="5"/>
      <c r="E402" s="5"/>
      <c r="F402" s="5"/>
      <c r="G402" s="5"/>
      <c r="H402" s="5"/>
      <c r="I402" s="3"/>
      <c r="J402" s="6"/>
      <c r="K402" s="69"/>
      <c r="L402" s="69"/>
      <c r="M402" s="69"/>
      <c r="N402" s="69"/>
      <c r="O402" s="69"/>
      <c r="P402" s="69"/>
      <c r="Q402" s="69"/>
      <c r="R402" s="69"/>
      <c r="S402" s="69"/>
      <c r="T402" s="69"/>
      <c r="U402" s="69"/>
      <c r="V402" s="69"/>
      <c r="W402" s="69"/>
      <c r="X402" s="69"/>
      <c r="Y402" s="69"/>
      <c r="Z402" s="69"/>
      <c r="AA402" s="69"/>
      <c r="AB402" s="69"/>
      <c r="AC402" s="69"/>
      <c r="AD402" s="69"/>
      <c r="AE402" s="69"/>
      <c r="AF402" s="69"/>
      <c r="AG402" s="69"/>
    </row>
    <row r="403" spans="2:33" ht="12.75">
      <c r="B403" s="283"/>
      <c r="C403" s="5"/>
      <c r="D403" s="5"/>
      <c r="E403" s="5"/>
      <c r="F403" s="5"/>
      <c r="G403" s="5"/>
      <c r="H403" s="5"/>
      <c r="I403" s="3"/>
      <c r="J403" s="6"/>
      <c r="K403" s="69"/>
      <c r="L403" s="69"/>
      <c r="M403" s="69"/>
      <c r="N403" s="69"/>
      <c r="O403" s="69"/>
      <c r="P403" s="69"/>
      <c r="Q403" s="69"/>
      <c r="R403" s="69"/>
      <c r="S403" s="69"/>
      <c r="T403" s="69"/>
      <c r="U403" s="69"/>
      <c r="V403" s="69"/>
      <c r="W403" s="69"/>
      <c r="X403" s="69"/>
      <c r="Y403" s="69"/>
      <c r="Z403" s="69"/>
      <c r="AA403" s="69"/>
      <c r="AB403" s="69"/>
      <c r="AC403" s="69"/>
      <c r="AD403" s="69"/>
      <c r="AE403" s="69"/>
      <c r="AF403" s="69"/>
      <c r="AG403" s="69"/>
    </row>
    <row r="404" spans="2:33" ht="12.75">
      <c r="B404" s="283"/>
      <c r="C404" s="5"/>
      <c r="D404" s="5"/>
      <c r="E404" s="5"/>
      <c r="F404" s="5"/>
      <c r="G404" s="5"/>
      <c r="H404" s="5"/>
      <c r="I404" s="3"/>
      <c r="J404" s="6"/>
      <c r="K404" s="69"/>
      <c r="L404" s="69"/>
      <c r="M404" s="69"/>
      <c r="N404" s="69"/>
      <c r="O404" s="69"/>
      <c r="P404" s="69"/>
      <c r="Q404" s="69"/>
      <c r="R404" s="69"/>
      <c r="S404" s="69"/>
      <c r="T404" s="69"/>
      <c r="U404" s="69"/>
      <c r="V404" s="69"/>
      <c r="W404" s="69"/>
      <c r="X404" s="69"/>
      <c r="Y404" s="69"/>
      <c r="Z404" s="69"/>
      <c r="AA404" s="69"/>
      <c r="AB404" s="69"/>
      <c r="AC404" s="69"/>
      <c r="AD404" s="69"/>
      <c r="AE404" s="69"/>
      <c r="AF404" s="69"/>
      <c r="AG404" s="69"/>
    </row>
    <row r="405" spans="2:33" ht="12.75">
      <c r="B405" s="283"/>
      <c r="C405" s="5"/>
      <c r="D405" s="5"/>
      <c r="E405" s="5"/>
      <c r="F405" s="5"/>
      <c r="G405" s="5"/>
      <c r="H405" s="5"/>
      <c r="I405" s="3"/>
      <c r="J405" s="6"/>
      <c r="K405" s="69"/>
      <c r="L405" s="69"/>
      <c r="M405" s="69"/>
      <c r="N405" s="69"/>
      <c r="O405" s="69"/>
      <c r="P405" s="69"/>
      <c r="Q405" s="69"/>
      <c r="R405" s="69"/>
      <c r="S405" s="69"/>
      <c r="T405" s="69"/>
      <c r="U405" s="69"/>
      <c r="V405" s="69"/>
      <c r="W405" s="69"/>
      <c r="X405" s="69"/>
      <c r="Y405" s="69"/>
      <c r="Z405" s="69"/>
      <c r="AA405" s="69"/>
      <c r="AB405" s="69"/>
      <c r="AC405" s="69"/>
      <c r="AD405" s="69"/>
      <c r="AE405" s="69"/>
      <c r="AF405" s="69"/>
      <c r="AG405" s="69"/>
    </row>
    <row r="406" spans="2:33" ht="12.75">
      <c r="B406" s="283"/>
      <c r="C406" s="5"/>
      <c r="D406" s="5"/>
      <c r="E406" s="5"/>
      <c r="F406" s="5"/>
      <c r="G406" s="5"/>
      <c r="H406" s="5"/>
      <c r="I406" s="3"/>
      <c r="J406" s="6"/>
      <c r="K406" s="69"/>
      <c r="L406" s="69"/>
      <c r="M406" s="69"/>
      <c r="N406" s="69"/>
      <c r="O406" s="69"/>
      <c r="P406" s="69"/>
      <c r="Q406" s="69"/>
      <c r="R406" s="69"/>
      <c r="S406" s="69"/>
      <c r="T406" s="69"/>
      <c r="U406" s="69"/>
      <c r="V406" s="69"/>
      <c r="W406" s="69"/>
      <c r="X406" s="69"/>
      <c r="Y406" s="69"/>
      <c r="Z406" s="69"/>
      <c r="AA406" s="69"/>
      <c r="AB406" s="69"/>
      <c r="AC406" s="69"/>
      <c r="AD406" s="69"/>
      <c r="AE406" s="69"/>
      <c r="AF406" s="69"/>
      <c r="AG406" s="69"/>
    </row>
    <row r="407" spans="2:33" ht="12.75">
      <c r="B407" s="283"/>
      <c r="C407" s="5"/>
      <c r="D407" s="5"/>
      <c r="E407" s="5"/>
      <c r="F407" s="5"/>
      <c r="G407" s="5"/>
      <c r="H407" s="5"/>
      <c r="I407" s="3"/>
      <c r="J407" s="6"/>
      <c r="K407" s="69"/>
      <c r="L407" s="69"/>
      <c r="M407" s="69"/>
      <c r="N407" s="69"/>
      <c r="O407" s="69"/>
      <c r="P407" s="69"/>
      <c r="Q407" s="69"/>
      <c r="R407" s="69"/>
      <c r="S407" s="69"/>
      <c r="T407" s="69"/>
      <c r="U407" s="69"/>
      <c r="V407" s="69"/>
      <c r="W407" s="69"/>
      <c r="X407" s="69"/>
      <c r="Y407" s="69"/>
      <c r="Z407" s="69"/>
      <c r="AA407" s="69"/>
      <c r="AB407" s="69"/>
      <c r="AC407" s="69"/>
      <c r="AD407" s="69"/>
      <c r="AE407" s="69"/>
      <c r="AF407" s="69"/>
      <c r="AG407" s="69"/>
    </row>
    <row r="408" spans="2:33" ht="12.75">
      <c r="B408" s="283"/>
      <c r="C408" s="5"/>
      <c r="D408" s="5"/>
      <c r="E408" s="5"/>
      <c r="F408" s="5"/>
      <c r="G408" s="5"/>
      <c r="H408" s="5"/>
      <c r="I408" s="3"/>
      <c r="J408" s="6"/>
      <c r="K408" s="69"/>
      <c r="L408" s="69"/>
      <c r="M408" s="69"/>
      <c r="N408" s="69"/>
      <c r="O408" s="69"/>
      <c r="P408" s="69"/>
      <c r="Q408" s="69"/>
      <c r="R408" s="69"/>
      <c r="S408" s="69"/>
      <c r="T408" s="69"/>
      <c r="U408" s="69"/>
      <c r="V408" s="69"/>
      <c r="W408" s="69"/>
      <c r="X408" s="69"/>
      <c r="Y408" s="69"/>
      <c r="Z408" s="69"/>
      <c r="AA408" s="69"/>
      <c r="AB408" s="69"/>
      <c r="AC408" s="69"/>
      <c r="AD408" s="69"/>
      <c r="AE408" s="69"/>
      <c r="AF408" s="69"/>
      <c r="AG408" s="69"/>
    </row>
    <row r="409" spans="2:33" ht="12.75">
      <c r="B409" s="283"/>
      <c r="C409" s="5"/>
      <c r="D409" s="5"/>
      <c r="E409" s="5"/>
      <c r="F409" s="5"/>
      <c r="G409" s="5"/>
      <c r="H409" s="5"/>
      <c r="I409" s="3"/>
      <c r="J409" s="6"/>
      <c r="K409" s="69"/>
      <c r="L409" s="69"/>
      <c r="M409" s="69"/>
      <c r="N409" s="69"/>
      <c r="O409" s="69"/>
      <c r="P409" s="69"/>
      <c r="Q409" s="69"/>
      <c r="R409" s="69"/>
      <c r="S409" s="69"/>
      <c r="T409" s="69"/>
      <c r="U409" s="69"/>
      <c r="V409" s="69"/>
      <c r="W409" s="69"/>
      <c r="X409" s="69"/>
      <c r="Y409" s="69"/>
      <c r="Z409" s="69"/>
      <c r="AA409" s="69"/>
      <c r="AB409" s="69"/>
      <c r="AC409" s="69"/>
      <c r="AD409" s="69"/>
      <c r="AE409" s="69"/>
      <c r="AF409" s="69"/>
      <c r="AG409" s="69"/>
    </row>
    <row r="410" spans="2:33" ht="12.75">
      <c r="B410" s="283"/>
      <c r="C410" s="5"/>
      <c r="D410" s="5"/>
      <c r="E410" s="5"/>
      <c r="F410" s="5"/>
      <c r="G410" s="5"/>
      <c r="H410" s="5"/>
      <c r="I410" s="3"/>
      <c r="J410" s="6"/>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row>
    <row r="411" spans="2:33" ht="12.75">
      <c r="B411" s="283"/>
      <c r="C411" s="5"/>
      <c r="D411" s="5"/>
      <c r="E411" s="5"/>
      <c r="F411" s="5"/>
      <c r="G411" s="5"/>
      <c r="H411" s="5"/>
      <c r="I411" s="3"/>
      <c r="J411" s="6"/>
      <c r="K411" s="69"/>
      <c r="L411" s="69"/>
      <c r="M411" s="69"/>
      <c r="N411" s="69"/>
      <c r="O411" s="69"/>
      <c r="P411" s="69"/>
      <c r="Q411" s="69"/>
      <c r="R411" s="69"/>
      <c r="S411" s="69"/>
      <c r="T411" s="69"/>
      <c r="U411" s="69"/>
      <c r="V411" s="69"/>
      <c r="W411" s="69"/>
      <c r="X411" s="69"/>
      <c r="Y411" s="69"/>
      <c r="Z411" s="69"/>
      <c r="AA411" s="69"/>
      <c r="AB411" s="69"/>
      <c r="AC411" s="69"/>
      <c r="AD411" s="69"/>
      <c r="AE411" s="69"/>
      <c r="AF411" s="69"/>
      <c r="AG411" s="69"/>
    </row>
    <row r="412" spans="2:33" ht="12.75">
      <c r="B412" s="283"/>
      <c r="C412" s="5"/>
      <c r="D412" s="5"/>
      <c r="E412" s="5"/>
      <c r="F412" s="5"/>
      <c r="G412" s="5"/>
      <c r="H412" s="5"/>
      <c r="I412" s="3"/>
      <c r="J412" s="6"/>
      <c r="K412" s="69"/>
      <c r="L412" s="69"/>
      <c r="M412" s="69"/>
      <c r="N412" s="69"/>
      <c r="O412" s="69"/>
      <c r="P412" s="69"/>
      <c r="Q412" s="69"/>
      <c r="R412" s="69"/>
      <c r="S412" s="69"/>
      <c r="T412" s="69"/>
      <c r="U412" s="69"/>
      <c r="V412" s="69"/>
      <c r="W412" s="69"/>
      <c r="X412" s="69"/>
      <c r="Y412" s="69"/>
      <c r="Z412" s="69"/>
      <c r="AA412" s="69"/>
      <c r="AB412" s="69"/>
      <c r="AC412" s="69"/>
      <c r="AD412" s="69"/>
      <c r="AE412" s="69"/>
      <c r="AF412" s="69"/>
      <c r="AG412" s="69"/>
    </row>
    <row r="413" spans="2:33" ht="12.75">
      <c r="B413" s="283"/>
      <c r="C413" s="5"/>
      <c r="D413" s="5"/>
      <c r="E413" s="5"/>
      <c r="F413" s="5"/>
      <c r="G413" s="5"/>
      <c r="H413" s="5"/>
      <c r="I413" s="3"/>
      <c r="J413" s="6"/>
      <c r="K413" s="69"/>
      <c r="L413" s="69"/>
      <c r="M413" s="69"/>
      <c r="N413" s="69"/>
      <c r="O413" s="69"/>
      <c r="P413" s="69"/>
      <c r="Q413" s="69"/>
      <c r="R413" s="69"/>
      <c r="S413" s="69"/>
      <c r="T413" s="69"/>
      <c r="U413" s="69"/>
      <c r="V413" s="69"/>
      <c r="W413" s="69"/>
      <c r="X413" s="69"/>
      <c r="Y413" s="69"/>
      <c r="Z413" s="69"/>
      <c r="AA413" s="69"/>
      <c r="AB413" s="69"/>
      <c r="AC413" s="69"/>
      <c r="AD413" s="69"/>
      <c r="AE413" s="69"/>
      <c r="AF413" s="69"/>
      <c r="AG413" s="69"/>
    </row>
    <row r="414" spans="2:33" ht="12.75">
      <c r="B414" s="283"/>
      <c r="C414" s="5"/>
      <c r="D414" s="5"/>
      <c r="E414" s="5"/>
      <c r="F414" s="5"/>
      <c r="G414" s="5"/>
      <c r="H414" s="5"/>
      <c r="I414" s="3"/>
      <c r="J414" s="6"/>
      <c r="K414" s="69"/>
      <c r="L414" s="69"/>
      <c r="M414" s="69"/>
      <c r="N414" s="69"/>
      <c r="O414" s="69"/>
      <c r="P414" s="69"/>
      <c r="Q414" s="69"/>
      <c r="R414" s="69"/>
      <c r="S414" s="69"/>
      <c r="T414" s="69"/>
      <c r="U414" s="69"/>
      <c r="V414" s="69"/>
      <c r="W414" s="69"/>
      <c r="X414" s="69"/>
      <c r="Y414" s="69"/>
      <c r="Z414" s="69"/>
      <c r="AA414" s="69"/>
      <c r="AB414" s="69"/>
      <c r="AC414" s="69"/>
      <c r="AD414" s="69"/>
      <c r="AE414" s="69"/>
      <c r="AF414" s="69"/>
      <c r="AG414" s="69"/>
    </row>
    <row r="415" spans="2:33" ht="12.75">
      <c r="B415" s="283"/>
      <c r="C415" s="5"/>
      <c r="D415" s="5"/>
      <c r="E415" s="5"/>
      <c r="F415" s="5"/>
      <c r="G415" s="5"/>
      <c r="H415" s="5"/>
      <c r="I415" s="3"/>
      <c r="J415" s="6"/>
      <c r="K415" s="69"/>
      <c r="L415" s="69"/>
      <c r="M415" s="69"/>
      <c r="N415" s="69"/>
      <c r="O415" s="69"/>
      <c r="P415" s="69"/>
      <c r="Q415" s="69"/>
      <c r="R415" s="69"/>
      <c r="S415" s="69"/>
      <c r="T415" s="69"/>
      <c r="U415" s="69"/>
      <c r="V415" s="69"/>
      <c r="W415" s="69"/>
      <c r="X415" s="69"/>
      <c r="Y415" s="69"/>
      <c r="Z415" s="69"/>
      <c r="AA415" s="69"/>
      <c r="AB415" s="69"/>
      <c r="AC415" s="69"/>
      <c r="AD415" s="69"/>
      <c r="AE415" s="69"/>
      <c r="AF415" s="69"/>
      <c r="AG415" s="69"/>
    </row>
    <row r="416" spans="2:33" ht="12.75">
      <c r="B416" s="283"/>
      <c r="C416" s="5"/>
      <c r="D416" s="5"/>
      <c r="E416" s="5"/>
      <c r="F416" s="5"/>
      <c r="G416" s="5"/>
      <c r="H416" s="5"/>
      <c r="I416" s="3"/>
      <c r="J416" s="6"/>
      <c r="K416" s="69"/>
      <c r="L416" s="69"/>
      <c r="M416" s="69"/>
      <c r="N416" s="69"/>
      <c r="O416" s="69"/>
      <c r="P416" s="69"/>
      <c r="Q416" s="69"/>
      <c r="R416" s="69"/>
      <c r="S416" s="69"/>
      <c r="T416" s="69"/>
      <c r="U416" s="69"/>
      <c r="V416" s="69"/>
      <c r="W416" s="69"/>
      <c r="X416" s="69"/>
      <c r="Y416" s="69"/>
      <c r="Z416" s="69"/>
      <c r="AA416" s="69"/>
      <c r="AB416" s="69"/>
      <c r="AC416" s="69"/>
      <c r="AD416" s="69"/>
      <c r="AE416" s="69"/>
      <c r="AF416" s="69"/>
      <c r="AG416" s="69"/>
    </row>
    <row r="417" spans="2:33" ht="12.75">
      <c r="B417" s="283"/>
      <c r="C417" s="5"/>
      <c r="D417" s="5"/>
      <c r="E417" s="5"/>
      <c r="F417" s="5"/>
      <c r="G417" s="5"/>
      <c r="H417" s="5"/>
      <c r="I417" s="3"/>
      <c r="J417" s="6"/>
      <c r="K417" s="69"/>
      <c r="L417" s="69"/>
      <c r="M417" s="69"/>
      <c r="N417" s="69"/>
      <c r="O417" s="69"/>
      <c r="P417" s="69"/>
      <c r="Q417" s="69"/>
      <c r="R417" s="69"/>
      <c r="S417" s="69"/>
      <c r="T417" s="69"/>
      <c r="U417" s="69"/>
      <c r="V417" s="69"/>
      <c r="W417" s="69"/>
      <c r="X417" s="69"/>
      <c r="Y417" s="69"/>
      <c r="Z417" s="69"/>
      <c r="AA417" s="69"/>
      <c r="AB417" s="69"/>
      <c r="AC417" s="69"/>
      <c r="AD417" s="69"/>
      <c r="AE417" s="69"/>
      <c r="AF417" s="69"/>
      <c r="AG417" s="69"/>
    </row>
    <row r="418" spans="2:33" ht="12.75">
      <c r="B418" s="283"/>
      <c r="C418" s="5"/>
      <c r="D418" s="5"/>
      <c r="E418" s="5"/>
      <c r="F418" s="5"/>
      <c r="G418" s="5"/>
      <c r="H418" s="5"/>
      <c r="I418" s="3"/>
      <c r="J418" s="6"/>
      <c r="K418" s="69"/>
      <c r="L418" s="69"/>
      <c r="M418" s="69"/>
      <c r="N418" s="69"/>
      <c r="O418" s="69"/>
      <c r="P418" s="69"/>
      <c r="Q418" s="69"/>
      <c r="R418" s="69"/>
      <c r="S418" s="69"/>
      <c r="T418" s="69"/>
      <c r="U418" s="69"/>
      <c r="V418" s="69"/>
      <c r="W418" s="69"/>
      <c r="X418" s="69"/>
      <c r="Y418" s="69"/>
      <c r="Z418" s="69"/>
      <c r="AA418" s="69"/>
      <c r="AB418" s="69"/>
      <c r="AC418" s="69"/>
      <c r="AD418" s="69"/>
      <c r="AE418" s="69"/>
      <c r="AF418" s="69"/>
      <c r="AG418" s="69"/>
    </row>
    <row r="419" spans="2:33" ht="12.75">
      <c r="B419" s="283"/>
      <c r="C419" s="5"/>
      <c r="D419" s="5"/>
      <c r="E419" s="5"/>
      <c r="F419" s="5"/>
      <c r="G419" s="5"/>
      <c r="H419" s="5"/>
      <c r="I419" s="3"/>
      <c r="J419" s="6"/>
      <c r="K419" s="69"/>
      <c r="L419" s="69"/>
      <c r="M419" s="69"/>
      <c r="N419" s="69"/>
      <c r="O419" s="69"/>
      <c r="P419" s="69"/>
      <c r="Q419" s="69"/>
      <c r="R419" s="69"/>
      <c r="S419" s="69"/>
      <c r="T419" s="69"/>
      <c r="U419" s="69"/>
      <c r="V419" s="69"/>
      <c r="W419" s="69"/>
      <c r="X419" s="69"/>
      <c r="Y419" s="69"/>
      <c r="Z419" s="69"/>
      <c r="AA419" s="69"/>
      <c r="AB419" s="69"/>
      <c r="AC419" s="69"/>
      <c r="AD419" s="69"/>
      <c r="AE419" s="69"/>
      <c r="AF419" s="69"/>
      <c r="AG419" s="69"/>
    </row>
    <row r="420" spans="2:33" ht="12.75">
      <c r="B420" s="283"/>
      <c r="C420" s="5"/>
      <c r="D420" s="5"/>
      <c r="E420" s="5"/>
      <c r="F420" s="5"/>
      <c r="G420" s="5"/>
      <c r="H420" s="5"/>
      <c r="I420" s="3"/>
      <c r="J420" s="6"/>
      <c r="K420" s="69"/>
      <c r="L420" s="69"/>
      <c r="M420" s="69"/>
      <c r="N420" s="69"/>
      <c r="O420" s="69"/>
      <c r="P420" s="69"/>
      <c r="Q420" s="69"/>
      <c r="R420" s="69"/>
      <c r="S420" s="69"/>
      <c r="T420" s="69"/>
      <c r="U420" s="69"/>
      <c r="V420" s="69"/>
      <c r="W420" s="69"/>
      <c r="X420" s="69"/>
      <c r="Y420" s="69"/>
      <c r="Z420" s="69"/>
      <c r="AA420" s="69"/>
      <c r="AB420" s="69"/>
      <c r="AC420" s="69"/>
      <c r="AD420" s="69"/>
      <c r="AE420" s="69"/>
      <c r="AF420" s="69"/>
      <c r="AG420" s="69"/>
    </row>
    <row r="421" spans="2:33" ht="12.75">
      <c r="B421" s="283"/>
      <c r="C421" s="5"/>
      <c r="D421" s="5"/>
      <c r="E421" s="5"/>
      <c r="F421" s="5"/>
      <c r="G421" s="5"/>
      <c r="H421" s="5"/>
      <c r="I421" s="3"/>
      <c r="J421" s="6"/>
      <c r="K421" s="69"/>
      <c r="L421" s="69"/>
      <c r="M421" s="69"/>
      <c r="N421" s="69"/>
      <c r="O421" s="69"/>
      <c r="P421" s="69"/>
      <c r="Q421" s="69"/>
      <c r="R421" s="69"/>
      <c r="S421" s="69"/>
      <c r="T421" s="69"/>
      <c r="U421" s="69"/>
      <c r="V421" s="69"/>
      <c r="W421" s="69"/>
      <c r="X421" s="69"/>
      <c r="Y421" s="69"/>
      <c r="Z421" s="69"/>
      <c r="AA421" s="69"/>
      <c r="AB421" s="69"/>
      <c r="AC421" s="69"/>
      <c r="AD421" s="69"/>
      <c r="AE421" s="69"/>
      <c r="AF421" s="69"/>
      <c r="AG421" s="69"/>
    </row>
    <row r="422" spans="2:33" ht="12.75">
      <c r="B422" s="283"/>
      <c r="C422" s="5"/>
      <c r="D422" s="5"/>
      <c r="E422" s="5"/>
      <c r="F422" s="5"/>
      <c r="G422" s="5"/>
      <c r="H422" s="5"/>
      <c r="I422" s="3"/>
      <c r="J422" s="6"/>
      <c r="K422" s="69"/>
      <c r="L422" s="69"/>
      <c r="M422" s="69"/>
      <c r="N422" s="69"/>
      <c r="O422" s="69"/>
      <c r="P422" s="69"/>
      <c r="Q422" s="69"/>
      <c r="R422" s="69"/>
      <c r="S422" s="69"/>
      <c r="T422" s="69"/>
      <c r="U422" s="69"/>
      <c r="V422" s="69"/>
      <c r="W422" s="69"/>
      <c r="X422" s="69"/>
      <c r="Y422" s="69"/>
      <c r="Z422" s="69"/>
      <c r="AA422" s="69"/>
      <c r="AB422" s="69"/>
      <c r="AC422" s="69"/>
      <c r="AD422" s="69"/>
      <c r="AE422" s="69"/>
      <c r="AF422" s="69"/>
      <c r="AG422" s="69"/>
    </row>
    <row r="423" spans="2:33" ht="12.75">
      <c r="B423" s="283"/>
      <c r="C423" s="5"/>
      <c r="D423" s="5"/>
      <c r="E423" s="5"/>
      <c r="F423" s="5"/>
      <c r="G423" s="5"/>
      <c r="H423" s="5"/>
      <c r="I423" s="3"/>
      <c r="J423" s="6"/>
      <c r="K423" s="69"/>
      <c r="L423" s="69"/>
      <c r="M423" s="69"/>
      <c r="N423" s="69"/>
      <c r="O423" s="69"/>
      <c r="P423" s="69"/>
      <c r="Q423" s="69"/>
      <c r="R423" s="69"/>
      <c r="S423" s="69"/>
      <c r="T423" s="69"/>
      <c r="U423" s="69"/>
      <c r="V423" s="69"/>
      <c r="W423" s="69"/>
      <c r="X423" s="69"/>
      <c r="Y423" s="69"/>
      <c r="Z423" s="69"/>
      <c r="AA423" s="69"/>
      <c r="AB423" s="69"/>
      <c r="AC423" s="69"/>
      <c r="AD423" s="69"/>
      <c r="AE423" s="69"/>
      <c r="AF423" s="69"/>
      <c r="AG423" s="69"/>
    </row>
    <row r="424" spans="2:33" ht="12.75">
      <c r="B424" s="283"/>
      <c r="C424" s="5"/>
      <c r="D424" s="5"/>
      <c r="E424" s="5"/>
      <c r="F424" s="5"/>
      <c r="G424" s="5"/>
      <c r="H424" s="5"/>
      <c r="I424" s="3"/>
      <c r="J424" s="6"/>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row>
    <row r="425" spans="2:33" ht="12.75">
      <c r="B425" s="283"/>
      <c r="C425" s="5"/>
      <c r="D425" s="5"/>
      <c r="E425" s="5"/>
      <c r="F425" s="5"/>
      <c r="G425" s="5"/>
      <c r="H425" s="5"/>
      <c r="I425" s="3"/>
      <c r="J425" s="6"/>
      <c r="K425" s="69"/>
      <c r="L425" s="69"/>
      <c r="M425" s="69"/>
      <c r="N425" s="69"/>
      <c r="O425" s="69"/>
      <c r="P425" s="69"/>
      <c r="Q425" s="69"/>
      <c r="R425" s="69"/>
      <c r="S425" s="69"/>
      <c r="T425" s="69"/>
      <c r="U425" s="69"/>
      <c r="V425" s="69"/>
      <c r="W425" s="69"/>
      <c r="X425" s="69"/>
      <c r="Y425" s="69"/>
      <c r="Z425" s="69"/>
      <c r="AA425" s="69"/>
      <c r="AB425" s="69"/>
      <c r="AC425" s="69"/>
      <c r="AD425" s="69"/>
      <c r="AE425" s="69"/>
      <c r="AF425" s="69"/>
      <c r="AG425" s="69"/>
    </row>
    <row r="426" spans="2:33" ht="12.75">
      <c r="B426" s="283"/>
      <c r="C426" s="5"/>
      <c r="D426" s="5"/>
      <c r="E426" s="5"/>
      <c r="F426" s="5"/>
      <c r="G426" s="5"/>
      <c r="H426" s="5"/>
      <c r="I426" s="3"/>
      <c r="J426" s="6"/>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row>
    <row r="427" spans="2:33" ht="12.75">
      <c r="B427" s="283"/>
      <c r="C427" s="5"/>
      <c r="D427" s="5"/>
      <c r="E427" s="5"/>
      <c r="F427" s="5"/>
      <c r="G427" s="5"/>
      <c r="H427" s="5"/>
      <c r="I427" s="3"/>
      <c r="J427" s="6"/>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row>
    <row r="428" spans="2:33" ht="12.75">
      <c r="B428" s="283"/>
      <c r="C428" s="5"/>
      <c r="D428" s="5"/>
      <c r="E428" s="5"/>
      <c r="F428" s="5"/>
      <c r="G428" s="5"/>
      <c r="H428" s="5"/>
      <c r="I428" s="3"/>
      <c r="J428" s="6"/>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row>
    <row r="429" spans="2:33" ht="12.75">
      <c r="B429" s="283"/>
      <c r="C429" s="5"/>
      <c r="D429" s="5"/>
      <c r="E429" s="5"/>
      <c r="F429" s="5"/>
      <c r="G429" s="5"/>
      <c r="H429" s="5"/>
      <c r="I429" s="3"/>
      <c r="J429" s="6"/>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row>
    <row r="430" spans="2:33" ht="12.75">
      <c r="B430" s="283"/>
      <c r="C430" s="5"/>
      <c r="D430" s="5"/>
      <c r="E430" s="5"/>
      <c r="F430" s="5"/>
      <c r="G430" s="5"/>
      <c r="H430" s="5"/>
      <c r="I430" s="3"/>
      <c r="J430" s="6"/>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row>
    <row r="431" spans="2:33" ht="12.75">
      <c r="B431" s="283"/>
      <c r="C431" s="5"/>
      <c r="D431" s="5"/>
      <c r="E431" s="5"/>
      <c r="F431" s="5"/>
      <c r="G431" s="5"/>
      <c r="H431" s="5"/>
      <c r="I431" s="3"/>
      <c r="J431" s="6"/>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row>
    <row r="432" spans="2:33" ht="12.75">
      <c r="B432" s="283"/>
      <c r="C432" s="5"/>
      <c r="D432" s="5"/>
      <c r="E432" s="5"/>
      <c r="F432" s="5"/>
      <c r="G432" s="5"/>
      <c r="H432" s="5"/>
      <c r="I432" s="3"/>
      <c r="J432" s="6"/>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row>
    <row r="433" spans="2:33" ht="12.75">
      <c r="B433" s="283"/>
      <c r="C433" s="5"/>
      <c r="D433" s="5"/>
      <c r="E433" s="5"/>
      <c r="F433" s="5"/>
      <c r="G433" s="5"/>
      <c r="H433" s="5"/>
      <c r="I433" s="3"/>
      <c r="J433" s="6"/>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row>
    <row r="434" spans="2:33" ht="12.75">
      <c r="B434" s="283"/>
      <c r="C434" s="5"/>
      <c r="D434" s="5"/>
      <c r="E434" s="5"/>
      <c r="F434" s="5"/>
      <c r="G434" s="5"/>
      <c r="H434" s="5"/>
      <c r="I434" s="3"/>
      <c r="J434" s="6"/>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row>
    <row r="435" spans="2:33" ht="12.75">
      <c r="B435" s="283"/>
      <c r="C435" s="5"/>
      <c r="D435" s="5"/>
      <c r="E435" s="5"/>
      <c r="F435" s="5"/>
      <c r="G435" s="5"/>
      <c r="H435" s="5"/>
      <c r="I435" s="3"/>
      <c r="J435" s="6"/>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row>
    <row r="436" spans="2:33" ht="12.75">
      <c r="B436" s="283"/>
      <c r="C436" s="5"/>
      <c r="D436" s="5"/>
      <c r="E436" s="5"/>
      <c r="F436" s="5"/>
      <c r="G436" s="5"/>
      <c r="H436" s="5"/>
      <c r="I436" s="3"/>
      <c r="J436" s="6"/>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row>
    <row r="437" spans="2:33" ht="12.75">
      <c r="B437" s="283"/>
      <c r="C437" s="5"/>
      <c r="D437" s="5"/>
      <c r="E437" s="5"/>
      <c r="F437" s="5"/>
      <c r="G437" s="5"/>
      <c r="H437" s="5"/>
      <c r="I437" s="3"/>
      <c r="J437" s="6"/>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row>
    <row r="438" spans="2:33" ht="12.75">
      <c r="B438" s="283"/>
      <c r="C438" s="5"/>
      <c r="D438" s="5"/>
      <c r="E438" s="5"/>
      <c r="F438" s="5"/>
      <c r="G438" s="5"/>
      <c r="H438" s="5"/>
      <c r="I438" s="3"/>
      <c r="J438" s="6"/>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row>
    <row r="439" spans="2:33" ht="12.75">
      <c r="B439" s="283"/>
      <c r="C439" s="5"/>
      <c r="D439" s="5"/>
      <c r="E439" s="5"/>
      <c r="F439" s="5"/>
      <c r="G439" s="5"/>
      <c r="H439" s="5"/>
      <c r="I439" s="3"/>
      <c r="J439" s="6"/>
      <c r="K439" s="69"/>
      <c r="L439" s="69"/>
      <c r="M439" s="69"/>
      <c r="N439" s="69"/>
      <c r="O439" s="69"/>
      <c r="P439" s="69"/>
      <c r="Q439" s="69"/>
      <c r="R439" s="69"/>
      <c r="S439" s="69"/>
      <c r="T439" s="69"/>
      <c r="U439" s="69"/>
      <c r="V439" s="69"/>
      <c r="W439" s="69"/>
      <c r="X439" s="69"/>
      <c r="Y439" s="69"/>
      <c r="Z439" s="69"/>
      <c r="AA439" s="69"/>
      <c r="AB439" s="69"/>
      <c r="AC439" s="69"/>
      <c r="AD439" s="69"/>
      <c r="AE439" s="69"/>
      <c r="AF439" s="69"/>
      <c r="AG439" s="69"/>
    </row>
    <row r="440" spans="2:33" ht="12.75">
      <c r="B440" s="283"/>
      <c r="C440" s="5"/>
      <c r="D440" s="5"/>
      <c r="E440" s="5"/>
      <c r="F440" s="5"/>
      <c r="G440" s="5"/>
      <c r="H440" s="5"/>
      <c r="I440" s="3"/>
      <c r="J440" s="6"/>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row>
    <row r="441" spans="2:33" ht="12.75">
      <c r="B441" s="283"/>
      <c r="C441" s="5"/>
      <c r="D441" s="5"/>
      <c r="E441" s="5"/>
      <c r="F441" s="5"/>
      <c r="G441" s="5"/>
      <c r="H441" s="5"/>
      <c r="I441" s="3"/>
      <c r="J441" s="6"/>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row>
    <row r="442" spans="2:33" ht="12.75">
      <c r="B442" s="283"/>
      <c r="C442" s="5"/>
      <c r="D442" s="5"/>
      <c r="E442" s="5"/>
      <c r="F442" s="5"/>
      <c r="G442" s="5"/>
      <c r="H442" s="5"/>
      <c r="I442" s="3"/>
      <c r="J442" s="6"/>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row>
    <row r="443" spans="2:33" ht="12.75">
      <c r="B443" s="283"/>
      <c r="C443" s="5"/>
      <c r="D443" s="5"/>
      <c r="E443" s="5"/>
      <c r="F443" s="5"/>
      <c r="G443" s="5"/>
      <c r="H443" s="5"/>
      <c r="I443" s="3"/>
      <c r="J443" s="6"/>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row>
    <row r="444" spans="2:33" ht="12.75">
      <c r="B444" s="283"/>
      <c r="C444" s="5"/>
      <c r="D444" s="5"/>
      <c r="E444" s="5"/>
      <c r="F444" s="5"/>
      <c r="G444" s="5"/>
      <c r="H444" s="5"/>
      <c r="I444" s="3"/>
      <c r="J444" s="6"/>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row>
    <row r="445" spans="2:33" ht="12.75">
      <c r="B445" s="283"/>
      <c r="C445" s="5"/>
      <c r="D445" s="5"/>
      <c r="E445" s="5"/>
      <c r="F445" s="5"/>
      <c r="G445" s="5"/>
      <c r="H445" s="5"/>
      <c r="I445" s="3"/>
      <c r="J445" s="6"/>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row>
    <row r="446" spans="2:33" ht="12.75">
      <c r="B446" s="283"/>
      <c r="C446" s="5"/>
      <c r="D446" s="5"/>
      <c r="E446" s="5"/>
      <c r="F446" s="5"/>
      <c r="G446" s="5"/>
      <c r="H446" s="5"/>
      <c r="I446" s="3"/>
      <c r="J446" s="6"/>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row>
    <row r="447" spans="2:33" ht="12.75">
      <c r="B447" s="283"/>
      <c r="C447" s="5"/>
      <c r="D447" s="5"/>
      <c r="E447" s="5"/>
      <c r="F447" s="5"/>
      <c r="G447" s="5"/>
      <c r="H447" s="5"/>
      <c r="I447" s="3"/>
      <c r="J447" s="6"/>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row>
    <row r="448" spans="2:33" ht="12.75">
      <c r="B448" s="283"/>
      <c r="C448" s="5"/>
      <c r="D448" s="5"/>
      <c r="E448" s="5"/>
      <c r="F448" s="5"/>
      <c r="G448" s="5"/>
      <c r="H448" s="5"/>
      <c r="I448" s="3"/>
      <c r="J448" s="6"/>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row>
    <row r="449" spans="2:33" ht="12.75">
      <c r="B449" s="283"/>
      <c r="C449" s="5"/>
      <c r="D449" s="5"/>
      <c r="E449" s="5"/>
      <c r="F449" s="5"/>
      <c r="G449" s="5"/>
      <c r="H449" s="5"/>
      <c r="I449" s="3"/>
      <c r="J449" s="6"/>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row>
    <row r="450" spans="2:33" ht="12.75">
      <c r="B450" s="283"/>
      <c r="C450" s="5"/>
      <c r="D450" s="5"/>
      <c r="E450" s="5"/>
      <c r="F450" s="5"/>
      <c r="G450" s="5"/>
      <c r="H450" s="5"/>
      <c r="I450" s="3"/>
      <c r="J450" s="6"/>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row>
    <row r="451" spans="2:33" ht="12.75">
      <c r="B451" s="283"/>
      <c r="C451" s="5"/>
      <c r="D451" s="5"/>
      <c r="E451" s="5"/>
      <c r="F451" s="5"/>
      <c r="G451" s="5"/>
      <c r="H451" s="5"/>
      <c r="I451" s="3"/>
      <c r="J451" s="6"/>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row>
    <row r="452" spans="2:33" ht="12.75">
      <c r="B452" s="283"/>
      <c r="C452" s="5"/>
      <c r="D452" s="5"/>
      <c r="E452" s="5"/>
      <c r="F452" s="5"/>
      <c r="G452" s="5"/>
      <c r="H452" s="5"/>
      <c r="I452" s="3"/>
      <c r="J452" s="6"/>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row>
    <row r="453" spans="2:33" ht="12.75">
      <c r="B453" s="283"/>
      <c r="C453" s="5"/>
      <c r="D453" s="5"/>
      <c r="E453" s="5"/>
      <c r="F453" s="5"/>
      <c r="G453" s="5"/>
      <c r="H453" s="5"/>
      <c r="I453" s="3"/>
      <c r="J453" s="6"/>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row>
    <row r="454" spans="2:33" ht="12.75">
      <c r="B454" s="283"/>
      <c r="C454" s="5"/>
      <c r="D454" s="5"/>
      <c r="E454" s="5"/>
      <c r="F454" s="5"/>
      <c r="G454" s="5"/>
      <c r="H454" s="5"/>
      <c r="I454" s="3"/>
      <c r="J454" s="6"/>
      <c r="K454" s="69"/>
      <c r="L454" s="69"/>
      <c r="M454" s="69"/>
      <c r="N454" s="69"/>
      <c r="O454" s="69"/>
      <c r="P454" s="69"/>
      <c r="Q454" s="69"/>
      <c r="R454" s="69"/>
      <c r="S454" s="69"/>
      <c r="T454" s="69"/>
      <c r="U454" s="69"/>
      <c r="V454" s="69"/>
      <c r="W454" s="69"/>
      <c r="X454" s="69"/>
      <c r="Y454" s="69"/>
      <c r="Z454" s="69"/>
      <c r="AA454" s="69"/>
      <c r="AB454" s="69"/>
      <c r="AC454" s="69"/>
      <c r="AD454" s="69"/>
      <c r="AE454" s="69"/>
      <c r="AF454" s="69"/>
      <c r="AG454" s="69"/>
    </row>
    <row r="455" spans="2:33" ht="12.75">
      <c r="B455" s="283"/>
      <c r="C455" s="5"/>
      <c r="D455" s="5"/>
      <c r="E455" s="5"/>
      <c r="F455" s="5"/>
      <c r="G455" s="5"/>
      <c r="H455" s="5"/>
      <c r="I455" s="3"/>
      <c r="J455" s="6"/>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row>
    <row r="456" spans="2:33" ht="12.75">
      <c r="B456" s="283"/>
      <c r="C456" s="5"/>
      <c r="D456" s="5"/>
      <c r="E456" s="5"/>
      <c r="F456" s="5"/>
      <c r="G456" s="5"/>
      <c r="H456" s="5"/>
      <c r="I456" s="3"/>
      <c r="J456" s="6"/>
      <c r="K456" s="69"/>
      <c r="L456" s="69"/>
      <c r="M456" s="69"/>
      <c r="N456" s="69"/>
      <c r="O456" s="69"/>
      <c r="P456" s="69"/>
      <c r="Q456" s="69"/>
      <c r="R456" s="69"/>
      <c r="S456" s="69"/>
      <c r="T456" s="69"/>
      <c r="U456" s="69"/>
      <c r="V456" s="69"/>
      <c r="W456" s="69"/>
      <c r="X456" s="69"/>
      <c r="Y456" s="69"/>
      <c r="Z456" s="69"/>
      <c r="AA456" s="69"/>
      <c r="AB456" s="69"/>
      <c r="AC456" s="69"/>
      <c r="AD456" s="69"/>
      <c r="AE456" s="69"/>
      <c r="AF456" s="69"/>
      <c r="AG456" s="69"/>
    </row>
    <row r="457" spans="2:33" ht="12.75">
      <c r="B457" s="283"/>
      <c r="C457" s="5"/>
      <c r="D457" s="5"/>
      <c r="E457" s="5"/>
      <c r="F457" s="5"/>
      <c r="G457" s="5"/>
      <c r="H457" s="5"/>
      <c r="I457" s="3"/>
      <c r="J457" s="6"/>
      <c r="K457" s="69"/>
      <c r="L457" s="69"/>
      <c r="M457" s="69"/>
      <c r="N457" s="69"/>
      <c r="O457" s="69"/>
      <c r="P457" s="69"/>
      <c r="Q457" s="69"/>
      <c r="R457" s="69"/>
      <c r="S457" s="69"/>
      <c r="T457" s="69"/>
      <c r="U457" s="69"/>
      <c r="V457" s="69"/>
      <c r="W457" s="69"/>
      <c r="X457" s="69"/>
      <c r="Y457" s="69"/>
      <c r="Z457" s="69"/>
      <c r="AA457" s="69"/>
      <c r="AB457" s="69"/>
      <c r="AC457" s="69"/>
      <c r="AD457" s="69"/>
      <c r="AE457" s="69"/>
      <c r="AF457" s="69"/>
      <c r="AG457" s="69"/>
    </row>
    <row r="458" spans="2:33" ht="12.75">
      <c r="B458" s="283"/>
      <c r="C458" s="5"/>
      <c r="D458" s="5"/>
      <c r="E458" s="5"/>
      <c r="F458" s="5"/>
      <c r="G458" s="5"/>
      <c r="H458" s="5"/>
      <c r="I458" s="3"/>
      <c r="J458" s="6"/>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row>
    <row r="459" spans="2:33" ht="12.75">
      <c r="B459" s="283"/>
      <c r="C459" s="5"/>
      <c r="D459" s="5"/>
      <c r="E459" s="5"/>
      <c r="F459" s="5"/>
      <c r="G459" s="5"/>
      <c r="H459" s="5"/>
      <c r="I459" s="3"/>
      <c r="J459" s="6"/>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row>
    <row r="460" spans="2:33" ht="12.75">
      <c r="B460" s="283"/>
      <c r="C460" s="5"/>
      <c r="D460" s="5"/>
      <c r="E460" s="5"/>
      <c r="F460" s="5"/>
      <c r="G460" s="5"/>
      <c r="H460" s="5"/>
      <c r="I460" s="3"/>
      <c r="J460" s="6"/>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row>
    <row r="461" spans="2:33" ht="12.75">
      <c r="B461" s="283"/>
      <c r="C461" s="5"/>
      <c r="D461" s="5"/>
      <c r="E461" s="5"/>
      <c r="F461" s="5"/>
      <c r="G461" s="5"/>
      <c r="H461" s="5"/>
      <c r="I461" s="3"/>
      <c r="J461" s="6"/>
      <c r="K461" s="69"/>
      <c r="L461" s="69"/>
      <c r="M461" s="69"/>
      <c r="N461" s="69"/>
      <c r="O461" s="69"/>
      <c r="P461" s="69"/>
      <c r="Q461" s="69"/>
      <c r="R461" s="69"/>
      <c r="S461" s="69"/>
      <c r="T461" s="69"/>
      <c r="U461" s="69"/>
      <c r="V461" s="69"/>
      <c r="W461" s="69"/>
      <c r="X461" s="69"/>
      <c r="Y461" s="69"/>
      <c r="Z461" s="69"/>
      <c r="AA461" s="69"/>
      <c r="AB461" s="69"/>
      <c r="AC461" s="69"/>
      <c r="AD461" s="69"/>
      <c r="AE461" s="69"/>
      <c r="AF461" s="69"/>
      <c r="AG461" s="69"/>
    </row>
    <row r="462" spans="2:33" ht="12.75">
      <c r="B462" s="283"/>
      <c r="C462" s="5"/>
      <c r="D462" s="5"/>
      <c r="E462" s="5"/>
      <c r="F462" s="5"/>
      <c r="G462" s="5"/>
      <c r="H462" s="5"/>
      <c r="I462" s="3"/>
      <c r="J462" s="6"/>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row>
    <row r="463" spans="2:33" ht="12.75">
      <c r="B463" s="283"/>
      <c r="C463" s="5"/>
      <c r="D463" s="5"/>
      <c r="E463" s="5"/>
      <c r="F463" s="5"/>
      <c r="G463" s="5"/>
      <c r="H463" s="5"/>
      <c r="I463" s="3"/>
      <c r="J463" s="6"/>
      <c r="K463" s="69"/>
      <c r="L463" s="69"/>
      <c r="M463" s="69"/>
      <c r="N463" s="69"/>
      <c r="O463" s="69"/>
      <c r="P463" s="69"/>
      <c r="Q463" s="69"/>
      <c r="R463" s="69"/>
      <c r="S463" s="69"/>
      <c r="T463" s="69"/>
      <c r="U463" s="69"/>
      <c r="V463" s="69"/>
      <c r="W463" s="69"/>
      <c r="X463" s="69"/>
      <c r="Y463" s="69"/>
      <c r="Z463" s="69"/>
      <c r="AA463" s="69"/>
      <c r="AB463" s="69"/>
      <c r="AC463" s="69"/>
      <c r="AD463" s="69"/>
      <c r="AE463" s="69"/>
      <c r="AF463" s="69"/>
      <c r="AG463" s="69"/>
    </row>
    <row r="464" spans="2:33" ht="12.75">
      <c r="B464" s="283"/>
      <c r="C464" s="5"/>
      <c r="D464" s="5"/>
      <c r="E464" s="5"/>
      <c r="F464" s="5"/>
      <c r="G464" s="5"/>
      <c r="H464" s="5"/>
      <c r="I464" s="3"/>
      <c r="J464" s="6"/>
      <c r="K464" s="69"/>
      <c r="L464" s="69"/>
      <c r="M464" s="69"/>
      <c r="N464" s="69"/>
      <c r="O464" s="69"/>
      <c r="P464" s="69"/>
      <c r="Q464" s="69"/>
      <c r="R464" s="69"/>
      <c r="S464" s="69"/>
      <c r="T464" s="69"/>
      <c r="U464" s="69"/>
      <c r="V464" s="69"/>
      <c r="W464" s="69"/>
      <c r="X464" s="69"/>
      <c r="Y464" s="69"/>
      <c r="Z464" s="69"/>
      <c r="AA464" s="69"/>
      <c r="AB464" s="69"/>
      <c r="AC464" s="69"/>
      <c r="AD464" s="69"/>
      <c r="AE464" s="69"/>
      <c r="AF464" s="69"/>
      <c r="AG464" s="69"/>
    </row>
    <row r="465" spans="2:33" ht="12.75">
      <c r="B465" s="283"/>
      <c r="C465" s="5"/>
      <c r="D465" s="5"/>
      <c r="E465" s="5"/>
      <c r="F465" s="5"/>
      <c r="G465" s="5"/>
      <c r="H465" s="5"/>
      <c r="I465" s="3"/>
      <c r="J465" s="6"/>
      <c r="K465" s="69"/>
      <c r="L465" s="69"/>
      <c r="M465" s="69"/>
      <c r="N465" s="69"/>
      <c r="O465" s="69"/>
      <c r="P465" s="69"/>
      <c r="Q465" s="69"/>
      <c r="R465" s="69"/>
      <c r="S465" s="69"/>
      <c r="T465" s="69"/>
      <c r="U465" s="69"/>
      <c r="V465" s="69"/>
      <c r="W465" s="69"/>
      <c r="X465" s="69"/>
      <c r="Y465" s="69"/>
      <c r="Z465" s="69"/>
      <c r="AA465" s="69"/>
      <c r="AB465" s="69"/>
      <c r="AC465" s="69"/>
      <c r="AD465" s="69"/>
      <c r="AE465" s="69"/>
      <c r="AF465" s="69"/>
      <c r="AG465" s="69"/>
    </row>
    <row r="466" spans="2:33" ht="12.75">
      <c r="B466" s="283"/>
      <c r="C466" s="5"/>
      <c r="D466" s="5"/>
      <c r="E466" s="5"/>
      <c r="F466" s="5"/>
      <c r="G466" s="5"/>
      <c r="H466" s="5"/>
      <c r="I466" s="3"/>
      <c r="J466" s="6"/>
      <c r="K466" s="69"/>
      <c r="L466" s="69"/>
      <c r="M466" s="69"/>
      <c r="N466" s="69"/>
      <c r="O466" s="69"/>
      <c r="P466" s="69"/>
      <c r="Q466" s="69"/>
      <c r="R466" s="69"/>
      <c r="S466" s="69"/>
      <c r="T466" s="69"/>
      <c r="U466" s="69"/>
      <c r="V466" s="69"/>
      <c r="W466" s="69"/>
      <c r="X466" s="69"/>
      <c r="Y466" s="69"/>
      <c r="Z466" s="69"/>
      <c r="AA466" s="69"/>
      <c r="AB466" s="69"/>
      <c r="AC466" s="69"/>
      <c r="AD466" s="69"/>
      <c r="AE466" s="69"/>
      <c r="AF466" s="69"/>
      <c r="AG466" s="69"/>
    </row>
    <row r="467" spans="2:33" ht="12.75">
      <c r="B467" s="283"/>
      <c r="C467" s="5"/>
      <c r="D467" s="5"/>
      <c r="E467" s="5"/>
      <c r="F467" s="5"/>
      <c r="G467" s="5"/>
      <c r="H467" s="5"/>
      <c r="I467" s="3"/>
      <c r="J467" s="6"/>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row>
    <row r="468" spans="2:33" ht="12.75">
      <c r="B468" s="283"/>
      <c r="C468" s="5"/>
      <c r="D468" s="5"/>
      <c r="E468" s="5"/>
      <c r="F468" s="5"/>
      <c r="G468" s="5"/>
      <c r="H468" s="5"/>
      <c r="I468" s="3"/>
      <c r="J468" s="6"/>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row>
    <row r="469" spans="2:33" ht="12.75">
      <c r="B469" s="283"/>
      <c r="C469" s="5"/>
      <c r="D469" s="5"/>
      <c r="E469" s="5"/>
      <c r="F469" s="5"/>
      <c r="G469" s="5"/>
      <c r="H469" s="5"/>
      <c r="I469" s="3"/>
      <c r="J469" s="6"/>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row>
    <row r="470" spans="2:33" ht="12.75">
      <c r="B470" s="283"/>
      <c r="C470" s="5"/>
      <c r="D470" s="5"/>
      <c r="E470" s="5"/>
      <c r="F470" s="5"/>
      <c r="G470" s="5"/>
      <c r="H470" s="5"/>
      <c r="I470" s="3"/>
      <c r="J470" s="6"/>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row>
    <row r="471" spans="2:33" ht="12.75">
      <c r="B471" s="283"/>
      <c r="C471" s="5"/>
      <c r="D471" s="5"/>
      <c r="E471" s="5"/>
      <c r="F471" s="5"/>
      <c r="G471" s="5"/>
      <c r="H471" s="5"/>
      <c r="I471" s="3"/>
      <c r="J471" s="6"/>
      <c r="K471" s="69"/>
      <c r="L471" s="69"/>
      <c r="M471" s="69"/>
      <c r="N471" s="69"/>
      <c r="O471" s="69"/>
      <c r="P471" s="69"/>
      <c r="Q471" s="69"/>
      <c r="R471" s="69"/>
      <c r="S471" s="69"/>
      <c r="T471" s="69"/>
      <c r="U471" s="69"/>
      <c r="V471" s="69"/>
      <c r="W471" s="69"/>
      <c r="X471" s="69"/>
      <c r="Y471" s="69"/>
      <c r="Z471" s="69"/>
      <c r="AA471" s="69"/>
      <c r="AB471" s="69"/>
      <c r="AC471" s="69"/>
      <c r="AD471" s="69"/>
      <c r="AE471" s="69"/>
      <c r="AF471" s="69"/>
      <c r="AG471" s="69"/>
    </row>
    <row r="472" spans="2:33" ht="12.75">
      <c r="B472" s="283"/>
      <c r="C472" s="5"/>
      <c r="D472" s="5"/>
      <c r="E472" s="5"/>
      <c r="F472" s="5"/>
      <c r="G472" s="5"/>
      <c r="H472" s="5"/>
      <c r="I472" s="3"/>
      <c r="J472" s="6"/>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row>
    <row r="473" spans="2:33" ht="12.75">
      <c r="B473" s="283"/>
      <c r="C473" s="5"/>
      <c r="D473" s="5"/>
      <c r="E473" s="5"/>
      <c r="F473" s="5"/>
      <c r="G473" s="5"/>
      <c r="H473" s="5"/>
      <c r="I473" s="3"/>
      <c r="J473" s="6"/>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row>
    <row r="474" spans="2:33" ht="12.75">
      <c r="B474" s="283"/>
      <c r="C474" s="5"/>
      <c r="D474" s="5"/>
      <c r="E474" s="5"/>
      <c r="F474" s="5"/>
      <c r="G474" s="5"/>
      <c r="H474" s="5"/>
      <c r="I474" s="3"/>
      <c r="J474" s="6"/>
      <c r="K474" s="69"/>
      <c r="L474" s="69"/>
      <c r="M474" s="69"/>
      <c r="N474" s="69"/>
      <c r="O474" s="69"/>
      <c r="P474" s="69"/>
      <c r="Q474" s="69"/>
      <c r="R474" s="69"/>
      <c r="S474" s="69"/>
      <c r="T474" s="69"/>
      <c r="U474" s="69"/>
      <c r="V474" s="69"/>
      <c r="W474" s="69"/>
      <c r="X474" s="69"/>
      <c r="Y474" s="69"/>
      <c r="Z474" s="69"/>
      <c r="AA474" s="69"/>
      <c r="AB474" s="69"/>
      <c r="AC474" s="69"/>
      <c r="AD474" s="69"/>
      <c r="AE474" s="69"/>
      <c r="AF474" s="69"/>
      <c r="AG474" s="69"/>
    </row>
    <row r="475" spans="2:33" ht="12.75">
      <c r="B475" s="283"/>
      <c r="C475" s="5"/>
      <c r="D475" s="5"/>
      <c r="E475" s="5"/>
      <c r="F475" s="5"/>
      <c r="G475" s="5"/>
      <c r="H475" s="5"/>
      <c r="I475" s="3"/>
      <c r="J475" s="6"/>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row>
    <row r="476" spans="2:33" ht="12.75">
      <c r="B476" s="283"/>
      <c r="C476" s="5"/>
      <c r="D476" s="5"/>
      <c r="E476" s="5"/>
      <c r="F476" s="5"/>
      <c r="G476" s="5"/>
      <c r="H476" s="5"/>
      <c r="I476" s="3"/>
      <c r="J476" s="6"/>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row>
    <row r="477" spans="2:33" ht="12.75">
      <c r="B477" s="283"/>
      <c r="C477" s="5"/>
      <c r="D477" s="5"/>
      <c r="E477" s="5"/>
      <c r="F477" s="5"/>
      <c r="G477" s="5"/>
      <c r="H477" s="5"/>
      <c r="I477" s="3"/>
      <c r="J477" s="6"/>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row>
    <row r="478" spans="2:33" ht="12.75">
      <c r="B478" s="283"/>
      <c r="C478" s="5"/>
      <c r="D478" s="5"/>
      <c r="E478" s="5"/>
      <c r="F478" s="5"/>
      <c r="G478" s="5"/>
      <c r="H478" s="5"/>
      <c r="I478" s="3"/>
      <c r="J478" s="6"/>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row>
    <row r="479" spans="2:33" ht="12.75">
      <c r="B479" s="283"/>
      <c r="C479" s="5"/>
      <c r="D479" s="5"/>
      <c r="E479" s="5"/>
      <c r="F479" s="5"/>
      <c r="G479" s="5"/>
      <c r="H479" s="5"/>
      <c r="I479" s="3"/>
      <c r="J479" s="6"/>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row>
    <row r="480" spans="2:33" ht="12.75">
      <c r="B480" s="283"/>
      <c r="C480" s="5"/>
      <c r="D480" s="5"/>
      <c r="E480" s="5"/>
      <c r="F480" s="5"/>
      <c r="G480" s="5"/>
      <c r="H480" s="5"/>
      <c r="I480" s="3"/>
      <c r="J480" s="6"/>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row>
    <row r="481" spans="2:33" ht="12.75">
      <c r="B481" s="283"/>
      <c r="C481" s="5"/>
      <c r="D481" s="5"/>
      <c r="E481" s="5"/>
      <c r="F481" s="5"/>
      <c r="G481" s="5"/>
      <c r="H481" s="5"/>
      <c r="I481" s="3"/>
      <c r="J481" s="6"/>
      <c r="K481" s="69"/>
      <c r="L481" s="69"/>
      <c r="M481" s="69"/>
      <c r="N481" s="69"/>
      <c r="O481" s="69"/>
      <c r="P481" s="69"/>
      <c r="Q481" s="69"/>
      <c r="R481" s="69"/>
      <c r="S481" s="69"/>
      <c r="T481" s="69"/>
      <c r="U481" s="69"/>
      <c r="V481" s="69"/>
      <c r="W481" s="69"/>
      <c r="X481" s="69"/>
      <c r="Y481" s="69"/>
      <c r="Z481" s="69"/>
      <c r="AA481" s="69"/>
      <c r="AB481" s="69"/>
      <c r="AC481" s="69"/>
      <c r="AD481" s="69"/>
      <c r="AE481" s="69"/>
      <c r="AF481" s="69"/>
      <c r="AG481" s="69"/>
    </row>
    <row r="482" spans="2:33" ht="12.75">
      <c r="B482" s="283"/>
      <c r="C482" s="5"/>
      <c r="D482" s="5"/>
      <c r="E482" s="5"/>
      <c r="F482" s="5"/>
      <c r="G482" s="5"/>
      <c r="H482" s="5"/>
      <c r="I482" s="3"/>
      <c r="J482" s="6"/>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row>
    <row r="483" spans="2:33" ht="12.75">
      <c r="B483" s="283"/>
      <c r="C483" s="5"/>
      <c r="D483" s="5"/>
      <c r="E483" s="5"/>
      <c r="F483" s="5"/>
      <c r="G483" s="5"/>
      <c r="H483" s="5"/>
      <c r="I483" s="3"/>
      <c r="J483" s="6"/>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row>
    <row r="484" spans="2:33" ht="12.75">
      <c r="B484" s="283"/>
      <c r="C484" s="5"/>
      <c r="D484" s="5"/>
      <c r="E484" s="5"/>
      <c r="F484" s="5"/>
      <c r="G484" s="5"/>
      <c r="H484" s="5"/>
      <c r="I484" s="3"/>
      <c r="J484" s="6"/>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row>
    <row r="485" spans="2:33" ht="12.75">
      <c r="B485" s="283"/>
      <c r="C485" s="5"/>
      <c r="D485" s="5"/>
      <c r="E485" s="5"/>
      <c r="F485" s="5"/>
      <c r="G485" s="5"/>
      <c r="H485" s="5"/>
      <c r="I485" s="3"/>
      <c r="J485" s="6"/>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row>
    <row r="486" spans="2:33" ht="12.75">
      <c r="B486" s="283"/>
      <c r="C486" s="5"/>
      <c r="D486" s="5"/>
      <c r="E486" s="5"/>
      <c r="F486" s="5"/>
      <c r="G486" s="5"/>
      <c r="H486" s="5"/>
      <c r="I486" s="3"/>
      <c r="J486" s="6"/>
      <c r="K486" s="69"/>
      <c r="L486" s="69"/>
      <c r="M486" s="69"/>
      <c r="N486" s="69"/>
      <c r="O486" s="69"/>
      <c r="P486" s="69"/>
      <c r="Q486" s="69"/>
      <c r="R486" s="69"/>
      <c r="S486" s="69"/>
      <c r="T486" s="69"/>
      <c r="U486" s="69"/>
      <c r="V486" s="69"/>
      <c r="W486" s="69"/>
      <c r="X486" s="69"/>
      <c r="Y486" s="69"/>
      <c r="Z486" s="69"/>
      <c r="AA486" s="69"/>
      <c r="AB486" s="69"/>
      <c r="AC486" s="69"/>
      <c r="AD486" s="69"/>
      <c r="AE486" s="69"/>
      <c r="AF486" s="69"/>
      <c r="AG486" s="69"/>
    </row>
    <row r="487" spans="2:33" ht="12.75">
      <c r="B487" s="283"/>
      <c r="C487" s="5"/>
      <c r="D487" s="5"/>
      <c r="E487" s="5"/>
      <c r="F487" s="5"/>
      <c r="G487" s="5"/>
      <c r="H487" s="5"/>
      <c r="I487" s="3"/>
      <c r="J487" s="6"/>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row>
    <row r="488" spans="2:33" ht="12.75">
      <c r="B488" s="283"/>
      <c r="C488" s="5"/>
      <c r="D488" s="5"/>
      <c r="E488" s="5"/>
      <c r="F488" s="5"/>
      <c r="G488" s="5"/>
      <c r="H488" s="5"/>
      <c r="I488" s="3"/>
      <c r="J488" s="6"/>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row>
    <row r="489" spans="2:33" ht="12.75">
      <c r="B489" s="283"/>
      <c r="C489" s="5"/>
      <c r="D489" s="5"/>
      <c r="E489" s="5"/>
      <c r="F489" s="5"/>
      <c r="G489" s="5"/>
      <c r="H489" s="5"/>
      <c r="I489" s="3"/>
      <c r="J489" s="6"/>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row>
    <row r="490" spans="2:33" ht="12.75">
      <c r="B490" s="283"/>
      <c r="C490" s="5"/>
      <c r="D490" s="5"/>
      <c r="E490" s="5"/>
      <c r="F490" s="5"/>
      <c r="G490" s="5"/>
      <c r="H490" s="5"/>
      <c r="I490" s="3"/>
      <c r="J490" s="6"/>
      <c r="K490" s="69"/>
      <c r="L490" s="69"/>
      <c r="M490" s="69"/>
      <c r="N490" s="69"/>
      <c r="O490" s="69"/>
      <c r="P490" s="69"/>
      <c r="Q490" s="69"/>
      <c r="R490" s="69"/>
      <c r="S490" s="69"/>
      <c r="T490" s="69"/>
      <c r="U490" s="69"/>
      <c r="V490" s="69"/>
      <c r="W490" s="69"/>
      <c r="X490" s="69"/>
      <c r="Y490" s="69"/>
      <c r="Z490" s="69"/>
      <c r="AA490" s="69"/>
      <c r="AB490" s="69"/>
      <c r="AC490" s="69"/>
      <c r="AD490" s="69"/>
      <c r="AE490" s="69"/>
      <c r="AF490" s="69"/>
      <c r="AG490" s="69"/>
    </row>
    <row r="491" spans="2:33" ht="12.75">
      <c r="B491" s="283"/>
      <c r="C491" s="5"/>
      <c r="D491" s="5"/>
      <c r="E491" s="5"/>
      <c r="F491" s="5"/>
      <c r="G491" s="5"/>
      <c r="H491" s="5"/>
      <c r="I491" s="3"/>
      <c r="J491" s="6"/>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row>
    <row r="492" spans="2:33" ht="12.75">
      <c r="B492" s="283"/>
      <c r="C492" s="5"/>
      <c r="D492" s="5"/>
      <c r="E492" s="5"/>
      <c r="F492" s="5"/>
      <c r="G492" s="5"/>
      <c r="H492" s="5"/>
      <c r="I492" s="3"/>
      <c r="J492" s="6"/>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row>
    <row r="493" spans="2:33" ht="12.75">
      <c r="B493" s="283"/>
      <c r="C493" s="5"/>
      <c r="D493" s="5"/>
      <c r="E493" s="5"/>
      <c r="F493" s="5"/>
      <c r="G493" s="5"/>
      <c r="H493" s="5"/>
      <c r="I493" s="3"/>
      <c r="J493" s="6"/>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row>
    <row r="494" spans="2:33" ht="12.75">
      <c r="B494" s="283"/>
      <c r="C494" s="5"/>
      <c r="D494" s="5"/>
      <c r="E494" s="5"/>
      <c r="F494" s="5"/>
      <c r="G494" s="5"/>
      <c r="H494" s="5"/>
      <c r="I494" s="3"/>
      <c r="J494" s="6"/>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row>
    <row r="495" spans="2:33" ht="12.75">
      <c r="B495" s="283"/>
      <c r="C495" s="5"/>
      <c r="D495" s="5"/>
      <c r="E495" s="5"/>
      <c r="F495" s="5"/>
      <c r="G495" s="5"/>
      <c r="H495" s="5"/>
      <c r="I495" s="3"/>
      <c r="J495" s="6"/>
      <c r="K495" s="69"/>
      <c r="L495" s="69"/>
      <c r="M495" s="69"/>
      <c r="N495" s="69"/>
      <c r="O495" s="69"/>
      <c r="P495" s="69"/>
      <c r="Q495" s="69"/>
      <c r="R495" s="69"/>
      <c r="S495" s="69"/>
      <c r="T495" s="69"/>
      <c r="U495" s="69"/>
      <c r="V495" s="69"/>
      <c r="W495" s="69"/>
      <c r="X495" s="69"/>
      <c r="Y495" s="69"/>
      <c r="Z495" s="69"/>
      <c r="AA495" s="69"/>
      <c r="AB495" s="69"/>
      <c r="AC495" s="69"/>
      <c r="AD495" s="69"/>
      <c r="AE495" s="69"/>
      <c r="AF495" s="69"/>
      <c r="AG495" s="69"/>
    </row>
    <row r="496" spans="2:33" ht="12.75">
      <c r="B496" s="283"/>
      <c r="C496" s="5"/>
      <c r="D496" s="5"/>
      <c r="E496" s="5"/>
      <c r="F496" s="5"/>
      <c r="G496" s="5"/>
      <c r="H496" s="5"/>
      <c r="I496" s="3"/>
      <c r="J496" s="6"/>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row>
    <row r="497" spans="2:33" ht="12.75">
      <c r="B497" s="283"/>
      <c r="C497" s="5"/>
      <c r="D497" s="5"/>
      <c r="E497" s="5"/>
      <c r="F497" s="5"/>
      <c r="G497" s="5"/>
      <c r="H497" s="5"/>
      <c r="I497" s="3"/>
      <c r="J497" s="6"/>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row>
    <row r="498" spans="2:33" ht="12.75">
      <c r="B498" s="283"/>
      <c r="C498" s="5"/>
      <c r="D498" s="5"/>
      <c r="E498" s="5"/>
      <c r="F498" s="5"/>
      <c r="G498" s="5"/>
      <c r="H498" s="5"/>
      <c r="I498" s="3"/>
      <c r="J498" s="6"/>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row>
    <row r="499" spans="2:33" ht="12.75">
      <c r="B499" s="283"/>
      <c r="C499" s="5"/>
      <c r="D499" s="5"/>
      <c r="E499" s="5"/>
      <c r="F499" s="5"/>
      <c r="G499" s="5"/>
      <c r="H499" s="5"/>
      <c r="I499" s="3"/>
      <c r="J499" s="6"/>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row>
    <row r="500" spans="2:33" ht="12.75">
      <c r="B500" s="283"/>
      <c r="C500" s="5"/>
      <c r="D500" s="5"/>
      <c r="E500" s="5"/>
      <c r="F500" s="5"/>
      <c r="G500" s="5"/>
      <c r="H500" s="5"/>
      <c r="I500" s="3"/>
      <c r="J500" s="6"/>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row>
    <row r="501" spans="2:33" ht="12.75">
      <c r="B501" s="283"/>
      <c r="C501" s="5"/>
      <c r="D501" s="5"/>
      <c r="E501" s="5"/>
      <c r="F501" s="5"/>
      <c r="G501" s="5"/>
      <c r="H501" s="5"/>
      <c r="I501" s="3"/>
      <c r="J501" s="6"/>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row>
    <row r="502" spans="2:33" ht="12.75">
      <c r="B502" s="283"/>
      <c r="C502" s="5"/>
      <c r="D502" s="5"/>
      <c r="E502" s="5"/>
      <c r="F502" s="5"/>
      <c r="G502" s="5"/>
      <c r="H502" s="5"/>
      <c r="I502" s="3"/>
      <c r="J502" s="6"/>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row>
    <row r="503" spans="2:33" ht="12.75">
      <c r="B503" s="283"/>
      <c r="C503" s="5"/>
      <c r="D503" s="5"/>
      <c r="E503" s="5"/>
      <c r="F503" s="5"/>
      <c r="G503" s="5"/>
      <c r="H503" s="5"/>
      <c r="I503" s="3"/>
      <c r="J503" s="6"/>
      <c r="K503" s="69"/>
      <c r="L503" s="69"/>
      <c r="M503" s="69"/>
      <c r="N503" s="69"/>
      <c r="O503" s="69"/>
      <c r="P503" s="69"/>
      <c r="Q503" s="69"/>
      <c r="R503" s="69"/>
      <c r="S503" s="69"/>
      <c r="T503" s="69"/>
      <c r="U503" s="69"/>
      <c r="V503" s="69"/>
      <c r="W503" s="69"/>
      <c r="X503" s="69"/>
      <c r="Y503" s="69"/>
      <c r="Z503" s="69"/>
      <c r="AA503" s="69"/>
      <c r="AB503" s="69"/>
      <c r="AC503" s="69"/>
      <c r="AD503" s="69"/>
      <c r="AE503" s="69"/>
      <c r="AF503" s="69"/>
      <c r="AG503" s="69"/>
    </row>
    <row r="504" spans="2:33" ht="12.75">
      <c r="B504" s="283"/>
      <c r="C504" s="5"/>
      <c r="D504" s="5"/>
      <c r="E504" s="5"/>
      <c r="F504" s="5"/>
      <c r="G504" s="5"/>
      <c r="H504" s="5"/>
      <c r="I504" s="3"/>
      <c r="J504" s="6"/>
      <c r="K504" s="69"/>
      <c r="L504" s="69"/>
      <c r="M504" s="69"/>
      <c r="N504" s="69"/>
      <c r="O504" s="69"/>
      <c r="P504" s="69"/>
      <c r="Q504" s="69"/>
      <c r="R504" s="69"/>
      <c r="S504" s="69"/>
      <c r="T504" s="69"/>
      <c r="U504" s="69"/>
      <c r="V504" s="69"/>
      <c r="W504" s="69"/>
      <c r="X504" s="69"/>
      <c r="Y504" s="69"/>
      <c r="Z504" s="69"/>
      <c r="AA504" s="69"/>
      <c r="AB504" s="69"/>
      <c r="AC504" s="69"/>
      <c r="AD504" s="69"/>
      <c r="AE504" s="69"/>
      <c r="AF504" s="69"/>
      <c r="AG504" s="69"/>
    </row>
    <row r="505" spans="2:33" ht="12.75">
      <c r="B505" s="283"/>
      <c r="C505" s="5"/>
      <c r="D505" s="5"/>
      <c r="E505" s="5"/>
      <c r="F505" s="5"/>
      <c r="G505" s="5"/>
      <c r="H505" s="5"/>
      <c r="I505" s="3"/>
      <c r="J505" s="6"/>
      <c r="K505" s="69"/>
      <c r="L505" s="69"/>
      <c r="M505" s="69"/>
      <c r="N505" s="69"/>
      <c r="O505" s="69"/>
      <c r="P505" s="69"/>
      <c r="Q505" s="69"/>
      <c r="R505" s="69"/>
      <c r="S505" s="69"/>
      <c r="T505" s="69"/>
      <c r="U505" s="69"/>
      <c r="V505" s="69"/>
      <c r="W505" s="69"/>
      <c r="X505" s="69"/>
      <c r="Y505" s="69"/>
      <c r="Z505" s="69"/>
      <c r="AA505" s="69"/>
      <c r="AB505" s="69"/>
      <c r="AC505" s="69"/>
      <c r="AD505" s="69"/>
      <c r="AE505" s="69"/>
      <c r="AF505" s="69"/>
      <c r="AG505" s="69"/>
    </row>
    <row r="506" spans="2:33" ht="12.75">
      <c r="B506" s="283"/>
      <c r="C506" s="5"/>
      <c r="D506" s="5"/>
      <c r="E506" s="5"/>
      <c r="F506" s="5"/>
      <c r="G506" s="5"/>
      <c r="H506" s="5"/>
      <c r="I506" s="3"/>
      <c r="J506" s="6"/>
      <c r="K506" s="69"/>
      <c r="L506" s="69"/>
      <c r="M506" s="69"/>
      <c r="N506" s="69"/>
      <c r="O506" s="69"/>
      <c r="P506" s="69"/>
      <c r="Q506" s="69"/>
      <c r="R506" s="69"/>
      <c r="S506" s="69"/>
      <c r="T506" s="69"/>
      <c r="U506" s="69"/>
      <c r="V506" s="69"/>
      <c r="W506" s="69"/>
      <c r="X506" s="69"/>
      <c r="Y506" s="69"/>
      <c r="Z506" s="69"/>
      <c r="AA506" s="69"/>
      <c r="AB506" s="69"/>
      <c r="AC506" s="69"/>
      <c r="AD506" s="69"/>
      <c r="AE506" s="69"/>
      <c r="AF506" s="69"/>
      <c r="AG506" s="69"/>
    </row>
    <row r="507" spans="2:33" ht="12.75">
      <c r="B507" s="283"/>
      <c r="C507" s="5"/>
      <c r="D507" s="5"/>
      <c r="E507" s="5"/>
      <c r="F507" s="5"/>
      <c r="G507" s="5"/>
      <c r="H507" s="5"/>
      <c r="I507" s="3"/>
      <c r="J507" s="6"/>
      <c r="K507" s="69"/>
      <c r="L507" s="69"/>
      <c r="M507" s="69"/>
      <c r="N507" s="69"/>
      <c r="O507" s="69"/>
      <c r="P507" s="69"/>
      <c r="Q507" s="69"/>
      <c r="R507" s="69"/>
      <c r="S507" s="69"/>
      <c r="T507" s="69"/>
      <c r="U507" s="69"/>
      <c r="V507" s="69"/>
      <c r="W507" s="69"/>
      <c r="X507" s="69"/>
      <c r="Y507" s="69"/>
      <c r="Z507" s="69"/>
      <c r="AA507" s="69"/>
      <c r="AB507" s="69"/>
      <c r="AC507" s="69"/>
      <c r="AD507" s="69"/>
      <c r="AE507" s="69"/>
      <c r="AF507" s="69"/>
      <c r="AG507" s="69"/>
    </row>
    <row r="508" spans="2:33" ht="12.75">
      <c r="B508" s="283"/>
      <c r="C508" s="5"/>
      <c r="D508" s="5"/>
      <c r="E508" s="5"/>
      <c r="F508" s="5"/>
      <c r="G508" s="5"/>
      <c r="H508" s="5"/>
      <c r="I508" s="3"/>
      <c r="J508" s="6"/>
      <c r="K508" s="69"/>
      <c r="L508" s="69"/>
      <c r="M508" s="69"/>
      <c r="N508" s="69"/>
      <c r="O508" s="69"/>
      <c r="P508" s="69"/>
      <c r="Q508" s="69"/>
      <c r="R508" s="69"/>
      <c r="S508" s="69"/>
      <c r="T508" s="69"/>
      <c r="U508" s="69"/>
      <c r="V508" s="69"/>
      <c r="W508" s="69"/>
      <c r="X508" s="69"/>
      <c r="Y508" s="69"/>
      <c r="Z508" s="69"/>
      <c r="AA508" s="69"/>
      <c r="AB508" s="69"/>
      <c r="AC508" s="69"/>
      <c r="AD508" s="69"/>
      <c r="AE508" s="69"/>
      <c r="AF508" s="69"/>
      <c r="AG508" s="69"/>
    </row>
    <row r="509" spans="2:33" ht="12.75">
      <c r="B509" s="283"/>
      <c r="C509" s="5"/>
      <c r="D509" s="5"/>
      <c r="E509" s="5"/>
      <c r="F509" s="5"/>
      <c r="G509" s="5"/>
      <c r="H509" s="5"/>
      <c r="I509" s="3"/>
      <c r="J509" s="6"/>
      <c r="K509" s="69"/>
      <c r="L509" s="69"/>
      <c r="M509" s="69"/>
      <c r="N509" s="69"/>
      <c r="O509" s="69"/>
      <c r="P509" s="69"/>
      <c r="Q509" s="69"/>
      <c r="R509" s="69"/>
      <c r="S509" s="69"/>
      <c r="T509" s="69"/>
      <c r="U509" s="69"/>
      <c r="V509" s="69"/>
      <c r="W509" s="69"/>
      <c r="X509" s="69"/>
      <c r="Y509" s="69"/>
      <c r="Z509" s="69"/>
      <c r="AA509" s="69"/>
      <c r="AB509" s="69"/>
      <c r="AC509" s="69"/>
      <c r="AD509" s="69"/>
      <c r="AE509" s="69"/>
      <c r="AF509" s="69"/>
      <c r="AG509" s="69"/>
    </row>
    <row r="510" spans="2:33" ht="12.75">
      <c r="B510" s="283"/>
      <c r="C510" s="5"/>
      <c r="D510" s="5"/>
      <c r="E510" s="5"/>
      <c r="F510" s="5"/>
      <c r="G510" s="5"/>
      <c r="H510" s="5"/>
      <c r="I510" s="3"/>
      <c r="J510" s="6"/>
      <c r="K510" s="69"/>
      <c r="L510" s="69"/>
      <c r="M510" s="69"/>
      <c r="N510" s="69"/>
      <c r="O510" s="69"/>
      <c r="P510" s="69"/>
      <c r="Q510" s="69"/>
      <c r="R510" s="69"/>
      <c r="S510" s="69"/>
      <c r="T510" s="69"/>
      <c r="U510" s="69"/>
      <c r="V510" s="69"/>
      <c r="W510" s="69"/>
      <c r="X510" s="69"/>
      <c r="Y510" s="69"/>
      <c r="Z510" s="69"/>
      <c r="AA510" s="69"/>
      <c r="AB510" s="69"/>
      <c r="AC510" s="69"/>
      <c r="AD510" s="69"/>
      <c r="AE510" s="69"/>
      <c r="AF510" s="69"/>
      <c r="AG510" s="69"/>
    </row>
    <row r="511" spans="2:33" ht="12.75">
      <c r="B511" s="283"/>
      <c r="C511" s="5"/>
      <c r="D511" s="5"/>
      <c r="E511" s="5"/>
      <c r="F511" s="5"/>
      <c r="G511" s="5"/>
      <c r="H511" s="5"/>
      <c r="I511" s="3"/>
      <c r="J511" s="6"/>
      <c r="K511" s="69"/>
      <c r="L511" s="69"/>
      <c r="M511" s="69"/>
      <c r="N511" s="69"/>
      <c r="O511" s="69"/>
      <c r="P511" s="69"/>
      <c r="Q511" s="69"/>
      <c r="R511" s="69"/>
      <c r="S511" s="69"/>
      <c r="T511" s="69"/>
      <c r="U511" s="69"/>
      <c r="V511" s="69"/>
      <c r="W511" s="69"/>
      <c r="X511" s="69"/>
      <c r="Y511" s="69"/>
      <c r="Z511" s="69"/>
      <c r="AA511" s="69"/>
      <c r="AB511" s="69"/>
      <c r="AC511" s="69"/>
      <c r="AD511" s="69"/>
      <c r="AE511" s="69"/>
      <c r="AF511" s="69"/>
      <c r="AG511" s="69"/>
    </row>
    <row r="512" spans="2:33" ht="12.75">
      <c r="B512" s="283"/>
      <c r="C512" s="5"/>
      <c r="D512" s="5"/>
      <c r="E512" s="5"/>
      <c r="F512" s="5"/>
      <c r="G512" s="5"/>
      <c r="H512" s="5"/>
      <c r="I512" s="3"/>
      <c r="J512" s="6"/>
      <c r="K512" s="69"/>
      <c r="L512" s="69"/>
      <c r="M512" s="69"/>
      <c r="N512" s="69"/>
      <c r="O512" s="69"/>
      <c r="P512" s="69"/>
      <c r="Q512" s="69"/>
      <c r="R512" s="69"/>
      <c r="S512" s="69"/>
      <c r="T512" s="69"/>
      <c r="U512" s="69"/>
      <c r="V512" s="69"/>
      <c r="W512" s="69"/>
      <c r="X512" s="69"/>
      <c r="Y512" s="69"/>
      <c r="Z512" s="69"/>
      <c r="AA512" s="69"/>
      <c r="AB512" s="69"/>
      <c r="AC512" s="69"/>
      <c r="AD512" s="69"/>
      <c r="AE512" s="69"/>
      <c r="AF512" s="69"/>
      <c r="AG512" s="69"/>
    </row>
    <row r="513" spans="2:33" ht="12.75">
      <c r="B513" s="283"/>
      <c r="C513" s="5"/>
      <c r="D513" s="5"/>
      <c r="E513" s="5"/>
      <c r="F513" s="5"/>
      <c r="G513" s="5"/>
      <c r="H513" s="5"/>
      <c r="I513" s="3"/>
      <c r="J513" s="6"/>
      <c r="K513" s="69"/>
      <c r="L513" s="69"/>
      <c r="M513" s="69"/>
      <c r="N513" s="69"/>
      <c r="O513" s="69"/>
      <c r="P513" s="69"/>
      <c r="Q513" s="69"/>
      <c r="R513" s="69"/>
      <c r="S513" s="69"/>
      <c r="T513" s="69"/>
      <c r="U513" s="69"/>
      <c r="V513" s="69"/>
      <c r="W513" s="69"/>
      <c r="X513" s="69"/>
      <c r="Y513" s="69"/>
      <c r="Z513" s="69"/>
      <c r="AA513" s="69"/>
      <c r="AB513" s="69"/>
      <c r="AC513" s="69"/>
      <c r="AD513" s="69"/>
      <c r="AE513" s="69"/>
      <c r="AF513" s="69"/>
      <c r="AG513" s="69"/>
    </row>
    <row r="514" spans="2:33" ht="12.75">
      <c r="B514" s="283"/>
      <c r="C514" s="5"/>
      <c r="D514" s="5"/>
      <c r="E514" s="5"/>
      <c r="F514" s="5"/>
      <c r="G514" s="5"/>
      <c r="H514" s="5"/>
      <c r="I514" s="3"/>
      <c r="J514" s="6"/>
      <c r="K514" s="69"/>
      <c r="L514" s="69"/>
      <c r="M514" s="69"/>
      <c r="N514" s="69"/>
      <c r="O514" s="69"/>
      <c r="P514" s="69"/>
      <c r="Q514" s="69"/>
      <c r="R514" s="69"/>
      <c r="S514" s="69"/>
      <c r="T514" s="69"/>
      <c r="U514" s="69"/>
      <c r="V514" s="69"/>
      <c r="W514" s="69"/>
      <c r="X514" s="69"/>
      <c r="Y514" s="69"/>
      <c r="Z514" s="69"/>
      <c r="AA514" s="69"/>
      <c r="AB514" s="69"/>
      <c r="AC514" s="69"/>
      <c r="AD514" s="69"/>
      <c r="AE514" s="69"/>
      <c r="AF514" s="69"/>
      <c r="AG514" s="69"/>
    </row>
    <row r="515" spans="2:33" ht="12.75">
      <c r="B515" s="283"/>
      <c r="C515" s="5"/>
      <c r="D515" s="5"/>
      <c r="E515" s="5"/>
      <c r="F515" s="5"/>
      <c r="G515" s="5"/>
      <c r="H515" s="5"/>
      <c r="I515" s="3"/>
      <c r="J515" s="6"/>
      <c r="K515" s="69"/>
      <c r="L515" s="69"/>
      <c r="M515" s="69"/>
      <c r="N515" s="69"/>
      <c r="O515" s="69"/>
      <c r="P515" s="69"/>
      <c r="Q515" s="69"/>
      <c r="R515" s="69"/>
      <c r="S515" s="69"/>
      <c r="T515" s="69"/>
      <c r="U515" s="69"/>
      <c r="V515" s="69"/>
      <c r="W515" s="69"/>
      <c r="X515" s="69"/>
      <c r="Y515" s="69"/>
      <c r="Z515" s="69"/>
      <c r="AA515" s="69"/>
      <c r="AB515" s="69"/>
      <c r="AC515" s="69"/>
      <c r="AD515" s="69"/>
      <c r="AE515" s="69"/>
      <c r="AF515" s="69"/>
      <c r="AG515" s="69"/>
    </row>
    <row r="516" spans="2:33" ht="12.75">
      <c r="B516" s="283"/>
      <c r="C516" s="5"/>
      <c r="D516" s="5"/>
      <c r="E516" s="5"/>
      <c r="F516" s="5"/>
      <c r="G516" s="5"/>
      <c r="H516" s="5"/>
      <c r="I516" s="3"/>
      <c r="J516" s="6"/>
      <c r="K516" s="69"/>
      <c r="L516" s="69"/>
      <c r="M516" s="69"/>
      <c r="N516" s="69"/>
      <c r="O516" s="69"/>
      <c r="P516" s="69"/>
      <c r="Q516" s="69"/>
      <c r="R516" s="69"/>
      <c r="S516" s="69"/>
      <c r="T516" s="69"/>
      <c r="U516" s="69"/>
      <c r="V516" s="69"/>
      <c r="W516" s="69"/>
      <c r="X516" s="69"/>
      <c r="Y516" s="69"/>
      <c r="Z516" s="69"/>
      <c r="AA516" s="69"/>
      <c r="AB516" s="69"/>
      <c r="AC516" s="69"/>
      <c r="AD516" s="69"/>
      <c r="AE516" s="69"/>
      <c r="AF516" s="69"/>
      <c r="AG516" s="69"/>
    </row>
    <row r="517" spans="2:33" ht="12.75">
      <c r="B517" s="283"/>
      <c r="C517" s="5"/>
      <c r="D517" s="5"/>
      <c r="E517" s="5"/>
      <c r="F517" s="5"/>
      <c r="G517" s="5"/>
      <c r="H517" s="5"/>
      <c r="I517" s="3"/>
      <c r="J517" s="6"/>
      <c r="K517" s="69"/>
      <c r="L517" s="69"/>
      <c r="M517" s="69"/>
      <c r="N517" s="69"/>
      <c r="O517" s="69"/>
      <c r="P517" s="69"/>
      <c r="Q517" s="69"/>
      <c r="R517" s="69"/>
      <c r="S517" s="69"/>
      <c r="T517" s="69"/>
      <c r="U517" s="69"/>
      <c r="V517" s="69"/>
      <c r="W517" s="69"/>
      <c r="X517" s="69"/>
      <c r="Y517" s="69"/>
      <c r="Z517" s="69"/>
      <c r="AA517" s="69"/>
      <c r="AB517" s="69"/>
      <c r="AC517" s="69"/>
      <c r="AD517" s="69"/>
      <c r="AE517" s="69"/>
      <c r="AF517" s="69"/>
      <c r="AG517" s="69"/>
    </row>
    <row r="518" spans="2:33" ht="12.75">
      <c r="B518" s="283"/>
      <c r="C518" s="5"/>
      <c r="D518" s="5"/>
      <c r="E518" s="5"/>
      <c r="F518" s="5"/>
      <c r="G518" s="5"/>
      <c r="H518" s="5"/>
      <c r="I518" s="3"/>
      <c r="J518" s="6"/>
      <c r="K518" s="69"/>
      <c r="L518" s="69"/>
      <c r="M518" s="69"/>
      <c r="N518" s="69"/>
      <c r="O518" s="69"/>
      <c r="P518" s="69"/>
      <c r="Q518" s="69"/>
      <c r="R518" s="69"/>
      <c r="S518" s="69"/>
      <c r="T518" s="69"/>
      <c r="U518" s="69"/>
      <c r="V518" s="69"/>
      <c r="W518" s="69"/>
      <c r="X518" s="69"/>
      <c r="Y518" s="69"/>
      <c r="Z518" s="69"/>
      <c r="AA518" s="69"/>
      <c r="AB518" s="69"/>
      <c r="AC518" s="69"/>
      <c r="AD518" s="69"/>
      <c r="AE518" s="69"/>
      <c r="AF518" s="69"/>
      <c r="AG518" s="69"/>
    </row>
    <row r="519" spans="2:33" ht="12.75">
      <c r="B519" s="283"/>
      <c r="C519" s="5"/>
      <c r="D519" s="5"/>
      <c r="E519" s="5"/>
      <c r="F519" s="5"/>
      <c r="G519" s="5"/>
      <c r="H519" s="5"/>
      <c r="I519" s="3"/>
      <c r="J519" s="6"/>
      <c r="K519" s="69"/>
      <c r="L519" s="69"/>
      <c r="M519" s="69"/>
      <c r="N519" s="69"/>
      <c r="O519" s="69"/>
      <c r="P519" s="69"/>
      <c r="Q519" s="69"/>
      <c r="R519" s="69"/>
      <c r="S519" s="69"/>
      <c r="T519" s="69"/>
      <c r="U519" s="69"/>
      <c r="V519" s="69"/>
      <c r="W519" s="69"/>
      <c r="X519" s="69"/>
      <c r="Y519" s="69"/>
      <c r="Z519" s="69"/>
      <c r="AA519" s="69"/>
      <c r="AB519" s="69"/>
      <c r="AC519" s="69"/>
      <c r="AD519" s="69"/>
      <c r="AE519" s="69"/>
      <c r="AF519" s="69"/>
      <c r="AG519" s="69"/>
    </row>
    <row r="520" spans="2:33" ht="12.75">
      <c r="B520" s="283"/>
      <c r="C520" s="5"/>
      <c r="D520" s="5"/>
      <c r="E520" s="5"/>
      <c r="F520" s="5"/>
      <c r="G520" s="5"/>
      <c r="H520" s="5"/>
      <c r="I520" s="3"/>
      <c r="J520" s="6"/>
      <c r="K520" s="69"/>
      <c r="L520" s="69"/>
      <c r="M520" s="69"/>
      <c r="N520" s="69"/>
      <c r="O520" s="69"/>
      <c r="P520" s="69"/>
      <c r="Q520" s="69"/>
      <c r="R520" s="69"/>
      <c r="S520" s="69"/>
      <c r="T520" s="69"/>
      <c r="U520" s="69"/>
      <c r="V520" s="69"/>
      <c r="W520" s="69"/>
      <c r="X520" s="69"/>
      <c r="Y520" s="69"/>
      <c r="Z520" s="69"/>
      <c r="AA520" s="69"/>
      <c r="AB520" s="69"/>
      <c r="AC520" s="69"/>
      <c r="AD520" s="69"/>
      <c r="AE520" s="69"/>
      <c r="AF520" s="69"/>
      <c r="AG520" s="69"/>
    </row>
    <row r="521" spans="2:33" ht="12.75">
      <c r="B521" s="283"/>
      <c r="C521" s="5"/>
      <c r="D521" s="5"/>
      <c r="E521" s="5"/>
      <c r="F521" s="5"/>
      <c r="G521" s="5"/>
      <c r="H521" s="5"/>
      <c r="I521" s="3"/>
      <c r="J521" s="6"/>
      <c r="K521" s="69"/>
      <c r="L521" s="69"/>
      <c r="M521" s="69"/>
      <c r="N521" s="69"/>
      <c r="O521" s="69"/>
      <c r="P521" s="69"/>
      <c r="Q521" s="69"/>
      <c r="R521" s="69"/>
      <c r="S521" s="69"/>
      <c r="T521" s="69"/>
      <c r="U521" s="69"/>
      <c r="V521" s="69"/>
      <c r="W521" s="69"/>
      <c r="X521" s="69"/>
      <c r="Y521" s="69"/>
      <c r="Z521" s="69"/>
      <c r="AA521" s="69"/>
      <c r="AB521" s="69"/>
      <c r="AC521" s="69"/>
      <c r="AD521" s="69"/>
      <c r="AE521" s="69"/>
      <c r="AF521" s="69"/>
      <c r="AG521" s="69"/>
    </row>
    <row r="522" spans="2:33" ht="12.75">
      <c r="B522" s="283"/>
      <c r="C522" s="5"/>
      <c r="D522" s="5"/>
      <c r="E522" s="5"/>
      <c r="F522" s="5"/>
      <c r="G522" s="5"/>
      <c r="H522" s="5"/>
      <c r="I522" s="3"/>
      <c r="J522" s="6"/>
      <c r="K522" s="69"/>
      <c r="L522" s="69"/>
      <c r="M522" s="69"/>
      <c r="N522" s="69"/>
      <c r="O522" s="69"/>
      <c r="P522" s="69"/>
      <c r="Q522" s="69"/>
      <c r="R522" s="69"/>
      <c r="S522" s="69"/>
      <c r="T522" s="69"/>
      <c r="U522" s="69"/>
      <c r="V522" s="69"/>
      <c r="W522" s="69"/>
      <c r="X522" s="69"/>
      <c r="Y522" s="69"/>
      <c r="Z522" s="69"/>
      <c r="AA522" s="69"/>
      <c r="AB522" s="69"/>
      <c r="AC522" s="69"/>
      <c r="AD522" s="69"/>
      <c r="AE522" s="69"/>
      <c r="AF522" s="69"/>
      <c r="AG522" s="69"/>
    </row>
    <row r="523" spans="2:33" ht="12.75">
      <c r="B523" s="283"/>
      <c r="C523" s="5"/>
      <c r="D523" s="5"/>
      <c r="E523" s="5"/>
      <c r="F523" s="5"/>
      <c r="G523" s="5"/>
      <c r="H523" s="5"/>
      <c r="I523" s="3"/>
      <c r="J523" s="6"/>
      <c r="K523" s="69"/>
      <c r="L523" s="69"/>
      <c r="M523" s="69"/>
      <c r="N523" s="69"/>
      <c r="O523" s="69"/>
      <c r="P523" s="69"/>
      <c r="Q523" s="69"/>
      <c r="R523" s="69"/>
      <c r="S523" s="69"/>
      <c r="T523" s="69"/>
      <c r="U523" s="69"/>
      <c r="V523" s="69"/>
      <c r="W523" s="69"/>
      <c r="X523" s="69"/>
      <c r="Y523" s="69"/>
      <c r="Z523" s="69"/>
      <c r="AA523" s="69"/>
      <c r="AB523" s="69"/>
      <c r="AC523" s="69"/>
      <c r="AD523" s="69"/>
      <c r="AE523" s="69"/>
      <c r="AF523" s="69"/>
      <c r="AG523" s="69"/>
    </row>
    <row r="524" spans="2:33" ht="12.75">
      <c r="B524" s="283"/>
      <c r="C524" s="5"/>
      <c r="D524" s="5"/>
      <c r="E524" s="5"/>
      <c r="F524" s="5"/>
      <c r="G524" s="5"/>
      <c r="H524" s="5"/>
      <c r="I524" s="3"/>
      <c r="J524" s="6"/>
      <c r="K524" s="69"/>
      <c r="L524" s="69"/>
      <c r="M524" s="69"/>
      <c r="N524" s="69"/>
      <c r="O524" s="69"/>
      <c r="P524" s="69"/>
      <c r="Q524" s="69"/>
      <c r="R524" s="69"/>
      <c r="S524" s="69"/>
      <c r="T524" s="69"/>
      <c r="U524" s="69"/>
      <c r="V524" s="69"/>
      <c r="W524" s="69"/>
      <c r="X524" s="69"/>
      <c r="Y524" s="69"/>
      <c r="Z524" s="69"/>
      <c r="AA524" s="69"/>
      <c r="AB524" s="69"/>
      <c r="AC524" s="69"/>
      <c r="AD524" s="69"/>
      <c r="AE524" s="69"/>
      <c r="AF524" s="69"/>
      <c r="AG524" s="69"/>
    </row>
    <row r="525" spans="2:33" ht="12.75">
      <c r="B525" s="283"/>
      <c r="C525" s="5"/>
      <c r="D525" s="5"/>
      <c r="E525" s="5"/>
      <c r="F525" s="5"/>
      <c r="G525" s="5"/>
      <c r="H525" s="5"/>
      <c r="I525" s="3"/>
      <c r="J525" s="6"/>
      <c r="K525" s="69"/>
      <c r="L525" s="69"/>
      <c r="M525" s="69"/>
      <c r="N525" s="69"/>
      <c r="O525" s="69"/>
      <c r="P525" s="69"/>
      <c r="Q525" s="69"/>
      <c r="R525" s="69"/>
      <c r="S525" s="69"/>
      <c r="T525" s="69"/>
      <c r="U525" s="69"/>
      <c r="V525" s="69"/>
      <c r="W525" s="69"/>
      <c r="X525" s="69"/>
      <c r="Y525" s="69"/>
      <c r="Z525" s="69"/>
      <c r="AA525" s="69"/>
      <c r="AB525" s="69"/>
      <c r="AC525" s="69"/>
      <c r="AD525" s="69"/>
      <c r="AE525" s="69"/>
      <c r="AF525" s="69"/>
      <c r="AG525" s="69"/>
    </row>
    <row r="526" spans="2:33" ht="12.75">
      <c r="B526" s="283"/>
      <c r="C526" s="5"/>
      <c r="D526" s="5"/>
      <c r="E526" s="5"/>
      <c r="F526" s="5"/>
      <c r="G526" s="5"/>
      <c r="H526" s="5"/>
      <c r="I526" s="3"/>
      <c r="J526" s="6"/>
      <c r="K526" s="69"/>
      <c r="L526" s="69"/>
      <c r="M526" s="69"/>
      <c r="N526" s="69"/>
      <c r="O526" s="69"/>
      <c r="P526" s="69"/>
      <c r="Q526" s="69"/>
      <c r="R526" s="69"/>
      <c r="S526" s="69"/>
      <c r="T526" s="69"/>
      <c r="U526" s="69"/>
      <c r="V526" s="69"/>
      <c r="W526" s="69"/>
      <c r="X526" s="69"/>
      <c r="Y526" s="69"/>
      <c r="Z526" s="69"/>
      <c r="AA526" s="69"/>
      <c r="AB526" s="69"/>
      <c r="AC526" s="69"/>
      <c r="AD526" s="69"/>
      <c r="AE526" s="69"/>
      <c r="AF526" s="69"/>
      <c r="AG526" s="69"/>
    </row>
    <row r="527" spans="2:33" ht="12.75">
      <c r="B527" s="283"/>
      <c r="C527" s="5"/>
      <c r="D527" s="5"/>
      <c r="E527" s="5"/>
      <c r="F527" s="5"/>
      <c r="G527" s="5"/>
      <c r="H527" s="5"/>
      <c r="I527" s="3"/>
      <c r="J527" s="6"/>
      <c r="K527" s="69"/>
      <c r="L527" s="69"/>
      <c r="M527" s="69"/>
      <c r="N527" s="69"/>
      <c r="O527" s="69"/>
      <c r="P527" s="69"/>
      <c r="Q527" s="69"/>
      <c r="R527" s="69"/>
      <c r="S527" s="69"/>
      <c r="T527" s="69"/>
      <c r="U527" s="69"/>
      <c r="V527" s="69"/>
      <c r="W527" s="69"/>
      <c r="X527" s="69"/>
      <c r="Y527" s="69"/>
      <c r="Z527" s="69"/>
      <c r="AA527" s="69"/>
      <c r="AB527" s="69"/>
      <c r="AC527" s="69"/>
      <c r="AD527" s="69"/>
      <c r="AE527" s="69"/>
      <c r="AF527" s="69"/>
      <c r="AG527" s="69"/>
    </row>
    <row r="528" spans="2:33" ht="12.75">
      <c r="B528" s="283"/>
      <c r="C528" s="5"/>
      <c r="D528" s="5"/>
      <c r="E528" s="5"/>
      <c r="F528" s="5"/>
      <c r="G528" s="5"/>
      <c r="H528" s="5"/>
      <c r="I528" s="3"/>
      <c r="J528" s="6"/>
      <c r="K528" s="69"/>
      <c r="L528" s="69"/>
      <c r="M528" s="69"/>
      <c r="N528" s="69"/>
      <c r="O528" s="69"/>
      <c r="P528" s="69"/>
      <c r="Q528" s="69"/>
      <c r="R528" s="69"/>
      <c r="S528" s="69"/>
      <c r="T528" s="69"/>
      <c r="U528" s="69"/>
      <c r="V528" s="69"/>
      <c r="W528" s="69"/>
      <c r="X528" s="69"/>
      <c r="Y528" s="69"/>
      <c r="Z528" s="69"/>
      <c r="AA528" s="69"/>
      <c r="AB528" s="69"/>
      <c r="AC528" s="69"/>
      <c r="AD528" s="69"/>
      <c r="AE528" s="69"/>
      <c r="AF528" s="69"/>
      <c r="AG528" s="69"/>
    </row>
    <row r="529" spans="2:33" ht="12.75">
      <c r="B529" s="283"/>
      <c r="C529" s="5"/>
      <c r="D529" s="5"/>
      <c r="E529" s="5"/>
      <c r="F529" s="5"/>
      <c r="G529" s="5"/>
      <c r="H529" s="5"/>
      <c r="I529" s="3"/>
      <c r="J529" s="6"/>
      <c r="K529" s="69"/>
      <c r="L529" s="69"/>
      <c r="M529" s="69"/>
      <c r="N529" s="69"/>
      <c r="O529" s="69"/>
      <c r="P529" s="69"/>
      <c r="Q529" s="69"/>
      <c r="R529" s="69"/>
      <c r="S529" s="69"/>
      <c r="T529" s="69"/>
      <c r="U529" s="69"/>
      <c r="V529" s="69"/>
      <c r="W529" s="69"/>
      <c r="X529" s="69"/>
      <c r="Y529" s="69"/>
      <c r="Z529" s="69"/>
      <c r="AA529" s="69"/>
      <c r="AB529" s="69"/>
      <c r="AC529" s="69"/>
      <c r="AD529" s="69"/>
      <c r="AE529" s="69"/>
      <c r="AF529" s="69"/>
      <c r="AG529" s="69"/>
    </row>
    <row r="530" spans="2:33" ht="12.75">
      <c r="B530" s="283"/>
      <c r="C530" s="5"/>
      <c r="D530" s="5"/>
      <c r="E530" s="5"/>
      <c r="F530" s="5"/>
      <c r="G530" s="5"/>
      <c r="H530" s="5"/>
      <c r="I530" s="3"/>
      <c r="J530" s="6"/>
      <c r="K530" s="69"/>
      <c r="L530" s="69"/>
      <c r="M530" s="69"/>
      <c r="N530" s="69"/>
      <c r="O530" s="69"/>
      <c r="P530" s="69"/>
      <c r="Q530" s="69"/>
      <c r="R530" s="69"/>
      <c r="S530" s="69"/>
      <c r="T530" s="69"/>
      <c r="U530" s="69"/>
      <c r="V530" s="69"/>
      <c r="W530" s="69"/>
      <c r="X530" s="69"/>
      <c r="Y530" s="69"/>
      <c r="Z530" s="69"/>
      <c r="AA530" s="69"/>
      <c r="AB530" s="69"/>
      <c r="AC530" s="69"/>
      <c r="AD530" s="69"/>
      <c r="AE530" s="69"/>
      <c r="AF530" s="69"/>
      <c r="AG530" s="69"/>
    </row>
    <row r="531" spans="2:33" ht="12.75">
      <c r="B531" s="283"/>
      <c r="C531" s="5"/>
      <c r="D531" s="5"/>
      <c r="E531" s="5"/>
      <c r="F531" s="5"/>
      <c r="G531" s="5"/>
      <c r="H531" s="5"/>
      <c r="I531" s="3"/>
      <c r="J531" s="6"/>
      <c r="K531" s="69"/>
      <c r="L531" s="69"/>
      <c r="M531" s="69"/>
      <c r="N531" s="69"/>
      <c r="O531" s="69"/>
      <c r="P531" s="69"/>
      <c r="Q531" s="69"/>
      <c r="R531" s="69"/>
      <c r="S531" s="69"/>
      <c r="T531" s="69"/>
      <c r="U531" s="69"/>
      <c r="V531" s="69"/>
      <c r="W531" s="69"/>
      <c r="X531" s="69"/>
      <c r="Y531" s="69"/>
      <c r="Z531" s="69"/>
      <c r="AA531" s="69"/>
      <c r="AB531" s="69"/>
      <c r="AC531" s="69"/>
      <c r="AD531" s="69"/>
      <c r="AE531" s="69"/>
      <c r="AF531" s="69"/>
      <c r="AG531" s="69"/>
    </row>
    <row r="532" spans="2:33" ht="12.75">
      <c r="B532" s="283"/>
      <c r="C532" s="5"/>
      <c r="D532" s="5"/>
      <c r="E532" s="5"/>
      <c r="F532" s="5"/>
      <c r="G532" s="5"/>
      <c r="H532" s="5"/>
      <c r="I532" s="3"/>
      <c r="J532" s="6"/>
      <c r="K532" s="69"/>
      <c r="L532" s="69"/>
      <c r="M532" s="69"/>
      <c r="N532" s="69"/>
      <c r="O532" s="69"/>
      <c r="P532" s="69"/>
      <c r="Q532" s="69"/>
      <c r="R532" s="69"/>
      <c r="S532" s="69"/>
      <c r="T532" s="69"/>
      <c r="U532" s="69"/>
      <c r="V532" s="69"/>
      <c r="W532" s="69"/>
      <c r="X532" s="69"/>
      <c r="Y532" s="69"/>
      <c r="Z532" s="69"/>
      <c r="AA532" s="69"/>
      <c r="AB532" s="69"/>
      <c r="AC532" s="69"/>
      <c r="AD532" s="69"/>
      <c r="AE532" s="69"/>
      <c r="AF532" s="69"/>
      <c r="AG532" s="69"/>
    </row>
    <row r="533" spans="2:33" ht="12.75">
      <c r="B533" s="283"/>
      <c r="C533" s="5"/>
      <c r="D533" s="5"/>
      <c r="E533" s="5"/>
      <c r="F533" s="5"/>
      <c r="G533" s="5"/>
      <c r="H533" s="5"/>
      <c r="I533" s="3"/>
      <c r="J533" s="6"/>
      <c r="K533" s="69"/>
      <c r="L533" s="69"/>
      <c r="M533" s="69"/>
      <c r="N533" s="69"/>
      <c r="O533" s="69"/>
      <c r="P533" s="69"/>
      <c r="Q533" s="69"/>
      <c r="R533" s="69"/>
      <c r="S533" s="69"/>
      <c r="T533" s="69"/>
      <c r="U533" s="69"/>
      <c r="V533" s="69"/>
      <c r="W533" s="69"/>
      <c r="X533" s="69"/>
      <c r="Y533" s="69"/>
      <c r="Z533" s="69"/>
      <c r="AA533" s="69"/>
      <c r="AB533" s="69"/>
      <c r="AC533" s="69"/>
      <c r="AD533" s="69"/>
      <c r="AE533" s="69"/>
      <c r="AF533" s="69"/>
      <c r="AG533" s="69"/>
    </row>
    <row r="534" spans="2:33" ht="12.75">
      <c r="B534" s="283"/>
      <c r="C534" s="5"/>
      <c r="D534" s="5"/>
      <c r="E534" s="5"/>
      <c r="F534" s="5"/>
      <c r="G534" s="5"/>
      <c r="H534" s="5"/>
      <c r="I534" s="3"/>
      <c r="J534" s="6"/>
      <c r="K534" s="69"/>
      <c r="L534" s="69"/>
      <c r="M534" s="69"/>
      <c r="N534" s="69"/>
      <c r="O534" s="69"/>
      <c r="P534" s="69"/>
      <c r="Q534" s="69"/>
      <c r="R534" s="69"/>
      <c r="S534" s="69"/>
      <c r="T534" s="69"/>
      <c r="U534" s="69"/>
      <c r="V534" s="69"/>
      <c r="W534" s="69"/>
      <c r="X534" s="69"/>
      <c r="Y534" s="69"/>
      <c r="Z534" s="69"/>
      <c r="AA534" s="69"/>
      <c r="AB534" s="69"/>
      <c r="AC534" s="69"/>
      <c r="AD534" s="69"/>
      <c r="AE534" s="69"/>
      <c r="AF534" s="69"/>
      <c r="AG534" s="69"/>
    </row>
    <row r="535" spans="2:33" ht="12.75">
      <c r="B535" s="283"/>
      <c r="C535" s="5"/>
      <c r="D535" s="5"/>
      <c r="E535" s="5"/>
      <c r="F535" s="5"/>
      <c r="G535" s="5"/>
      <c r="H535" s="5"/>
      <c r="I535" s="3"/>
      <c r="J535" s="6"/>
      <c r="K535" s="69"/>
      <c r="L535" s="69"/>
      <c r="M535" s="69"/>
      <c r="N535" s="69"/>
      <c r="O535" s="69"/>
      <c r="P535" s="69"/>
      <c r="Q535" s="69"/>
      <c r="R535" s="69"/>
      <c r="S535" s="69"/>
      <c r="T535" s="69"/>
      <c r="U535" s="69"/>
      <c r="V535" s="69"/>
      <c r="W535" s="69"/>
      <c r="X535" s="69"/>
      <c r="Y535" s="69"/>
      <c r="Z535" s="69"/>
      <c r="AA535" s="69"/>
      <c r="AB535" s="69"/>
      <c r="AC535" s="69"/>
      <c r="AD535" s="69"/>
      <c r="AE535" s="69"/>
      <c r="AF535" s="69"/>
      <c r="AG535" s="69"/>
    </row>
    <row r="536" spans="2:33" ht="12.75">
      <c r="B536" s="283"/>
      <c r="C536" s="5"/>
      <c r="D536" s="5"/>
      <c r="E536" s="5"/>
      <c r="F536" s="5"/>
      <c r="G536" s="5"/>
      <c r="H536" s="5"/>
      <c r="I536" s="3"/>
      <c r="J536" s="6"/>
      <c r="K536" s="69"/>
      <c r="L536" s="69"/>
      <c r="M536" s="69"/>
      <c r="N536" s="69"/>
      <c r="O536" s="69"/>
      <c r="P536" s="69"/>
      <c r="Q536" s="69"/>
      <c r="R536" s="69"/>
      <c r="S536" s="69"/>
      <c r="T536" s="69"/>
      <c r="U536" s="69"/>
      <c r="V536" s="69"/>
      <c r="W536" s="69"/>
      <c r="X536" s="69"/>
      <c r="Y536" s="69"/>
      <c r="Z536" s="69"/>
      <c r="AA536" s="69"/>
      <c r="AB536" s="69"/>
      <c r="AC536" s="69"/>
      <c r="AD536" s="69"/>
      <c r="AE536" s="69"/>
      <c r="AF536" s="69"/>
      <c r="AG536" s="69"/>
    </row>
    <row r="537" spans="2:33" ht="12.75">
      <c r="B537" s="283"/>
      <c r="C537" s="5"/>
      <c r="D537" s="5"/>
      <c r="E537" s="5"/>
      <c r="F537" s="5"/>
      <c r="G537" s="5"/>
      <c r="H537" s="5"/>
      <c r="I537" s="3"/>
      <c r="J537" s="6"/>
      <c r="K537" s="69"/>
      <c r="L537" s="69"/>
      <c r="M537" s="69"/>
      <c r="N537" s="69"/>
      <c r="O537" s="69"/>
      <c r="P537" s="69"/>
      <c r="Q537" s="69"/>
      <c r="R537" s="69"/>
      <c r="S537" s="69"/>
      <c r="T537" s="69"/>
      <c r="U537" s="69"/>
      <c r="V537" s="69"/>
      <c r="W537" s="69"/>
      <c r="X537" s="69"/>
      <c r="Y537" s="69"/>
      <c r="Z537" s="69"/>
      <c r="AA537" s="69"/>
      <c r="AB537" s="69"/>
      <c r="AC537" s="69"/>
      <c r="AD537" s="69"/>
      <c r="AE537" s="69"/>
      <c r="AF537" s="69"/>
      <c r="AG537" s="69"/>
    </row>
    <row r="538" spans="2:33" ht="12.75">
      <c r="B538" s="283"/>
      <c r="C538" s="5"/>
      <c r="D538" s="5"/>
      <c r="E538" s="5"/>
      <c r="F538" s="5"/>
      <c r="G538" s="5"/>
      <c r="H538" s="5"/>
      <c r="I538" s="3"/>
      <c r="J538" s="6"/>
      <c r="K538" s="69"/>
      <c r="L538" s="69"/>
      <c r="M538" s="69"/>
      <c r="N538" s="69"/>
      <c r="O538" s="69"/>
      <c r="P538" s="69"/>
      <c r="Q538" s="69"/>
      <c r="R538" s="69"/>
      <c r="S538" s="69"/>
      <c r="T538" s="69"/>
      <c r="U538" s="69"/>
      <c r="V538" s="69"/>
      <c r="W538" s="69"/>
      <c r="X538" s="69"/>
      <c r="Y538" s="69"/>
      <c r="Z538" s="69"/>
      <c r="AA538" s="69"/>
      <c r="AB538" s="69"/>
      <c r="AC538" s="69"/>
      <c r="AD538" s="69"/>
      <c r="AE538" s="69"/>
      <c r="AF538" s="69"/>
      <c r="AG538" s="69"/>
    </row>
    <row r="539" spans="2:33" ht="12.75">
      <c r="B539" s="283"/>
      <c r="C539" s="5"/>
      <c r="D539" s="5"/>
      <c r="E539" s="5"/>
      <c r="F539" s="5"/>
      <c r="G539" s="5"/>
      <c r="H539" s="5"/>
      <c r="I539" s="3"/>
      <c r="J539" s="6"/>
      <c r="K539" s="69"/>
      <c r="L539" s="69"/>
      <c r="M539" s="69"/>
      <c r="N539" s="69"/>
      <c r="O539" s="69"/>
      <c r="P539" s="69"/>
      <c r="Q539" s="69"/>
      <c r="R539" s="69"/>
      <c r="S539" s="69"/>
      <c r="T539" s="69"/>
      <c r="U539" s="69"/>
      <c r="V539" s="69"/>
      <c r="W539" s="69"/>
      <c r="X539" s="69"/>
      <c r="Y539" s="69"/>
      <c r="Z539" s="69"/>
      <c r="AA539" s="69"/>
      <c r="AB539" s="69"/>
      <c r="AC539" s="69"/>
      <c r="AD539" s="69"/>
      <c r="AE539" s="69"/>
      <c r="AF539" s="69"/>
      <c r="AG539" s="69"/>
    </row>
    <row r="540" spans="2:33" ht="12.75">
      <c r="B540" s="283"/>
      <c r="C540" s="5"/>
      <c r="D540" s="5"/>
      <c r="E540" s="5"/>
      <c r="F540" s="5"/>
      <c r="G540" s="5"/>
      <c r="H540" s="5"/>
      <c r="I540" s="3"/>
      <c r="J540" s="6"/>
      <c r="K540" s="69"/>
      <c r="L540" s="69"/>
      <c r="M540" s="69"/>
      <c r="N540" s="69"/>
      <c r="O540" s="69"/>
      <c r="P540" s="69"/>
      <c r="Q540" s="69"/>
      <c r="R540" s="69"/>
      <c r="S540" s="69"/>
      <c r="T540" s="69"/>
      <c r="U540" s="69"/>
      <c r="V540" s="69"/>
      <c r="W540" s="69"/>
      <c r="X540" s="69"/>
      <c r="Y540" s="69"/>
      <c r="Z540" s="69"/>
      <c r="AA540" s="69"/>
      <c r="AB540" s="69"/>
      <c r="AC540" s="69"/>
      <c r="AD540" s="69"/>
      <c r="AE540" s="69"/>
      <c r="AF540" s="69"/>
      <c r="AG540" s="69"/>
    </row>
    <row r="541" spans="2:33" ht="12.75">
      <c r="B541" s="283"/>
      <c r="C541" s="5"/>
      <c r="D541" s="5"/>
      <c r="E541" s="5"/>
      <c r="F541" s="5"/>
      <c r="G541" s="5"/>
      <c r="H541" s="5"/>
      <c r="I541" s="3"/>
      <c r="J541" s="6"/>
      <c r="K541" s="69"/>
      <c r="L541" s="69"/>
      <c r="M541" s="69"/>
      <c r="N541" s="69"/>
      <c r="O541" s="69"/>
      <c r="P541" s="69"/>
      <c r="Q541" s="69"/>
      <c r="R541" s="69"/>
      <c r="S541" s="69"/>
      <c r="T541" s="69"/>
      <c r="U541" s="69"/>
      <c r="V541" s="69"/>
      <c r="W541" s="69"/>
      <c r="X541" s="69"/>
      <c r="Y541" s="69"/>
      <c r="Z541" s="69"/>
      <c r="AA541" s="69"/>
      <c r="AB541" s="69"/>
      <c r="AC541" s="69"/>
      <c r="AD541" s="69"/>
      <c r="AE541" s="69"/>
      <c r="AF541" s="69"/>
      <c r="AG541" s="69"/>
    </row>
    <row r="542" spans="2:33" ht="12.75">
      <c r="B542" s="283"/>
      <c r="C542" s="5"/>
      <c r="D542" s="5"/>
      <c r="E542" s="5"/>
      <c r="F542" s="5"/>
      <c r="G542" s="5"/>
      <c r="H542" s="5"/>
      <c r="I542" s="3"/>
      <c r="J542" s="6"/>
      <c r="K542" s="69"/>
      <c r="L542" s="69"/>
      <c r="M542" s="69"/>
      <c r="N542" s="69"/>
      <c r="O542" s="69"/>
      <c r="P542" s="69"/>
      <c r="Q542" s="69"/>
      <c r="R542" s="69"/>
      <c r="S542" s="69"/>
      <c r="T542" s="69"/>
      <c r="U542" s="69"/>
      <c r="V542" s="69"/>
      <c r="W542" s="69"/>
      <c r="X542" s="69"/>
      <c r="Y542" s="69"/>
      <c r="Z542" s="69"/>
      <c r="AA542" s="69"/>
      <c r="AB542" s="69"/>
      <c r="AC542" s="69"/>
      <c r="AD542" s="69"/>
      <c r="AE542" s="69"/>
      <c r="AF542" s="69"/>
      <c r="AG542" s="69"/>
    </row>
    <row r="543" spans="2:33" ht="12.75">
      <c r="B543" s="283"/>
      <c r="C543" s="5"/>
      <c r="D543" s="5"/>
      <c r="E543" s="5"/>
      <c r="F543" s="5"/>
      <c r="G543" s="5"/>
      <c r="H543" s="5"/>
      <c r="I543" s="3"/>
      <c r="J543" s="6"/>
      <c r="K543" s="69"/>
      <c r="L543" s="69"/>
      <c r="M543" s="69"/>
      <c r="N543" s="69"/>
      <c r="O543" s="69"/>
      <c r="P543" s="69"/>
      <c r="Q543" s="69"/>
      <c r="R543" s="69"/>
      <c r="S543" s="69"/>
      <c r="T543" s="69"/>
      <c r="U543" s="69"/>
      <c r="V543" s="69"/>
      <c r="W543" s="69"/>
      <c r="X543" s="69"/>
      <c r="Y543" s="69"/>
      <c r="Z543" s="69"/>
      <c r="AA543" s="69"/>
      <c r="AB543" s="69"/>
      <c r="AC543" s="69"/>
      <c r="AD543" s="69"/>
      <c r="AE543" s="69"/>
      <c r="AF543" s="69"/>
      <c r="AG543" s="69"/>
    </row>
    <row r="544" spans="2:33" ht="12.75">
      <c r="B544" s="283"/>
      <c r="C544" s="5"/>
      <c r="D544" s="5"/>
      <c r="E544" s="5"/>
      <c r="F544" s="5"/>
      <c r="G544" s="5"/>
      <c r="H544" s="5"/>
      <c r="I544" s="3"/>
      <c r="J544" s="6"/>
      <c r="K544" s="69"/>
      <c r="L544" s="69"/>
      <c r="M544" s="69"/>
      <c r="N544" s="69"/>
      <c r="O544" s="69"/>
      <c r="P544" s="69"/>
      <c r="Q544" s="69"/>
      <c r="R544" s="69"/>
      <c r="S544" s="69"/>
      <c r="T544" s="69"/>
      <c r="U544" s="69"/>
      <c r="V544" s="69"/>
      <c r="W544" s="69"/>
      <c r="X544" s="69"/>
      <c r="Y544" s="69"/>
      <c r="Z544" s="69"/>
      <c r="AA544" s="69"/>
      <c r="AB544" s="69"/>
      <c r="AC544" s="69"/>
      <c r="AD544" s="69"/>
      <c r="AE544" s="69"/>
      <c r="AF544" s="69"/>
      <c r="AG544" s="69"/>
    </row>
    <row r="545" spans="2:33" ht="12.75">
      <c r="B545" s="283"/>
      <c r="C545" s="5"/>
      <c r="D545" s="5"/>
      <c r="E545" s="5"/>
      <c r="F545" s="5"/>
      <c r="G545" s="5"/>
      <c r="H545" s="5"/>
      <c r="I545" s="3"/>
      <c r="J545" s="6"/>
      <c r="K545" s="69"/>
      <c r="L545" s="69"/>
      <c r="M545" s="69"/>
      <c r="N545" s="69"/>
      <c r="O545" s="69"/>
      <c r="P545" s="69"/>
      <c r="Q545" s="69"/>
      <c r="R545" s="69"/>
      <c r="S545" s="69"/>
      <c r="T545" s="69"/>
      <c r="U545" s="69"/>
      <c r="V545" s="69"/>
      <c r="W545" s="69"/>
      <c r="X545" s="69"/>
      <c r="Y545" s="69"/>
      <c r="Z545" s="69"/>
      <c r="AA545" s="69"/>
      <c r="AB545" s="69"/>
      <c r="AC545" s="69"/>
      <c r="AD545" s="69"/>
      <c r="AE545" s="69"/>
      <c r="AF545" s="69"/>
      <c r="AG545" s="69"/>
    </row>
    <row r="546" spans="2:33" ht="12.75">
      <c r="B546" s="283"/>
      <c r="C546" s="5"/>
      <c r="D546" s="5"/>
      <c r="E546" s="5"/>
      <c r="F546" s="5"/>
      <c r="G546" s="5"/>
      <c r="H546" s="5"/>
      <c r="I546" s="3"/>
      <c r="J546" s="6"/>
      <c r="K546" s="69"/>
      <c r="L546" s="69"/>
      <c r="M546" s="69"/>
      <c r="N546" s="69"/>
      <c r="O546" s="69"/>
      <c r="P546" s="69"/>
      <c r="Q546" s="69"/>
      <c r="R546" s="69"/>
      <c r="S546" s="69"/>
      <c r="T546" s="69"/>
      <c r="U546" s="69"/>
      <c r="V546" s="69"/>
      <c r="W546" s="69"/>
      <c r="X546" s="69"/>
      <c r="Y546" s="69"/>
      <c r="Z546" s="69"/>
      <c r="AA546" s="69"/>
      <c r="AB546" s="69"/>
      <c r="AC546" s="69"/>
      <c r="AD546" s="69"/>
      <c r="AE546" s="69"/>
      <c r="AF546" s="69"/>
      <c r="AG546" s="69"/>
    </row>
    <row r="547" spans="2:33" ht="12.75">
      <c r="B547" s="283"/>
      <c r="C547" s="5"/>
      <c r="D547" s="5"/>
      <c r="E547" s="5"/>
      <c r="F547" s="5"/>
      <c r="G547" s="5"/>
      <c r="H547" s="5"/>
      <c r="I547" s="3"/>
      <c r="J547" s="6"/>
      <c r="K547" s="69"/>
      <c r="L547" s="69"/>
      <c r="M547" s="69"/>
      <c r="N547" s="69"/>
      <c r="O547" s="69"/>
      <c r="P547" s="69"/>
      <c r="Q547" s="69"/>
      <c r="R547" s="69"/>
      <c r="S547" s="69"/>
      <c r="T547" s="69"/>
      <c r="U547" s="69"/>
      <c r="V547" s="69"/>
      <c r="W547" s="69"/>
      <c r="X547" s="69"/>
      <c r="Y547" s="69"/>
      <c r="Z547" s="69"/>
      <c r="AA547" s="69"/>
      <c r="AB547" s="69"/>
      <c r="AC547" s="69"/>
      <c r="AD547" s="69"/>
      <c r="AE547" s="69"/>
      <c r="AF547" s="69"/>
      <c r="AG547" s="69"/>
    </row>
    <row r="548" spans="2:33" ht="12.75">
      <c r="B548" s="283"/>
      <c r="C548" s="5"/>
      <c r="D548" s="5"/>
      <c r="E548" s="5"/>
      <c r="F548" s="5"/>
      <c r="G548" s="5"/>
      <c r="H548" s="5"/>
      <c r="I548" s="3"/>
      <c r="J548" s="6"/>
      <c r="K548" s="69"/>
      <c r="L548" s="69"/>
      <c r="M548" s="69"/>
      <c r="N548" s="69"/>
      <c r="O548" s="69"/>
      <c r="P548" s="69"/>
      <c r="Q548" s="69"/>
      <c r="R548" s="69"/>
      <c r="S548" s="69"/>
      <c r="T548" s="69"/>
      <c r="U548" s="69"/>
      <c r="V548" s="69"/>
      <c r="W548" s="69"/>
      <c r="X548" s="69"/>
      <c r="Y548" s="69"/>
      <c r="Z548" s="69"/>
      <c r="AA548" s="69"/>
      <c r="AB548" s="69"/>
      <c r="AC548" s="69"/>
      <c r="AD548" s="69"/>
      <c r="AE548" s="69"/>
      <c r="AF548" s="69"/>
      <c r="AG548" s="69"/>
    </row>
    <row r="549" spans="2:33" ht="12.75">
      <c r="B549" s="283"/>
      <c r="C549" s="5"/>
      <c r="D549" s="5"/>
      <c r="E549" s="5"/>
      <c r="F549" s="5"/>
      <c r="G549" s="5"/>
      <c r="H549" s="5"/>
      <c r="I549" s="3"/>
      <c r="J549" s="6"/>
      <c r="K549" s="69"/>
      <c r="L549" s="69"/>
      <c r="M549" s="69"/>
      <c r="N549" s="69"/>
      <c r="O549" s="69"/>
      <c r="P549" s="69"/>
      <c r="Q549" s="69"/>
      <c r="R549" s="69"/>
      <c r="S549" s="69"/>
      <c r="T549" s="69"/>
      <c r="U549" s="69"/>
      <c r="V549" s="69"/>
      <c r="W549" s="69"/>
      <c r="X549" s="69"/>
      <c r="Y549" s="69"/>
      <c r="Z549" s="69"/>
      <c r="AA549" s="69"/>
      <c r="AB549" s="69"/>
      <c r="AC549" s="69"/>
      <c r="AD549" s="69"/>
      <c r="AE549" s="69"/>
      <c r="AF549" s="69"/>
      <c r="AG549" s="69"/>
    </row>
    <row r="550" spans="2:33" ht="12.75">
      <c r="B550" s="283"/>
      <c r="C550" s="5"/>
      <c r="D550" s="5"/>
      <c r="E550" s="5"/>
      <c r="F550" s="5"/>
      <c r="G550" s="5"/>
      <c r="H550" s="5"/>
      <c r="I550" s="3"/>
      <c r="J550" s="6"/>
      <c r="K550" s="69"/>
      <c r="L550" s="69"/>
      <c r="M550" s="69"/>
      <c r="N550" s="69"/>
      <c r="O550" s="69"/>
      <c r="P550" s="69"/>
      <c r="Q550" s="69"/>
      <c r="R550" s="69"/>
      <c r="S550" s="69"/>
      <c r="T550" s="69"/>
      <c r="U550" s="69"/>
      <c r="V550" s="69"/>
      <c r="W550" s="69"/>
      <c r="X550" s="69"/>
      <c r="Y550" s="69"/>
      <c r="Z550" s="69"/>
      <c r="AA550" s="69"/>
      <c r="AB550" s="69"/>
      <c r="AC550" s="69"/>
      <c r="AD550" s="69"/>
      <c r="AE550" s="69"/>
      <c r="AF550" s="69"/>
      <c r="AG550" s="69"/>
    </row>
    <row r="551" spans="2:33" ht="12.75">
      <c r="B551" s="283"/>
      <c r="C551" s="5"/>
      <c r="D551" s="5"/>
      <c r="E551" s="5"/>
      <c r="F551" s="5"/>
      <c r="G551" s="5"/>
      <c r="H551" s="5"/>
      <c r="I551" s="3"/>
      <c r="J551" s="6"/>
      <c r="K551" s="69"/>
      <c r="L551" s="69"/>
      <c r="M551" s="69"/>
      <c r="N551" s="69"/>
      <c r="O551" s="69"/>
      <c r="P551" s="69"/>
      <c r="Q551" s="69"/>
      <c r="R551" s="69"/>
      <c r="S551" s="69"/>
      <c r="T551" s="69"/>
      <c r="U551" s="69"/>
      <c r="V551" s="69"/>
      <c r="W551" s="69"/>
      <c r="X551" s="69"/>
      <c r="Y551" s="69"/>
      <c r="Z551" s="69"/>
      <c r="AA551" s="69"/>
      <c r="AB551" s="69"/>
      <c r="AC551" s="69"/>
      <c r="AD551" s="69"/>
      <c r="AE551" s="69"/>
      <c r="AF551" s="69"/>
      <c r="AG551" s="69"/>
    </row>
    <row r="552" spans="2:33" ht="12.75">
      <c r="B552" s="283"/>
      <c r="C552" s="5"/>
      <c r="D552" s="5"/>
      <c r="E552" s="5"/>
      <c r="F552" s="5"/>
      <c r="G552" s="5"/>
      <c r="H552" s="5"/>
      <c r="I552" s="3"/>
      <c r="J552" s="6"/>
      <c r="K552" s="69"/>
      <c r="L552" s="69"/>
      <c r="M552" s="69"/>
      <c r="N552" s="69"/>
      <c r="O552" s="69"/>
      <c r="P552" s="69"/>
      <c r="Q552" s="69"/>
      <c r="R552" s="69"/>
      <c r="S552" s="69"/>
      <c r="T552" s="69"/>
      <c r="U552" s="69"/>
      <c r="V552" s="69"/>
      <c r="W552" s="69"/>
      <c r="X552" s="69"/>
      <c r="Y552" s="69"/>
      <c r="Z552" s="69"/>
      <c r="AA552" s="69"/>
      <c r="AB552" s="69"/>
      <c r="AC552" s="69"/>
      <c r="AD552" s="69"/>
      <c r="AE552" s="69"/>
      <c r="AF552" s="69"/>
      <c r="AG552" s="69"/>
    </row>
    <row r="553" spans="2:33" ht="12.75">
      <c r="B553" s="283"/>
      <c r="C553" s="5"/>
      <c r="D553" s="5"/>
      <c r="E553" s="5"/>
      <c r="F553" s="5"/>
      <c r="G553" s="5"/>
      <c r="H553" s="5"/>
      <c r="I553" s="3"/>
      <c r="J553" s="6"/>
      <c r="K553" s="69"/>
      <c r="L553" s="69"/>
      <c r="M553" s="69"/>
      <c r="N553" s="69"/>
      <c r="O553" s="69"/>
      <c r="P553" s="69"/>
      <c r="Q553" s="69"/>
      <c r="R553" s="69"/>
      <c r="S553" s="69"/>
      <c r="T553" s="69"/>
      <c r="U553" s="69"/>
      <c r="V553" s="69"/>
      <c r="W553" s="69"/>
      <c r="X553" s="69"/>
      <c r="Y553" s="69"/>
      <c r="Z553" s="69"/>
      <c r="AA553" s="69"/>
      <c r="AB553" s="69"/>
      <c r="AC553" s="69"/>
      <c r="AD553" s="69"/>
      <c r="AE553" s="69"/>
      <c r="AF553" s="69"/>
      <c r="AG553" s="69"/>
    </row>
    <row r="554" spans="2:33" ht="12.75">
      <c r="B554" s="283"/>
      <c r="C554" s="5"/>
      <c r="D554" s="5"/>
      <c r="E554" s="5"/>
      <c r="F554" s="5"/>
      <c r="G554" s="5"/>
      <c r="H554" s="5"/>
      <c r="I554" s="3"/>
      <c r="J554" s="6"/>
      <c r="K554" s="69"/>
      <c r="L554" s="69"/>
      <c r="M554" s="69"/>
      <c r="N554" s="69"/>
      <c r="O554" s="69"/>
      <c r="P554" s="69"/>
      <c r="Q554" s="69"/>
      <c r="R554" s="69"/>
      <c r="S554" s="69"/>
      <c r="T554" s="69"/>
      <c r="U554" s="69"/>
      <c r="V554" s="69"/>
      <c r="W554" s="69"/>
      <c r="X554" s="69"/>
      <c r="Y554" s="69"/>
      <c r="Z554" s="69"/>
      <c r="AA554" s="69"/>
      <c r="AB554" s="69"/>
      <c r="AC554" s="69"/>
      <c r="AD554" s="69"/>
      <c r="AE554" s="69"/>
      <c r="AF554" s="69"/>
      <c r="AG554" s="69"/>
    </row>
    <row r="555" spans="2:33" ht="12.75">
      <c r="B555" s="283"/>
      <c r="C555" s="5"/>
      <c r="D555" s="5"/>
      <c r="E555" s="5"/>
      <c r="F555" s="5"/>
      <c r="G555" s="5"/>
      <c r="H555" s="5"/>
      <c r="I555" s="3"/>
      <c r="J555" s="6"/>
      <c r="K555" s="69"/>
      <c r="L555" s="69"/>
      <c r="M555" s="69"/>
      <c r="N555" s="69"/>
      <c r="O555" s="69"/>
      <c r="P555" s="69"/>
      <c r="Q555" s="69"/>
      <c r="R555" s="69"/>
      <c r="S555" s="69"/>
      <c r="T555" s="69"/>
      <c r="U555" s="69"/>
      <c r="V555" s="69"/>
      <c r="W555" s="69"/>
      <c r="X555" s="69"/>
      <c r="Y555" s="69"/>
      <c r="Z555" s="69"/>
      <c r="AA555" s="69"/>
      <c r="AB555" s="69"/>
      <c r="AC555" s="69"/>
      <c r="AD555" s="69"/>
      <c r="AE555" s="69"/>
      <c r="AF555" s="69"/>
      <c r="AG555" s="69"/>
    </row>
    <row r="556" spans="2:33" ht="12.75">
      <c r="B556" s="283"/>
      <c r="C556" s="5"/>
      <c r="D556" s="5"/>
      <c r="E556" s="5"/>
      <c r="F556" s="5"/>
      <c r="G556" s="5"/>
      <c r="H556" s="5"/>
      <c r="I556" s="3"/>
      <c r="J556" s="6"/>
      <c r="K556" s="69"/>
      <c r="L556" s="69"/>
      <c r="M556" s="69"/>
      <c r="N556" s="69"/>
      <c r="O556" s="69"/>
      <c r="P556" s="69"/>
      <c r="Q556" s="69"/>
      <c r="R556" s="69"/>
      <c r="S556" s="69"/>
      <c r="T556" s="69"/>
      <c r="U556" s="69"/>
      <c r="V556" s="69"/>
      <c r="W556" s="69"/>
      <c r="X556" s="69"/>
      <c r="Y556" s="69"/>
      <c r="Z556" s="69"/>
      <c r="AA556" s="69"/>
      <c r="AB556" s="69"/>
      <c r="AC556" s="69"/>
      <c r="AD556" s="69"/>
      <c r="AE556" s="69"/>
      <c r="AF556" s="69"/>
      <c r="AG556" s="69"/>
    </row>
    <row r="557" spans="2:33" ht="12.75">
      <c r="B557" s="283"/>
      <c r="C557" s="5"/>
      <c r="D557" s="5"/>
      <c r="E557" s="5"/>
      <c r="F557" s="5"/>
      <c r="G557" s="5"/>
      <c r="H557" s="5"/>
      <c r="I557" s="3"/>
      <c r="J557" s="6"/>
      <c r="K557" s="69"/>
      <c r="L557" s="69"/>
      <c r="M557" s="69"/>
      <c r="N557" s="69"/>
      <c r="O557" s="69"/>
      <c r="P557" s="69"/>
      <c r="Q557" s="69"/>
      <c r="R557" s="69"/>
      <c r="S557" s="69"/>
      <c r="T557" s="69"/>
      <c r="U557" s="69"/>
      <c r="V557" s="69"/>
      <c r="W557" s="69"/>
      <c r="X557" s="69"/>
      <c r="Y557" s="69"/>
      <c r="Z557" s="69"/>
      <c r="AA557" s="69"/>
      <c r="AB557" s="69"/>
      <c r="AC557" s="69"/>
      <c r="AD557" s="69"/>
      <c r="AE557" s="69"/>
      <c r="AF557" s="69"/>
      <c r="AG557" s="69"/>
    </row>
    <row r="558" spans="2:33" ht="12.75">
      <c r="B558" s="283"/>
      <c r="C558" s="5"/>
      <c r="D558" s="5"/>
      <c r="E558" s="5"/>
      <c r="F558" s="5"/>
      <c r="G558" s="5"/>
      <c r="H558" s="5"/>
      <c r="I558" s="3"/>
      <c r="J558" s="6"/>
      <c r="K558" s="69"/>
      <c r="L558" s="69"/>
      <c r="M558" s="69"/>
      <c r="N558" s="69"/>
      <c r="O558" s="69"/>
      <c r="P558" s="69"/>
      <c r="Q558" s="69"/>
      <c r="R558" s="69"/>
      <c r="S558" s="69"/>
      <c r="T558" s="69"/>
      <c r="U558" s="69"/>
      <c r="V558" s="69"/>
      <c r="W558" s="69"/>
      <c r="X558" s="69"/>
      <c r="Y558" s="69"/>
      <c r="Z558" s="69"/>
      <c r="AA558" s="69"/>
      <c r="AB558" s="69"/>
      <c r="AC558" s="69"/>
      <c r="AD558" s="69"/>
      <c r="AE558" s="69"/>
      <c r="AF558" s="69"/>
      <c r="AG558" s="69"/>
    </row>
    <row r="559" spans="2:33" ht="12.75">
      <c r="B559" s="283"/>
      <c r="C559" s="5"/>
      <c r="D559" s="5"/>
      <c r="E559" s="5"/>
      <c r="F559" s="5"/>
      <c r="G559" s="5"/>
      <c r="H559" s="5"/>
      <c r="I559" s="3"/>
      <c r="J559" s="6"/>
      <c r="K559" s="69"/>
      <c r="L559" s="69"/>
      <c r="M559" s="69"/>
      <c r="N559" s="69"/>
      <c r="O559" s="69"/>
      <c r="P559" s="69"/>
      <c r="Q559" s="69"/>
      <c r="R559" s="69"/>
      <c r="S559" s="69"/>
      <c r="T559" s="69"/>
      <c r="U559" s="69"/>
      <c r="V559" s="69"/>
      <c r="W559" s="69"/>
      <c r="X559" s="69"/>
      <c r="Y559" s="69"/>
      <c r="Z559" s="69"/>
      <c r="AA559" s="69"/>
      <c r="AB559" s="69"/>
      <c r="AC559" s="69"/>
      <c r="AD559" s="69"/>
      <c r="AE559" s="69"/>
      <c r="AF559" s="69"/>
      <c r="AG559" s="69"/>
    </row>
    <row r="560" spans="2:33" ht="12.75">
      <c r="B560" s="283"/>
      <c r="C560" s="5"/>
      <c r="D560" s="5"/>
      <c r="E560" s="5"/>
      <c r="F560" s="5"/>
      <c r="G560" s="5"/>
      <c r="H560" s="5"/>
      <c r="I560" s="3"/>
      <c r="J560" s="6"/>
      <c r="K560" s="69"/>
      <c r="L560" s="69"/>
      <c r="M560" s="69"/>
      <c r="N560" s="69"/>
      <c r="O560" s="69"/>
      <c r="P560" s="69"/>
      <c r="Q560" s="69"/>
      <c r="R560" s="69"/>
      <c r="S560" s="69"/>
      <c r="T560" s="69"/>
      <c r="U560" s="69"/>
      <c r="V560" s="69"/>
      <c r="W560" s="69"/>
      <c r="X560" s="69"/>
      <c r="Y560" s="69"/>
      <c r="Z560" s="69"/>
      <c r="AA560" s="69"/>
      <c r="AB560" s="69"/>
      <c r="AC560" s="69"/>
      <c r="AD560" s="69"/>
      <c r="AE560" s="69"/>
      <c r="AF560" s="69"/>
      <c r="AG560" s="69"/>
    </row>
    <row r="561" spans="2:33" ht="12.75">
      <c r="B561" s="283"/>
      <c r="C561" s="5"/>
      <c r="D561" s="5"/>
      <c r="E561" s="5"/>
      <c r="F561" s="5"/>
      <c r="G561" s="5"/>
      <c r="H561" s="5"/>
      <c r="I561" s="3"/>
      <c r="J561" s="6"/>
      <c r="K561" s="69"/>
      <c r="L561" s="69"/>
      <c r="M561" s="69"/>
      <c r="N561" s="69"/>
      <c r="O561" s="69"/>
      <c r="P561" s="69"/>
      <c r="Q561" s="69"/>
      <c r="R561" s="69"/>
      <c r="S561" s="69"/>
      <c r="T561" s="69"/>
      <c r="U561" s="69"/>
      <c r="V561" s="69"/>
      <c r="W561" s="69"/>
      <c r="X561" s="69"/>
      <c r="Y561" s="69"/>
      <c r="Z561" s="69"/>
      <c r="AA561" s="69"/>
      <c r="AB561" s="69"/>
      <c r="AC561" s="69"/>
      <c r="AD561" s="69"/>
      <c r="AE561" s="69"/>
      <c r="AF561" s="69"/>
      <c r="AG561" s="69"/>
    </row>
    <row r="562" spans="2:33" ht="12.75">
      <c r="B562" s="283"/>
      <c r="C562" s="5"/>
      <c r="D562" s="5"/>
      <c r="E562" s="5"/>
      <c r="F562" s="5"/>
      <c r="G562" s="5"/>
      <c r="H562" s="5"/>
      <c r="I562" s="3"/>
      <c r="J562" s="6"/>
      <c r="K562" s="69"/>
      <c r="L562" s="69"/>
      <c r="M562" s="69"/>
      <c r="N562" s="69"/>
      <c r="O562" s="69"/>
      <c r="P562" s="69"/>
      <c r="Q562" s="69"/>
      <c r="R562" s="69"/>
      <c r="S562" s="69"/>
      <c r="T562" s="69"/>
      <c r="U562" s="69"/>
      <c r="V562" s="69"/>
      <c r="W562" s="69"/>
      <c r="X562" s="69"/>
      <c r="Y562" s="69"/>
      <c r="Z562" s="69"/>
      <c r="AA562" s="69"/>
      <c r="AB562" s="69"/>
      <c r="AC562" s="69"/>
      <c r="AD562" s="69"/>
      <c r="AE562" s="69"/>
      <c r="AF562" s="69"/>
      <c r="AG562" s="69"/>
    </row>
    <row r="563" spans="2:33" ht="12.75">
      <c r="B563" s="283"/>
      <c r="C563" s="5"/>
      <c r="D563" s="5"/>
      <c r="E563" s="5"/>
      <c r="F563" s="5"/>
      <c r="G563" s="5"/>
      <c r="H563" s="5"/>
      <c r="I563" s="3"/>
      <c r="J563" s="6"/>
      <c r="K563" s="69"/>
      <c r="L563" s="69"/>
      <c r="M563" s="69"/>
      <c r="N563" s="69"/>
      <c r="O563" s="69"/>
      <c r="P563" s="69"/>
      <c r="Q563" s="69"/>
      <c r="R563" s="69"/>
      <c r="S563" s="69"/>
      <c r="T563" s="69"/>
      <c r="U563" s="69"/>
      <c r="V563" s="69"/>
      <c r="W563" s="69"/>
      <c r="X563" s="69"/>
      <c r="Y563" s="69"/>
      <c r="Z563" s="69"/>
      <c r="AA563" s="69"/>
      <c r="AB563" s="69"/>
      <c r="AC563" s="69"/>
      <c r="AD563" s="69"/>
      <c r="AE563" s="69"/>
      <c r="AF563" s="69"/>
      <c r="AG563" s="69"/>
    </row>
    <row r="564" spans="2:33" ht="12.75">
      <c r="B564" s="283"/>
      <c r="C564" s="5"/>
      <c r="D564" s="5"/>
      <c r="E564" s="5"/>
      <c r="F564" s="5"/>
      <c r="G564" s="5"/>
      <c r="H564" s="5"/>
      <c r="I564" s="3"/>
      <c r="J564" s="6"/>
      <c r="K564" s="69"/>
      <c r="L564" s="69"/>
      <c r="M564" s="69"/>
      <c r="N564" s="69"/>
      <c r="O564" s="69"/>
      <c r="P564" s="69"/>
      <c r="Q564" s="69"/>
      <c r="R564" s="69"/>
      <c r="S564" s="69"/>
      <c r="T564" s="69"/>
      <c r="U564" s="69"/>
      <c r="V564" s="69"/>
      <c r="W564" s="69"/>
      <c r="X564" s="69"/>
      <c r="Y564" s="69"/>
      <c r="Z564" s="69"/>
      <c r="AA564" s="69"/>
      <c r="AB564" s="69"/>
      <c r="AC564" s="69"/>
      <c r="AD564" s="69"/>
      <c r="AE564" s="69"/>
      <c r="AF564" s="69"/>
      <c r="AG564" s="69"/>
    </row>
    <row r="565" spans="2:33" ht="12.75">
      <c r="B565" s="283"/>
      <c r="C565" s="5"/>
      <c r="D565" s="5"/>
      <c r="E565" s="5"/>
      <c r="F565" s="5"/>
      <c r="G565" s="5"/>
      <c r="H565" s="5"/>
      <c r="I565" s="3"/>
      <c r="J565" s="6"/>
      <c r="K565" s="69"/>
      <c r="L565" s="69"/>
      <c r="M565" s="69"/>
      <c r="N565" s="69"/>
      <c r="O565" s="69"/>
      <c r="P565" s="69"/>
      <c r="Q565" s="69"/>
      <c r="R565" s="69"/>
      <c r="S565" s="69"/>
      <c r="T565" s="69"/>
      <c r="U565" s="69"/>
      <c r="V565" s="69"/>
      <c r="W565" s="69"/>
      <c r="X565" s="69"/>
      <c r="Y565" s="69"/>
      <c r="Z565" s="69"/>
      <c r="AA565" s="69"/>
      <c r="AB565" s="69"/>
      <c r="AC565" s="69"/>
      <c r="AD565" s="69"/>
      <c r="AE565" s="69"/>
      <c r="AF565" s="69"/>
      <c r="AG565" s="69"/>
    </row>
    <row r="566" spans="2:33" ht="12.75">
      <c r="B566" s="283"/>
      <c r="C566" s="5"/>
      <c r="D566" s="5"/>
      <c r="E566" s="5"/>
      <c r="F566" s="5"/>
      <c r="G566" s="5"/>
      <c r="H566" s="5"/>
      <c r="I566" s="3"/>
      <c r="J566" s="6"/>
      <c r="K566" s="69"/>
      <c r="L566" s="69"/>
      <c r="M566" s="69"/>
      <c r="N566" s="69"/>
      <c r="O566" s="69"/>
      <c r="P566" s="69"/>
      <c r="Q566" s="69"/>
      <c r="R566" s="69"/>
      <c r="S566" s="69"/>
      <c r="T566" s="69"/>
      <c r="U566" s="69"/>
      <c r="V566" s="69"/>
      <c r="W566" s="69"/>
      <c r="X566" s="69"/>
      <c r="Y566" s="69"/>
      <c r="Z566" s="69"/>
      <c r="AA566" s="69"/>
      <c r="AB566" s="69"/>
      <c r="AC566" s="69"/>
      <c r="AD566" s="69"/>
      <c r="AE566" s="69"/>
      <c r="AF566" s="69"/>
      <c r="AG566" s="69"/>
    </row>
    <row r="567" spans="2:33" ht="12.75">
      <c r="B567" s="283"/>
      <c r="C567" s="5"/>
      <c r="D567" s="5"/>
      <c r="E567" s="5"/>
      <c r="F567" s="5"/>
      <c r="G567" s="5"/>
      <c r="H567" s="5"/>
      <c r="I567" s="3"/>
      <c r="J567" s="6"/>
      <c r="K567" s="69"/>
      <c r="L567" s="69"/>
      <c r="M567" s="69"/>
      <c r="N567" s="69"/>
      <c r="O567" s="69"/>
      <c r="P567" s="69"/>
      <c r="Q567" s="69"/>
      <c r="R567" s="69"/>
      <c r="S567" s="69"/>
      <c r="T567" s="69"/>
      <c r="U567" s="69"/>
      <c r="V567" s="69"/>
      <c r="W567" s="69"/>
      <c r="X567" s="69"/>
      <c r="Y567" s="69"/>
      <c r="Z567" s="69"/>
      <c r="AA567" s="69"/>
      <c r="AB567" s="69"/>
      <c r="AC567" s="69"/>
      <c r="AD567" s="69"/>
      <c r="AE567" s="69"/>
      <c r="AF567" s="69"/>
      <c r="AG567" s="69"/>
    </row>
    <row r="568" spans="2:33" ht="12.75">
      <c r="B568" s="283"/>
      <c r="C568" s="5"/>
      <c r="D568" s="5"/>
      <c r="E568" s="5"/>
      <c r="F568" s="5"/>
      <c r="G568" s="5"/>
      <c r="H568" s="5"/>
      <c r="I568" s="3"/>
      <c r="J568" s="6"/>
      <c r="K568" s="69"/>
      <c r="L568" s="69"/>
      <c r="M568" s="69"/>
      <c r="N568" s="69"/>
      <c r="O568" s="69"/>
      <c r="P568" s="69"/>
      <c r="Q568" s="69"/>
      <c r="R568" s="69"/>
      <c r="S568" s="69"/>
      <c r="T568" s="69"/>
      <c r="U568" s="69"/>
      <c r="V568" s="69"/>
      <c r="W568" s="69"/>
      <c r="X568" s="69"/>
      <c r="Y568" s="69"/>
      <c r="Z568" s="69"/>
      <c r="AA568" s="69"/>
      <c r="AB568" s="69"/>
      <c r="AC568" s="69"/>
      <c r="AD568" s="69"/>
      <c r="AE568" s="69"/>
      <c r="AF568" s="69"/>
      <c r="AG568" s="69"/>
    </row>
    <row r="569" spans="2:33" ht="12.75">
      <c r="B569" s="283"/>
      <c r="C569" s="5"/>
      <c r="D569" s="5"/>
      <c r="E569" s="5"/>
      <c r="F569" s="5"/>
      <c r="G569" s="5"/>
      <c r="H569" s="5"/>
      <c r="I569" s="3"/>
      <c r="J569" s="6"/>
      <c r="K569" s="69"/>
      <c r="L569" s="69"/>
      <c r="M569" s="69"/>
      <c r="N569" s="69"/>
      <c r="O569" s="69"/>
      <c r="P569" s="69"/>
      <c r="Q569" s="69"/>
      <c r="R569" s="69"/>
      <c r="S569" s="69"/>
      <c r="T569" s="69"/>
      <c r="U569" s="69"/>
      <c r="V569" s="69"/>
      <c r="W569" s="69"/>
      <c r="X569" s="69"/>
      <c r="Y569" s="69"/>
      <c r="Z569" s="69"/>
      <c r="AA569" s="69"/>
      <c r="AB569" s="69"/>
      <c r="AC569" s="69"/>
      <c r="AD569" s="69"/>
      <c r="AE569" s="69"/>
      <c r="AF569" s="69"/>
      <c r="AG569" s="69"/>
    </row>
    <row r="570" spans="2:33" ht="12.75">
      <c r="B570" s="283"/>
      <c r="C570" s="5"/>
      <c r="D570" s="5"/>
      <c r="E570" s="5"/>
      <c r="F570" s="5"/>
      <c r="G570" s="5"/>
      <c r="H570" s="5"/>
      <c r="I570" s="3"/>
      <c r="J570" s="6"/>
      <c r="K570" s="69"/>
      <c r="L570" s="69"/>
      <c r="M570" s="69"/>
      <c r="N570" s="69"/>
      <c r="O570" s="69"/>
      <c r="P570" s="69"/>
      <c r="Q570" s="69"/>
      <c r="R570" s="69"/>
      <c r="S570" s="69"/>
      <c r="T570" s="69"/>
      <c r="U570" s="69"/>
      <c r="V570" s="69"/>
      <c r="W570" s="69"/>
      <c r="X570" s="69"/>
      <c r="Y570" s="69"/>
      <c r="Z570" s="69"/>
      <c r="AA570" s="69"/>
      <c r="AB570" s="69"/>
      <c r="AC570" s="69"/>
      <c r="AD570" s="69"/>
      <c r="AE570" s="69"/>
      <c r="AF570" s="69"/>
      <c r="AG570" s="69"/>
    </row>
    <row r="571" spans="2:33" ht="12.75">
      <c r="B571" s="283"/>
      <c r="C571" s="5"/>
      <c r="D571" s="5"/>
      <c r="E571" s="5"/>
      <c r="F571" s="5"/>
      <c r="G571" s="5"/>
      <c r="H571" s="5"/>
      <c r="I571" s="3"/>
      <c r="J571" s="6"/>
      <c r="K571" s="69"/>
      <c r="L571" s="69"/>
      <c r="M571" s="69"/>
      <c r="N571" s="69"/>
      <c r="O571" s="69"/>
      <c r="P571" s="69"/>
      <c r="Q571" s="69"/>
      <c r="R571" s="69"/>
      <c r="S571" s="69"/>
      <c r="T571" s="69"/>
      <c r="U571" s="69"/>
      <c r="V571" s="69"/>
      <c r="W571" s="69"/>
      <c r="X571" s="69"/>
      <c r="Y571" s="69"/>
      <c r="Z571" s="69"/>
      <c r="AA571" s="69"/>
      <c r="AB571" s="69"/>
      <c r="AC571" s="69"/>
      <c r="AD571" s="69"/>
      <c r="AE571" s="69"/>
      <c r="AF571" s="69"/>
      <c r="AG571" s="69"/>
    </row>
    <row r="572" spans="2:33" ht="12.75">
      <c r="B572" s="283"/>
      <c r="C572" s="5"/>
      <c r="D572" s="5"/>
      <c r="E572" s="5"/>
      <c r="F572" s="5"/>
      <c r="G572" s="5"/>
      <c r="H572" s="5"/>
      <c r="I572" s="3"/>
      <c r="J572" s="6"/>
      <c r="K572" s="69"/>
      <c r="L572" s="69"/>
      <c r="M572" s="69"/>
      <c r="N572" s="69"/>
      <c r="O572" s="69"/>
      <c r="P572" s="69"/>
      <c r="Q572" s="69"/>
      <c r="R572" s="69"/>
      <c r="S572" s="69"/>
      <c r="T572" s="69"/>
      <c r="U572" s="69"/>
      <c r="V572" s="69"/>
      <c r="W572" s="69"/>
      <c r="X572" s="69"/>
      <c r="Y572" s="69"/>
      <c r="Z572" s="69"/>
      <c r="AA572" s="69"/>
      <c r="AB572" s="69"/>
      <c r="AC572" s="69"/>
      <c r="AD572" s="69"/>
      <c r="AE572" s="69"/>
      <c r="AF572" s="69"/>
      <c r="AG572" s="69"/>
    </row>
    <row r="573" spans="2:33" ht="12.75">
      <c r="B573" s="283"/>
      <c r="C573" s="5"/>
      <c r="D573" s="5"/>
      <c r="E573" s="5"/>
      <c r="F573" s="5"/>
      <c r="G573" s="5"/>
      <c r="H573" s="5"/>
      <c r="I573" s="3"/>
      <c r="J573" s="6"/>
      <c r="K573" s="69"/>
      <c r="L573" s="69"/>
      <c r="M573" s="69"/>
      <c r="N573" s="69"/>
      <c r="O573" s="69"/>
      <c r="P573" s="69"/>
      <c r="Q573" s="69"/>
      <c r="R573" s="69"/>
      <c r="S573" s="69"/>
      <c r="T573" s="69"/>
      <c r="U573" s="69"/>
      <c r="V573" s="69"/>
      <c r="W573" s="69"/>
      <c r="X573" s="69"/>
      <c r="Y573" s="69"/>
      <c r="Z573" s="69"/>
      <c r="AA573" s="69"/>
      <c r="AB573" s="69"/>
      <c r="AC573" s="69"/>
      <c r="AD573" s="69"/>
      <c r="AE573" s="69"/>
      <c r="AF573" s="69"/>
      <c r="AG573" s="69"/>
    </row>
    <row r="574" spans="2:33" ht="12.75">
      <c r="B574" s="283"/>
      <c r="C574" s="5"/>
      <c r="D574" s="5"/>
      <c r="E574" s="5"/>
      <c r="F574" s="5"/>
      <c r="G574" s="5"/>
      <c r="H574" s="5"/>
      <c r="I574" s="3"/>
      <c r="J574" s="6"/>
      <c r="K574" s="69"/>
      <c r="L574" s="69"/>
      <c r="M574" s="69"/>
      <c r="N574" s="69"/>
      <c r="O574" s="69"/>
      <c r="P574" s="69"/>
      <c r="Q574" s="69"/>
      <c r="R574" s="69"/>
      <c r="S574" s="69"/>
      <c r="T574" s="69"/>
      <c r="U574" s="69"/>
      <c r="V574" s="69"/>
      <c r="W574" s="69"/>
      <c r="X574" s="69"/>
      <c r="Y574" s="69"/>
      <c r="Z574" s="69"/>
      <c r="AA574" s="69"/>
      <c r="AB574" s="69"/>
      <c r="AC574" s="69"/>
      <c r="AD574" s="69"/>
      <c r="AE574" s="69"/>
      <c r="AF574" s="69"/>
      <c r="AG574" s="69"/>
    </row>
    <row r="575" spans="2:33" ht="12.75">
      <c r="B575" s="283"/>
      <c r="C575" s="5"/>
      <c r="D575" s="5"/>
      <c r="E575" s="5"/>
      <c r="F575" s="5"/>
      <c r="G575" s="5"/>
      <c r="H575" s="5"/>
      <c r="I575" s="3"/>
      <c r="J575" s="6"/>
      <c r="K575" s="69"/>
      <c r="L575" s="69"/>
      <c r="M575" s="69"/>
      <c r="N575" s="69"/>
      <c r="O575" s="69"/>
      <c r="P575" s="69"/>
      <c r="Q575" s="69"/>
      <c r="R575" s="69"/>
      <c r="S575" s="69"/>
      <c r="T575" s="69"/>
      <c r="U575" s="69"/>
      <c r="V575" s="69"/>
      <c r="W575" s="69"/>
      <c r="X575" s="69"/>
      <c r="Y575" s="69"/>
      <c r="Z575" s="69"/>
      <c r="AA575" s="69"/>
      <c r="AB575" s="69"/>
      <c r="AC575" s="69"/>
      <c r="AD575" s="69"/>
      <c r="AE575" s="69"/>
      <c r="AF575" s="69"/>
      <c r="AG575" s="69"/>
    </row>
    <row r="576" spans="2:33" ht="12.75">
      <c r="B576" s="283"/>
      <c r="C576" s="5"/>
      <c r="D576" s="5"/>
      <c r="E576" s="5"/>
      <c r="F576" s="5"/>
      <c r="G576" s="5"/>
      <c r="H576" s="5"/>
      <c r="I576" s="3"/>
      <c r="J576" s="6"/>
      <c r="K576" s="69"/>
      <c r="L576" s="69"/>
      <c r="M576" s="69"/>
      <c r="N576" s="69"/>
      <c r="O576" s="69"/>
      <c r="P576" s="69"/>
      <c r="Q576" s="69"/>
      <c r="R576" s="69"/>
      <c r="S576" s="69"/>
      <c r="T576" s="69"/>
      <c r="U576" s="69"/>
      <c r="V576" s="69"/>
      <c r="W576" s="69"/>
      <c r="X576" s="69"/>
      <c r="Y576" s="69"/>
      <c r="Z576" s="69"/>
      <c r="AA576" s="69"/>
      <c r="AB576" s="69"/>
      <c r="AC576" s="69"/>
      <c r="AD576" s="69"/>
      <c r="AE576" s="69"/>
      <c r="AF576" s="69"/>
      <c r="AG576" s="69"/>
    </row>
    <row r="577" spans="2:33" ht="12.75">
      <c r="B577" s="283"/>
      <c r="C577" s="5"/>
      <c r="D577" s="5"/>
      <c r="E577" s="5"/>
      <c r="F577" s="5"/>
      <c r="G577" s="5"/>
      <c r="H577" s="5"/>
      <c r="I577" s="3"/>
      <c r="J577" s="6"/>
      <c r="K577" s="69"/>
      <c r="L577" s="69"/>
      <c r="M577" s="69"/>
      <c r="N577" s="69"/>
      <c r="O577" s="69"/>
      <c r="P577" s="69"/>
      <c r="Q577" s="69"/>
      <c r="R577" s="69"/>
      <c r="S577" s="69"/>
      <c r="T577" s="69"/>
      <c r="U577" s="69"/>
      <c r="V577" s="69"/>
      <c r="W577" s="69"/>
      <c r="X577" s="69"/>
      <c r="Y577" s="69"/>
      <c r="Z577" s="69"/>
      <c r="AA577" s="69"/>
      <c r="AB577" s="69"/>
      <c r="AC577" s="69"/>
      <c r="AD577" s="69"/>
      <c r="AE577" s="69"/>
      <c r="AF577" s="69"/>
      <c r="AG577" s="69"/>
    </row>
    <row r="578" spans="2:33" ht="12.75">
      <c r="B578" s="283"/>
      <c r="C578" s="5"/>
      <c r="D578" s="5"/>
      <c r="E578" s="5"/>
      <c r="F578" s="5"/>
      <c r="G578" s="5"/>
      <c r="H578" s="5"/>
      <c r="I578" s="3"/>
      <c r="J578" s="6"/>
      <c r="K578" s="69"/>
      <c r="L578" s="69"/>
      <c r="M578" s="69"/>
      <c r="N578" s="69"/>
      <c r="O578" s="69"/>
      <c r="P578" s="69"/>
      <c r="Q578" s="69"/>
      <c r="R578" s="69"/>
      <c r="S578" s="69"/>
      <c r="T578" s="69"/>
      <c r="U578" s="69"/>
      <c r="V578" s="69"/>
      <c r="W578" s="69"/>
      <c r="X578" s="69"/>
      <c r="Y578" s="69"/>
      <c r="Z578" s="69"/>
      <c r="AA578" s="69"/>
      <c r="AB578" s="69"/>
      <c r="AC578" s="69"/>
      <c r="AD578" s="69"/>
      <c r="AE578" s="69"/>
      <c r="AF578" s="69"/>
      <c r="AG578" s="69"/>
    </row>
    <row r="579" spans="2:33" ht="12.75">
      <c r="B579" s="283"/>
      <c r="C579" s="5"/>
      <c r="D579" s="5"/>
      <c r="E579" s="5"/>
      <c r="F579" s="5"/>
      <c r="G579" s="5"/>
      <c r="H579" s="5"/>
      <c r="I579" s="3"/>
      <c r="J579" s="6"/>
      <c r="K579" s="69"/>
      <c r="L579" s="69"/>
      <c r="M579" s="69"/>
      <c r="N579" s="69"/>
      <c r="O579" s="69"/>
      <c r="P579" s="69"/>
      <c r="Q579" s="69"/>
      <c r="R579" s="69"/>
      <c r="S579" s="69"/>
      <c r="T579" s="69"/>
      <c r="U579" s="69"/>
      <c r="V579" s="69"/>
      <c r="W579" s="69"/>
      <c r="X579" s="69"/>
      <c r="Y579" s="69"/>
      <c r="Z579" s="69"/>
      <c r="AA579" s="69"/>
      <c r="AB579" s="69"/>
      <c r="AC579" s="69"/>
      <c r="AD579" s="69"/>
      <c r="AE579" s="69"/>
      <c r="AF579" s="69"/>
      <c r="AG579" s="69"/>
    </row>
    <row r="580" spans="2:33" ht="12.75">
      <c r="B580" s="283"/>
      <c r="C580" s="5"/>
      <c r="D580" s="5"/>
      <c r="E580" s="5"/>
      <c r="F580" s="5"/>
      <c r="G580" s="5"/>
      <c r="H580" s="5"/>
      <c r="I580" s="3"/>
      <c r="J580" s="6"/>
      <c r="K580" s="69"/>
      <c r="L580" s="69"/>
      <c r="M580" s="69"/>
      <c r="N580" s="69"/>
      <c r="O580" s="69"/>
      <c r="P580" s="69"/>
      <c r="Q580" s="69"/>
      <c r="R580" s="69"/>
      <c r="S580" s="69"/>
      <c r="T580" s="69"/>
      <c r="U580" s="69"/>
      <c r="V580" s="69"/>
      <c r="W580" s="69"/>
      <c r="X580" s="69"/>
      <c r="Y580" s="69"/>
      <c r="Z580" s="69"/>
      <c r="AA580" s="69"/>
      <c r="AB580" s="69"/>
      <c r="AC580" s="69"/>
      <c r="AD580" s="69"/>
      <c r="AE580" s="69"/>
      <c r="AF580" s="69"/>
      <c r="AG580" s="69"/>
    </row>
    <row r="581" spans="2:33" ht="12.75">
      <c r="B581" s="283"/>
      <c r="C581" s="5"/>
      <c r="D581" s="5"/>
      <c r="E581" s="5"/>
      <c r="F581" s="5"/>
      <c r="G581" s="5"/>
      <c r="H581" s="5"/>
      <c r="I581" s="3"/>
      <c r="J581" s="6"/>
      <c r="K581" s="69"/>
      <c r="L581" s="69"/>
      <c r="M581" s="69"/>
      <c r="N581" s="69"/>
      <c r="O581" s="69"/>
      <c r="P581" s="69"/>
      <c r="Q581" s="69"/>
      <c r="R581" s="69"/>
      <c r="S581" s="69"/>
      <c r="T581" s="69"/>
      <c r="U581" s="69"/>
      <c r="V581" s="69"/>
      <c r="W581" s="69"/>
      <c r="X581" s="69"/>
      <c r="Y581" s="69"/>
      <c r="Z581" s="69"/>
      <c r="AA581" s="69"/>
      <c r="AB581" s="69"/>
      <c r="AC581" s="69"/>
      <c r="AD581" s="69"/>
      <c r="AE581" s="69"/>
      <c r="AF581" s="69"/>
      <c r="AG581" s="69"/>
    </row>
    <row r="582" spans="2:33" ht="12.75">
      <c r="B582" s="283"/>
      <c r="C582" s="5"/>
      <c r="D582" s="5"/>
      <c r="E582" s="5"/>
      <c r="F582" s="5"/>
      <c r="G582" s="5"/>
      <c r="H582" s="5"/>
      <c r="I582" s="3"/>
      <c r="J582" s="6"/>
      <c r="K582" s="69"/>
      <c r="L582" s="69"/>
      <c r="M582" s="69"/>
      <c r="N582" s="69"/>
      <c r="O582" s="69"/>
      <c r="P582" s="69"/>
      <c r="Q582" s="69"/>
      <c r="R582" s="69"/>
      <c r="S582" s="69"/>
      <c r="T582" s="69"/>
      <c r="U582" s="69"/>
      <c r="V582" s="69"/>
      <c r="W582" s="69"/>
      <c r="X582" s="69"/>
      <c r="Y582" s="69"/>
      <c r="Z582" s="69"/>
      <c r="AA582" s="69"/>
      <c r="AB582" s="69"/>
      <c r="AC582" s="69"/>
      <c r="AD582" s="69"/>
      <c r="AE582" s="69"/>
      <c r="AF582" s="69"/>
      <c r="AG582" s="69"/>
    </row>
    <row r="583" spans="2:33" ht="12.75">
      <c r="B583" s="283"/>
      <c r="C583" s="5"/>
      <c r="D583" s="5"/>
      <c r="E583" s="5"/>
      <c r="F583" s="5"/>
      <c r="G583" s="5"/>
      <c r="H583" s="5"/>
      <c r="I583" s="3"/>
      <c r="J583" s="6"/>
      <c r="K583" s="69"/>
      <c r="L583" s="69"/>
      <c r="M583" s="69"/>
      <c r="N583" s="69"/>
      <c r="O583" s="69"/>
      <c r="P583" s="69"/>
      <c r="Q583" s="69"/>
      <c r="R583" s="69"/>
      <c r="S583" s="69"/>
      <c r="T583" s="69"/>
      <c r="U583" s="69"/>
      <c r="V583" s="69"/>
      <c r="W583" s="69"/>
      <c r="X583" s="69"/>
      <c r="Y583" s="69"/>
      <c r="Z583" s="69"/>
      <c r="AA583" s="69"/>
      <c r="AB583" s="69"/>
      <c r="AC583" s="69"/>
      <c r="AD583" s="69"/>
      <c r="AE583" s="69"/>
      <c r="AF583" s="69"/>
      <c r="AG583" s="69"/>
    </row>
    <row r="584" spans="2:33" ht="12.75">
      <c r="B584" s="283"/>
      <c r="C584" s="5"/>
      <c r="D584" s="5"/>
      <c r="E584" s="5"/>
      <c r="F584" s="5"/>
      <c r="G584" s="5"/>
      <c r="H584" s="5"/>
      <c r="I584" s="3"/>
      <c r="J584" s="6"/>
      <c r="K584" s="69"/>
      <c r="L584" s="69"/>
      <c r="M584" s="69"/>
      <c r="N584" s="69"/>
      <c r="O584" s="69"/>
      <c r="P584" s="69"/>
      <c r="Q584" s="69"/>
      <c r="R584" s="69"/>
      <c r="S584" s="69"/>
      <c r="T584" s="69"/>
      <c r="U584" s="69"/>
      <c r="V584" s="69"/>
      <c r="W584" s="69"/>
      <c r="X584" s="69"/>
      <c r="Y584" s="69"/>
      <c r="Z584" s="69"/>
      <c r="AA584" s="69"/>
      <c r="AB584" s="69"/>
      <c r="AC584" s="69"/>
      <c r="AD584" s="69"/>
      <c r="AE584" s="69"/>
      <c r="AF584" s="69"/>
      <c r="AG584" s="69"/>
    </row>
    <row r="585" spans="2:33" ht="12.75">
      <c r="B585" s="283"/>
      <c r="C585" s="5"/>
      <c r="D585" s="5"/>
      <c r="E585" s="5"/>
      <c r="F585" s="5"/>
      <c r="G585" s="5"/>
      <c r="H585" s="5"/>
      <c r="I585" s="3"/>
      <c r="J585" s="6"/>
      <c r="K585" s="69"/>
      <c r="L585" s="69"/>
      <c r="M585" s="69"/>
      <c r="N585" s="69"/>
      <c r="O585" s="69"/>
      <c r="P585" s="69"/>
      <c r="Q585" s="69"/>
      <c r="R585" s="69"/>
      <c r="S585" s="69"/>
      <c r="T585" s="69"/>
      <c r="U585" s="69"/>
      <c r="V585" s="69"/>
      <c r="W585" s="69"/>
      <c r="X585" s="69"/>
      <c r="Y585" s="69"/>
      <c r="Z585" s="69"/>
      <c r="AA585" s="69"/>
      <c r="AB585" s="69"/>
      <c r="AC585" s="69"/>
      <c r="AD585" s="69"/>
      <c r="AE585" s="69"/>
      <c r="AF585" s="69"/>
      <c r="AG585" s="69"/>
    </row>
    <row r="586" spans="2:33" ht="12.75">
      <c r="B586" s="283"/>
      <c r="C586" s="5"/>
      <c r="D586" s="5"/>
      <c r="E586" s="5"/>
      <c r="F586" s="5"/>
      <c r="G586" s="5"/>
      <c r="H586" s="5"/>
      <c r="I586" s="3"/>
      <c r="J586" s="6"/>
      <c r="K586" s="69"/>
      <c r="L586" s="69"/>
      <c r="M586" s="69"/>
      <c r="N586" s="69"/>
      <c r="O586" s="69"/>
      <c r="P586" s="69"/>
      <c r="Q586" s="69"/>
      <c r="R586" s="69"/>
      <c r="S586" s="69"/>
      <c r="T586" s="69"/>
      <c r="U586" s="69"/>
      <c r="V586" s="69"/>
      <c r="W586" s="69"/>
      <c r="X586" s="69"/>
      <c r="Y586" s="69"/>
      <c r="Z586" s="69"/>
      <c r="AA586" s="69"/>
      <c r="AB586" s="69"/>
      <c r="AC586" s="69"/>
      <c r="AD586" s="69"/>
      <c r="AE586" s="69"/>
      <c r="AF586" s="69"/>
      <c r="AG586" s="69"/>
    </row>
    <row r="587" spans="2:33" ht="12.75">
      <c r="B587" s="283"/>
      <c r="C587" s="5"/>
      <c r="D587" s="5"/>
      <c r="E587" s="5"/>
      <c r="F587" s="5"/>
      <c r="G587" s="5"/>
      <c r="H587" s="5"/>
      <c r="I587" s="3"/>
      <c r="J587" s="6"/>
      <c r="K587" s="69"/>
      <c r="L587" s="69"/>
      <c r="M587" s="69"/>
      <c r="N587" s="69"/>
      <c r="O587" s="69"/>
      <c r="P587" s="69"/>
      <c r="Q587" s="69"/>
      <c r="R587" s="69"/>
      <c r="S587" s="69"/>
      <c r="T587" s="69"/>
      <c r="U587" s="69"/>
      <c r="V587" s="69"/>
      <c r="W587" s="69"/>
      <c r="X587" s="69"/>
      <c r="Y587" s="69"/>
      <c r="Z587" s="69"/>
      <c r="AA587" s="69"/>
      <c r="AB587" s="69"/>
      <c r="AC587" s="69"/>
      <c r="AD587" s="69"/>
      <c r="AE587" s="69"/>
      <c r="AF587" s="69"/>
      <c r="AG587" s="69"/>
    </row>
    <row r="588" spans="2:33" ht="12.75">
      <c r="B588" s="283"/>
      <c r="C588" s="5"/>
      <c r="D588" s="5"/>
      <c r="E588" s="5"/>
      <c r="F588" s="5"/>
      <c r="G588" s="5"/>
      <c r="H588" s="5"/>
      <c r="I588" s="3"/>
      <c r="J588" s="6"/>
      <c r="K588" s="69"/>
      <c r="L588" s="69"/>
      <c r="M588" s="69"/>
      <c r="N588" s="69"/>
      <c r="O588" s="69"/>
      <c r="P588" s="69"/>
      <c r="Q588" s="69"/>
      <c r="R588" s="69"/>
      <c r="S588" s="69"/>
      <c r="T588" s="69"/>
      <c r="U588" s="69"/>
      <c r="V588" s="69"/>
      <c r="W588" s="69"/>
      <c r="X588" s="69"/>
      <c r="Y588" s="69"/>
      <c r="Z588" s="69"/>
      <c r="AA588" s="69"/>
      <c r="AB588" s="69"/>
      <c r="AC588" s="69"/>
      <c r="AD588" s="69"/>
      <c r="AE588" s="69"/>
      <c r="AF588" s="69"/>
      <c r="AG588" s="69"/>
    </row>
    <row r="589" spans="2:33" ht="12.75">
      <c r="B589" s="283"/>
      <c r="C589" s="5"/>
      <c r="D589" s="5"/>
      <c r="E589" s="5"/>
      <c r="F589" s="5"/>
      <c r="G589" s="5"/>
      <c r="H589" s="5"/>
      <c r="I589" s="3"/>
      <c r="J589" s="6"/>
      <c r="K589" s="69"/>
      <c r="L589" s="69"/>
      <c r="M589" s="69"/>
      <c r="N589" s="69"/>
      <c r="O589" s="69"/>
      <c r="P589" s="69"/>
      <c r="Q589" s="69"/>
      <c r="R589" s="69"/>
      <c r="S589" s="69"/>
      <c r="T589" s="69"/>
      <c r="U589" s="69"/>
      <c r="V589" s="69"/>
      <c r="W589" s="69"/>
      <c r="X589" s="69"/>
      <c r="Y589" s="69"/>
      <c r="Z589" s="69"/>
      <c r="AA589" s="69"/>
      <c r="AB589" s="69"/>
      <c r="AC589" s="69"/>
      <c r="AD589" s="69"/>
      <c r="AE589" s="69"/>
      <c r="AF589" s="69"/>
      <c r="AG589" s="69"/>
    </row>
    <row r="590" spans="2:33" ht="12.75">
      <c r="B590" s="283"/>
      <c r="C590" s="5"/>
      <c r="D590" s="5"/>
      <c r="E590" s="5"/>
      <c r="F590" s="5"/>
      <c r="G590" s="5"/>
      <c r="H590" s="5"/>
      <c r="I590" s="3"/>
      <c r="J590" s="6"/>
      <c r="K590" s="69"/>
      <c r="L590" s="69"/>
      <c r="M590" s="69"/>
      <c r="N590" s="69"/>
      <c r="O590" s="69"/>
      <c r="P590" s="69"/>
      <c r="Q590" s="69"/>
      <c r="R590" s="69"/>
      <c r="S590" s="69"/>
      <c r="T590" s="69"/>
      <c r="U590" s="69"/>
      <c r="V590" s="69"/>
      <c r="W590" s="69"/>
      <c r="X590" s="69"/>
      <c r="Y590" s="69"/>
      <c r="Z590" s="69"/>
      <c r="AA590" s="69"/>
      <c r="AB590" s="69"/>
      <c r="AC590" s="69"/>
      <c r="AD590" s="69"/>
      <c r="AE590" s="69"/>
      <c r="AF590" s="69"/>
      <c r="AG590" s="69"/>
    </row>
    <row r="591" spans="2:33" ht="12.75">
      <c r="B591" s="283"/>
      <c r="C591" s="5"/>
      <c r="D591" s="5"/>
      <c r="E591" s="5"/>
      <c r="F591" s="5"/>
      <c r="G591" s="5"/>
      <c r="H591" s="5"/>
      <c r="I591" s="3"/>
      <c r="J591" s="6"/>
      <c r="K591" s="69"/>
      <c r="L591" s="69"/>
      <c r="M591" s="69"/>
      <c r="N591" s="69"/>
      <c r="O591" s="69"/>
      <c r="P591" s="69"/>
      <c r="Q591" s="69"/>
      <c r="R591" s="69"/>
      <c r="S591" s="69"/>
      <c r="T591" s="69"/>
      <c r="U591" s="69"/>
      <c r="V591" s="69"/>
      <c r="W591" s="69"/>
      <c r="X591" s="69"/>
      <c r="Y591" s="69"/>
      <c r="Z591" s="69"/>
      <c r="AA591" s="69"/>
      <c r="AB591" s="69"/>
      <c r="AC591" s="69"/>
      <c r="AD591" s="69"/>
      <c r="AE591" s="69"/>
      <c r="AF591" s="69"/>
      <c r="AG591" s="69"/>
    </row>
    <row r="592" spans="2:33" ht="12.75">
      <c r="B592" s="283"/>
      <c r="C592" s="5"/>
      <c r="D592" s="5"/>
      <c r="E592" s="5"/>
      <c r="F592" s="5"/>
      <c r="G592" s="5"/>
      <c r="H592" s="5"/>
      <c r="I592" s="3"/>
      <c r="J592" s="6"/>
      <c r="K592" s="69"/>
      <c r="L592" s="69"/>
      <c r="M592" s="69"/>
      <c r="N592" s="69"/>
      <c r="O592" s="69"/>
      <c r="P592" s="69"/>
      <c r="Q592" s="69"/>
      <c r="R592" s="69"/>
      <c r="S592" s="69"/>
      <c r="T592" s="69"/>
      <c r="U592" s="69"/>
      <c r="V592" s="69"/>
      <c r="W592" s="69"/>
      <c r="X592" s="69"/>
      <c r="Y592" s="69"/>
      <c r="Z592" s="69"/>
      <c r="AA592" s="69"/>
      <c r="AB592" s="69"/>
      <c r="AC592" s="69"/>
      <c r="AD592" s="69"/>
      <c r="AE592" s="69"/>
      <c r="AF592" s="69"/>
      <c r="AG592" s="69"/>
    </row>
    <row r="593" spans="2:33" ht="12.75">
      <c r="B593" s="283"/>
      <c r="C593" s="5"/>
      <c r="D593" s="5"/>
      <c r="E593" s="5"/>
      <c r="F593" s="5"/>
      <c r="G593" s="5"/>
      <c r="H593" s="5"/>
      <c r="I593" s="3"/>
      <c r="J593" s="6"/>
      <c r="K593" s="69"/>
      <c r="L593" s="69"/>
      <c r="M593" s="69"/>
      <c r="N593" s="69"/>
      <c r="O593" s="69"/>
      <c r="P593" s="69"/>
      <c r="Q593" s="69"/>
      <c r="R593" s="69"/>
      <c r="S593" s="69"/>
      <c r="T593" s="69"/>
      <c r="U593" s="69"/>
      <c r="V593" s="69"/>
      <c r="W593" s="69"/>
      <c r="X593" s="69"/>
      <c r="Y593" s="69"/>
      <c r="Z593" s="69"/>
      <c r="AA593" s="69"/>
      <c r="AB593" s="69"/>
      <c r="AC593" s="69"/>
      <c r="AD593" s="69"/>
      <c r="AE593" s="69"/>
      <c r="AF593" s="69"/>
      <c r="AG593" s="69"/>
    </row>
    <row r="594" spans="2:33" ht="12.75">
      <c r="B594" s="283"/>
      <c r="C594" s="5"/>
      <c r="D594" s="5"/>
      <c r="E594" s="5"/>
      <c r="F594" s="5"/>
      <c r="G594" s="5"/>
      <c r="H594" s="5"/>
      <c r="I594" s="3"/>
      <c r="J594" s="6"/>
      <c r="K594" s="69"/>
      <c r="L594" s="69"/>
      <c r="M594" s="69"/>
      <c r="N594" s="69"/>
      <c r="O594" s="69"/>
      <c r="P594" s="69"/>
      <c r="Q594" s="69"/>
      <c r="R594" s="69"/>
      <c r="S594" s="69"/>
      <c r="T594" s="69"/>
      <c r="U594" s="69"/>
      <c r="V594" s="69"/>
      <c r="W594" s="69"/>
      <c r="X594" s="69"/>
      <c r="Y594" s="69"/>
      <c r="Z594" s="69"/>
      <c r="AA594" s="69"/>
      <c r="AB594" s="69"/>
      <c r="AC594" s="69"/>
      <c r="AD594" s="69"/>
      <c r="AE594" s="69"/>
      <c r="AF594" s="69"/>
      <c r="AG594" s="69"/>
    </row>
    <row r="595" spans="2:33" ht="12.75">
      <c r="B595" s="283"/>
      <c r="C595" s="5"/>
      <c r="D595" s="5"/>
      <c r="E595" s="5"/>
      <c r="F595" s="5"/>
      <c r="G595" s="5"/>
      <c r="H595" s="5"/>
      <c r="I595" s="3"/>
      <c r="J595" s="6"/>
      <c r="K595" s="69"/>
      <c r="L595" s="69"/>
      <c r="M595" s="69"/>
      <c r="N595" s="69"/>
      <c r="O595" s="69"/>
      <c r="P595" s="69"/>
      <c r="Q595" s="69"/>
      <c r="R595" s="69"/>
      <c r="S595" s="69"/>
      <c r="T595" s="69"/>
      <c r="U595" s="69"/>
      <c r="V595" s="69"/>
      <c r="W595" s="69"/>
      <c r="X595" s="69"/>
      <c r="Y595" s="69"/>
      <c r="Z595" s="69"/>
      <c r="AA595" s="69"/>
      <c r="AB595" s="69"/>
      <c r="AC595" s="69"/>
      <c r="AD595" s="69"/>
      <c r="AE595" s="69"/>
      <c r="AF595" s="69"/>
      <c r="AG595" s="69"/>
    </row>
    <row r="596" spans="2:33" ht="12.75">
      <c r="B596" s="283"/>
      <c r="C596" s="5"/>
      <c r="D596" s="5"/>
      <c r="E596" s="5"/>
      <c r="F596" s="5"/>
      <c r="G596" s="5"/>
      <c r="H596" s="5"/>
      <c r="I596" s="3"/>
      <c r="J596" s="6"/>
      <c r="K596" s="69"/>
      <c r="L596" s="69"/>
      <c r="M596" s="69"/>
      <c r="N596" s="69"/>
      <c r="O596" s="69"/>
      <c r="P596" s="69"/>
      <c r="Q596" s="69"/>
      <c r="R596" s="69"/>
      <c r="S596" s="69"/>
      <c r="T596" s="69"/>
      <c r="U596" s="69"/>
      <c r="V596" s="69"/>
      <c r="W596" s="69"/>
      <c r="X596" s="69"/>
      <c r="Y596" s="69"/>
      <c r="Z596" s="69"/>
      <c r="AA596" s="69"/>
      <c r="AB596" s="69"/>
      <c r="AC596" s="69"/>
      <c r="AD596" s="69"/>
      <c r="AE596" s="69"/>
      <c r="AF596" s="69"/>
      <c r="AG596" s="69"/>
    </row>
    <row r="597" spans="2:33" ht="12.75">
      <c r="B597" s="283"/>
      <c r="C597" s="5"/>
      <c r="D597" s="5"/>
      <c r="E597" s="5"/>
      <c r="F597" s="5"/>
      <c r="G597" s="5"/>
      <c r="H597" s="5"/>
      <c r="I597" s="3"/>
      <c r="J597" s="6"/>
      <c r="K597" s="69"/>
      <c r="L597" s="69"/>
      <c r="M597" s="69"/>
      <c r="N597" s="69"/>
      <c r="O597" s="69"/>
      <c r="P597" s="69"/>
      <c r="Q597" s="69"/>
      <c r="R597" s="69"/>
      <c r="S597" s="69"/>
      <c r="T597" s="69"/>
      <c r="U597" s="69"/>
      <c r="V597" s="69"/>
      <c r="W597" s="69"/>
      <c r="X597" s="69"/>
      <c r="Y597" s="69"/>
      <c r="Z597" s="69"/>
      <c r="AA597" s="69"/>
      <c r="AB597" s="69"/>
      <c r="AC597" s="69"/>
      <c r="AD597" s="69"/>
      <c r="AE597" s="69"/>
      <c r="AF597" s="69"/>
      <c r="AG597" s="69"/>
    </row>
    <row r="598" spans="2:33" ht="12.75">
      <c r="B598" s="283"/>
      <c r="C598" s="5"/>
      <c r="D598" s="5"/>
      <c r="E598" s="5"/>
      <c r="F598" s="5"/>
      <c r="G598" s="5"/>
      <c r="H598" s="5"/>
      <c r="I598" s="3"/>
      <c r="J598" s="6"/>
      <c r="K598" s="69"/>
      <c r="L598" s="69"/>
      <c r="M598" s="69"/>
      <c r="N598" s="69"/>
      <c r="O598" s="69"/>
      <c r="P598" s="69"/>
      <c r="Q598" s="69"/>
      <c r="R598" s="69"/>
      <c r="S598" s="69"/>
      <c r="T598" s="69"/>
      <c r="U598" s="69"/>
      <c r="V598" s="69"/>
      <c r="W598" s="69"/>
      <c r="X598" s="69"/>
      <c r="Y598" s="69"/>
      <c r="Z598" s="69"/>
      <c r="AA598" s="69"/>
      <c r="AB598" s="69"/>
      <c r="AC598" s="69"/>
      <c r="AD598" s="69"/>
      <c r="AE598" s="69"/>
      <c r="AF598" s="69"/>
      <c r="AG598" s="69"/>
    </row>
    <row r="599" spans="2:33" ht="12.75">
      <c r="B599" s="283"/>
      <c r="C599" s="5"/>
      <c r="D599" s="5"/>
      <c r="E599" s="5"/>
      <c r="F599" s="5"/>
      <c r="G599" s="5"/>
      <c r="H599" s="5"/>
      <c r="I599" s="3"/>
      <c r="J599" s="6"/>
      <c r="K599" s="69"/>
      <c r="L599" s="69"/>
      <c r="M599" s="69"/>
      <c r="N599" s="69"/>
      <c r="O599" s="69"/>
      <c r="P599" s="69"/>
      <c r="Q599" s="69"/>
      <c r="R599" s="69"/>
      <c r="S599" s="69"/>
      <c r="T599" s="69"/>
      <c r="U599" s="69"/>
      <c r="V599" s="69"/>
      <c r="W599" s="69"/>
      <c r="X599" s="69"/>
      <c r="Y599" s="69"/>
      <c r="Z599" s="69"/>
      <c r="AA599" s="69"/>
      <c r="AB599" s="69"/>
      <c r="AC599" s="69"/>
      <c r="AD599" s="69"/>
      <c r="AE599" s="69"/>
      <c r="AF599" s="69"/>
      <c r="AG599" s="69"/>
    </row>
    <row r="600" spans="2:33" ht="12.75">
      <c r="B600" s="283"/>
      <c r="C600" s="5"/>
      <c r="D600" s="5"/>
      <c r="E600" s="5"/>
      <c r="F600" s="5"/>
      <c r="G600" s="5"/>
      <c r="H600" s="5"/>
      <c r="I600" s="3"/>
      <c r="J600" s="6"/>
      <c r="K600" s="69"/>
      <c r="L600" s="69"/>
      <c r="M600" s="69"/>
      <c r="N600" s="69"/>
      <c r="O600" s="69"/>
      <c r="P600" s="69"/>
      <c r="Q600" s="69"/>
      <c r="R600" s="69"/>
      <c r="S600" s="69"/>
      <c r="T600" s="69"/>
      <c r="U600" s="69"/>
      <c r="V600" s="69"/>
      <c r="W600" s="69"/>
      <c r="X600" s="69"/>
      <c r="Y600" s="69"/>
      <c r="Z600" s="69"/>
      <c r="AA600" s="69"/>
      <c r="AB600" s="69"/>
      <c r="AC600" s="69"/>
      <c r="AD600" s="69"/>
      <c r="AE600" s="69"/>
      <c r="AF600" s="69"/>
      <c r="AG600" s="69"/>
    </row>
    <row r="601" spans="2:33" ht="12.75">
      <c r="B601" s="283"/>
      <c r="C601" s="5"/>
      <c r="D601" s="5"/>
      <c r="E601" s="5"/>
      <c r="F601" s="5"/>
      <c r="G601" s="5"/>
      <c r="H601" s="5"/>
      <c r="I601" s="3"/>
      <c r="J601" s="6"/>
      <c r="K601" s="69"/>
      <c r="L601" s="69"/>
      <c r="M601" s="69"/>
      <c r="N601" s="69"/>
      <c r="O601" s="69"/>
      <c r="P601" s="69"/>
      <c r="Q601" s="69"/>
      <c r="R601" s="69"/>
      <c r="S601" s="69"/>
      <c r="T601" s="69"/>
      <c r="U601" s="69"/>
      <c r="V601" s="69"/>
      <c r="W601" s="69"/>
      <c r="X601" s="69"/>
      <c r="Y601" s="69"/>
      <c r="Z601" s="69"/>
      <c r="AA601" s="69"/>
      <c r="AB601" s="69"/>
      <c r="AC601" s="69"/>
      <c r="AD601" s="69"/>
      <c r="AE601" s="69"/>
      <c r="AF601" s="69"/>
      <c r="AG601" s="69"/>
    </row>
    <row r="602" spans="2:33" ht="12.75">
      <c r="B602" s="283"/>
      <c r="C602" s="5"/>
      <c r="D602" s="5"/>
      <c r="E602" s="5"/>
      <c r="F602" s="5"/>
      <c r="G602" s="5"/>
      <c r="H602" s="5"/>
      <c r="I602" s="3"/>
      <c r="J602" s="6"/>
      <c r="K602" s="69"/>
      <c r="L602" s="69"/>
      <c r="M602" s="69"/>
      <c r="N602" s="69"/>
      <c r="O602" s="69"/>
      <c r="P602" s="69"/>
      <c r="Q602" s="69"/>
      <c r="R602" s="69"/>
      <c r="S602" s="69"/>
      <c r="T602" s="69"/>
      <c r="U602" s="69"/>
      <c r="V602" s="69"/>
      <c r="W602" s="69"/>
      <c r="X602" s="69"/>
      <c r="Y602" s="69"/>
      <c r="Z602" s="69"/>
      <c r="AA602" s="69"/>
      <c r="AB602" s="69"/>
      <c r="AC602" s="69"/>
      <c r="AD602" s="69"/>
      <c r="AE602" s="69"/>
      <c r="AF602" s="69"/>
      <c r="AG602" s="69"/>
    </row>
    <row r="603" spans="2:33" ht="12.75">
      <c r="B603" s="283"/>
      <c r="C603" s="5"/>
      <c r="D603" s="5"/>
      <c r="E603" s="5"/>
      <c r="F603" s="5"/>
      <c r="G603" s="5"/>
      <c r="H603" s="5"/>
      <c r="I603" s="3"/>
      <c r="J603" s="6"/>
      <c r="K603" s="69"/>
      <c r="L603" s="69"/>
      <c r="M603" s="69"/>
      <c r="N603" s="69"/>
      <c r="O603" s="69"/>
      <c r="P603" s="69"/>
      <c r="Q603" s="69"/>
      <c r="R603" s="69"/>
      <c r="S603" s="69"/>
      <c r="T603" s="69"/>
      <c r="U603" s="69"/>
      <c r="V603" s="69"/>
      <c r="W603" s="69"/>
      <c r="X603" s="69"/>
      <c r="Y603" s="69"/>
      <c r="Z603" s="69"/>
      <c r="AA603" s="69"/>
      <c r="AB603" s="69"/>
      <c r="AC603" s="69"/>
      <c r="AD603" s="69"/>
      <c r="AE603" s="69"/>
      <c r="AF603" s="69"/>
      <c r="AG603" s="69"/>
    </row>
    <row r="604" spans="2:33" ht="12.75">
      <c r="B604" s="283"/>
      <c r="C604" s="5"/>
      <c r="D604" s="5"/>
      <c r="E604" s="5"/>
      <c r="F604" s="5"/>
      <c r="G604" s="5"/>
      <c r="H604" s="5"/>
      <c r="I604" s="3"/>
      <c r="J604" s="6"/>
      <c r="K604" s="69"/>
      <c r="L604" s="69"/>
      <c r="M604" s="69"/>
      <c r="N604" s="69"/>
      <c r="O604" s="69"/>
      <c r="P604" s="69"/>
      <c r="Q604" s="69"/>
      <c r="R604" s="69"/>
      <c r="S604" s="69"/>
      <c r="T604" s="69"/>
      <c r="U604" s="69"/>
      <c r="V604" s="69"/>
      <c r="W604" s="69"/>
      <c r="X604" s="69"/>
      <c r="Y604" s="69"/>
      <c r="Z604" s="69"/>
      <c r="AA604" s="69"/>
      <c r="AB604" s="69"/>
      <c r="AC604" s="69"/>
      <c r="AD604" s="69"/>
      <c r="AE604" s="69"/>
      <c r="AF604" s="69"/>
      <c r="AG604" s="69"/>
    </row>
    <row r="605" spans="2:33" ht="12.75">
      <c r="B605" s="283"/>
      <c r="C605" s="5"/>
      <c r="D605" s="5"/>
      <c r="E605" s="5"/>
      <c r="F605" s="5"/>
      <c r="G605" s="5"/>
      <c r="H605" s="5"/>
      <c r="I605" s="3"/>
      <c r="J605" s="6"/>
      <c r="K605" s="69"/>
      <c r="L605" s="69"/>
      <c r="M605" s="69"/>
      <c r="N605" s="69"/>
      <c r="O605" s="69"/>
      <c r="P605" s="69"/>
      <c r="Q605" s="69"/>
      <c r="R605" s="69"/>
      <c r="S605" s="69"/>
      <c r="T605" s="69"/>
      <c r="U605" s="69"/>
      <c r="V605" s="69"/>
      <c r="W605" s="69"/>
      <c r="X605" s="69"/>
      <c r="Y605" s="69"/>
      <c r="Z605" s="69"/>
      <c r="AA605" s="69"/>
      <c r="AB605" s="69"/>
      <c r="AC605" s="69"/>
      <c r="AD605" s="69"/>
      <c r="AE605" s="69"/>
      <c r="AF605" s="69"/>
      <c r="AG605" s="69"/>
    </row>
    <row r="606" spans="2:33" ht="12.75">
      <c r="B606" s="283"/>
      <c r="C606" s="5"/>
      <c r="D606" s="5"/>
      <c r="E606" s="5"/>
      <c r="F606" s="5"/>
      <c r="G606" s="5"/>
      <c r="H606" s="5"/>
      <c r="I606" s="3"/>
      <c r="J606" s="6"/>
      <c r="K606" s="69"/>
      <c r="L606" s="69"/>
      <c r="M606" s="69"/>
      <c r="N606" s="69"/>
      <c r="O606" s="69"/>
      <c r="P606" s="69"/>
      <c r="Q606" s="69"/>
      <c r="R606" s="69"/>
      <c r="S606" s="69"/>
      <c r="T606" s="69"/>
      <c r="U606" s="69"/>
      <c r="V606" s="69"/>
      <c r="W606" s="69"/>
      <c r="X606" s="69"/>
      <c r="Y606" s="69"/>
      <c r="Z606" s="69"/>
      <c r="AA606" s="69"/>
      <c r="AB606" s="69"/>
      <c r="AC606" s="69"/>
      <c r="AD606" s="69"/>
      <c r="AE606" s="69"/>
      <c r="AF606" s="69"/>
      <c r="AG606" s="69"/>
    </row>
    <row r="607" spans="2:33" ht="12.75">
      <c r="B607" s="283"/>
      <c r="C607" s="5"/>
      <c r="D607" s="5"/>
      <c r="E607" s="5"/>
      <c r="F607" s="5"/>
      <c r="G607" s="5"/>
      <c r="H607" s="5"/>
      <c r="I607" s="3"/>
      <c r="J607" s="6"/>
      <c r="K607" s="69"/>
      <c r="L607" s="69"/>
      <c r="M607" s="69"/>
      <c r="N607" s="69"/>
      <c r="O607" s="69"/>
      <c r="P607" s="69"/>
      <c r="Q607" s="69"/>
      <c r="R607" s="69"/>
      <c r="S607" s="69"/>
      <c r="T607" s="69"/>
      <c r="U607" s="69"/>
      <c r="V607" s="69"/>
      <c r="W607" s="69"/>
      <c r="X607" s="69"/>
      <c r="Y607" s="69"/>
      <c r="Z607" s="69"/>
      <c r="AA607" s="69"/>
      <c r="AB607" s="69"/>
      <c r="AC607" s="69"/>
      <c r="AD607" s="69"/>
      <c r="AE607" s="69"/>
      <c r="AF607" s="69"/>
      <c r="AG607" s="69"/>
    </row>
    <row r="608" spans="2:33" ht="12.75">
      <c r="B608" s="283"/>
      <c r="C608" s="5"/>
      <c r="D608" s="5"/>
      <c r="E608" s="5"/>
      <c r="F608" s="5"/>
      <c r="G608" s="5"/>
      <c r="H608" s="5"/>
      <c r="I608" s="3"/>
      <c r="J608" s="6"/>
      <c r="K608" s="69"/>
      <c r="L608" s="69"/>
      <c r="M608" s="69"/>
      <c r="N608" s="69"/>
      <c r="O608" s="69"/>
      <c r="P608" s="69"/>
      <c r="Q608" s="69"/>
      <c r="R608" s="69"/>
      <c r="S608" s="69"/>
      <c r="T608" s="69"/>
      <c r="U608" s="69"/>
      <c r="V608" s="69"/>
      <c r="W608" s="69"/>
      <c r="X608" s="69"/>
      <c r="Y608" s="69"/>
      <c r="Z608" s="69"/>
      <c r="AA608" s="69"/>
      <c r="AB608" s="69"/>
      <c r="AC608" s="69"/>
      <c r="AD608" s="69"/>
      <c r="AE608" s="69"/>
      <c r="AF608" s="69"/>
      <c r="AG608" s="69"/>
    </row>
    <row r="609" spans="2:33" ht="12.75">
      <c r="B609" s="283"/>
      <c r="C609" s="5"/>
      <c r="D609" s="5"/>
      <c r="E609" s="5"/>
      <c r="F609" s="5"/>
      <c r="G609" s="5"/>
      <c r="H609" s="5"/>
      <c r="I609" s="3"/>
      <c r="J609" s="6"/>
      <c r="K609" s="69"/>
      <c r="L609" s="69"/>
      <c r="M609" s="69"/>
      <c r="N609" s="69"/>
      <c r="O609" s="69"/>
      <c r="P609" s="69"/>
      <c r="Q609" s="69"/>
      <c r="R609" s="69"/>
      <c r="S609" s="69"/>
      <c r="T609" s="69"/>
      <c r="U609" s="69"/>
      <c r="V609" s="69"/>
      <c r="W609" s="69"/>
      <c r="X609" s="69"/>
      <c r="Y609" s="69"/>
      <c r="Z609" s="69"/>
      <c r="AA609" s="69"/>
      <c r="AB609" s="69"/>
      <c r="AC609" s="69"/>
      <c r="AD609" s="69"/>
      <c r="AE609" s="69"/>
      <c r="AF609" s="69"/>
      <c r="AG609" s="69"/>
    </row>
    <row r="610" spans="2:33" ht="12.75">
      <c r="B610" s="283"/>
      <c r="C610" s="5"/>
      <c r="D610" s="5"/>
      <c r="E610" s="5"/>
      <c r="F610" s="5"/>
      <c r="G610" s="5"/>
      <c r="H610" s="5"/>
      <c r="I610" s="3"/>
      <c r="J610" s="6"/>
      <c r="K610" s="69"/>
      <c r="L610" s="69"/>
      <c r="M610" s="69"/>
      <c r="N610" s="69"/>
      <c r="O610" s="69"/>
      <c r="P610" s="69"/>
      <c r="Q610" s="69"/>
      <c r="R610" s="69"/>
      <c r="S610" s="69"/>
      <c r="T610" s="69"/>
      <c r="U610" s="69"/>
      <c r="V610" s="69"/>
      <c r="W610" s="69"/>
      <c r="X610" s="69"/>
      <c r="Y610" s="69"/>
      <c r="Z610" s="69"/>
      <c r="AA610" s="69"/>
      <c r="AB610" s="69"/>
      <c r="AC610" s="69"/>
      <c r="AD610" s="69"/>
      <c r="AE610" s="69"/>
      <c r="AF610" s="69"/>
      <c r="AG610" s="69"/>
    </row>
    <row r="611" spans="2:33" ht="12.75">
      <c r="B611" s="283"/>
      <c r="C611" s="5"/>
      <c r="D611" s="5"/>
      <c r="E611" s="5"/>
      <c r="F611" s="5"/>
      <c r="G611" s="5"/>
      <c r="H611" s="5"/>
      <c r="I611" s="3"/>
      <c r="J611" s="6"/>
      <c r="K611" s="69"/>
      <c r="L611" s="69"/>
      <c r="M611" s="69"/>
      <c r="N611" s="69"/>
      <c r="O611" s="69"/>
      <c r="P611" s="69"/>
      <c r="Q611" s="69"/>
      <c r="R611" s="69"/>
      <c r="S611" s="69"/>
      <c r="T611" s="69"/>
      <c r="U611" s="69"/>
      <c r="V611" s="69"/>
      <c r="W611" s="69"/>
      <c r="X611" s="69"/>
      <c r="Y611" s="69"/>
      <c r="Z611" s="69"/>
      <c r="AA611" s="69"/>
      <c r="AB611" s="69"/>
      <c r="AC611" s="69"/>
      <c r="AD611" s="69"/>
      <c r="AE611" s="69"/>
      <c r="AF611" s="69"/>
      <c r="AG611" s="69"/>
    </row>
    <row r="612" spans="2:33" ht="12.75">
      <c r="B612" s="283"/>
      <c r="C612" s="5"/>
      <c r="D612" s="5"/>
      <c r="E612" s="5"/>
      <c r="F612" s="5"/>
      <c r="G612" s="5"/>
      <c r="H612" s="5"/>
      <c r="I612" s="3"/>
      <c r="J612" s="6"/>
      <c r="K612" s="69"/>
      <c r="L612" s="69"/>
      <c r="M612" s="69"/>
      <c r="N612" s="69"/>
      <c r="O612" s="69"/>
      <c r="P612" s="69"/>
      <c r="Q612" s="69"/>
      <c r="R612" s="69"/>
      <c r="S612" s="69"/>
      <c r="T612" s="69"/>
      <c r="U612" s="69"/>
      <c r="V612" s="69"/>
      <c r="W612" s="69"/>
      <c r="X612" s="69"/>
      <c r="Y612" s="69"/>
      <c r="Z612" s="69"/>
      <c r="AA612" s="69"/>
      <c r="AB612" s="69"/>
      <c r="AC612" s="69"/>
      <c r="AD612" s="69"/>
      <c r="AE612" s="69"/>
      <c r="AF612" s="69"/>
      <c r="AG612" s="69"/>
    </row>
    <row r="613" spans="2:33" ht="12.75">
      <c r="B613" s="283"/>
      <c r="C613" s="5"/>
      <c r="D613" s="5"/>
      <c r="E613" s="5"/>
      <c r="F613" s="5"/>
      <c r="G613" s="5"/>
      <c r="H613" s="5"/>
      <c r="I613" s="3"/>
      <c r="J613" s="6"/>
      <c r="K613" s="69"/>
      <c r="L613" s="69"/>
      <c r="M613" s="69"/>
      <c r="N613" s="69"/>
      <c r="O613" s="69"/>
      <c r="P613" s="69"/>
      <c r="Q613" s="69"/>
      <c r="R613" s="69"/>
      <c r="S613" s="69"/>
      <c r="T613" s="69"/>
      <c r="U613" s="69"/>
      <c r="V613" s="69"/>
      <c r="W613" s="69"/>
      <c r="X613" s="69"/>
      <c r="Y613" s="69"/>
      <c r="Z613" s="69"/>
      <c r="AA613" s="69"/>
      <c r="AB613" s="69"/>
      <c r="AC613" s="69"/>
      <c r="AD613" s="69"/>
      <c r="AE613" s="69"/>
      <c r="AF613" s="69"/>
      <c r="AG613" s="69"/>
    </row>
    <row r="614" spans="2:33" ht="12.75">
      <c r="B614" s="283"/>
      <c r="C614" s="5"/>
      <c r="D614" s="5"/>
      <c r="E614" s="5"/>
      <c r="F614" s="5"/>
      <c r="G614" s="5"/>
      <c r="H614" s="5"/>
      <c r="I614" s="3"/>
      <c r="J614" s="6"/>
      <c r="K614" s="69"/>
      <c r="L614" s="69"/>
      <c r="M614" s="69"/>
      <c r="N614" s="69"/>
      <c r="O614" s="69"/>
      <c r="P614" s="69"/>
      <c r="Q614" s="69"/>
      <c r="R614" s="69"/>
      <c r="S614" s="69"/>
      <c r="T614" s="69"/>
      <c r="U614" s="69"/>
      <c r="V614" s="69"/>
      <c r="W614" s="69"/>
      <c r="X614" s="69"/>
      <c r="Y614" s="69"/>
      <c r="Z614" s="69"/>
      <c r="AA614" s="69"/>
      <c r="AB614" s="69"/>
      <c r="AC614" s="69"/>
      <c r="AD614" s="69"/>
      <c r="AE614" s="69"/>
      <c r="AF614" s="69"/>
      <c r="AG614" s="69"/>
    </row>
    <row r="615" spans="2:33" ht="12.75">
      <c r="B615" s="283"/>
      <c r="C615" s="5"/>
      <c r="D615" s="5"/>
      <c r="E615" s="5"/>
      <c r="F615" s="5"/>
      <c r="G615" s="5"/>
      <c r="H615" s="5"/>
      <c r="I615" s="3"/>
      <c r="J615" s="6"/>
      <c r="K615" s="69"/>
      <c r="L615" s="69"/>
      <c r="M615" s="69"/>
      <c r="N615" s="69"/>
      <c r="O615" s="69"/>
      <c r="P615" s="69"/>
      <c r="Q615" s="69"/>
      <c r="R615" s="69"/>
      <c r="S615" s="69"/>
      <c r="T615" s="69"/>
      <c r="U615" s="69"/>
      <c r="V615" s="69"/>
      <c r="W615" s="69"/>
      <c r="X615" s="69"/>
      <c r="Y615" s="69"/>
      <c r="Z615" s="69"/>
      <c r="AA615" s="69"/>
      <c r="AB615" s="69"/>
      <c r="AC615" s="69"/>
      <c r="AD615" s="69"/>
      <c r="AE615" s="69"/>
      <c r="AF615" s="69"/>
      <c r="AG615" s="69"/>
    </row>
    <row r="616" spans="2:33" ht="12.75">
      <c r="B616" s="283"/>
      <c r="C616" s="5"/>
      <c r="D616" s="5"/>
      <c r="E616" s="5"/>
      <c r="F616" s="5"/>
      <c r="G616" s="5"/>
      <c r="H616" s="5"/>
      <c r="I616" s="3"/>
      <c r="J616" s="6"/>
      <c r="K616" s="69"/>
      <c r="L616" s="69"/>
      <c r="M616" s="69"/>
      <c r="N616" s="69"/>
      <c r="O616" s="69"/>
      <c r="P616" s="69"/>
      <c r="Q616" s="69"/>
      <c r="R616" s="69"/>
      <c r="S616" s="69"/>
      <c r="T616" s="69"/>
      <c r="U616" s="69"/>
      <c r="V616" s="69"/>
      <c r="W616" s="69"/>
      <c r="X616" s="69"/>
      <c r="Y616" s="69"/>
      <c r="Z616" s="69"/>
      <c r="AA616" s="69"/>
      <c r="AB616" s="69"/>
      <c r="AC616" s="69"/>
      <c r="AD616" s="69"/>
      <c r="AE616" s="69"/>
      <c r="AF616" s="69"/>
      <c r="AG616" s="69"/>
    </row>
    <row r="617" spans="2:33" ht="12.75">
      <c r="B617" s="283"/>
      <c r="C617" s="5"/>
      <c r="D617" s="5"/>
      <c r="E617" s="5"/>
      <c r="F617" s="5"/>
      <c r="G617" s="5"/>
      <c r="H617" s="5"/>
      <c r="I617" s="3"/>
      <c r="J617" s="6"/>
      <c r="K617" s="69"/>
      <c r="L617" s="69"/>
      <c r="M617" s="69"/>
      <c r="N617" s="69"/>
      <c r="O617" s="69"/>
      <c r="P617" s="69"/>
      <c r="Q617" s="69"/>
      <c r="R617" s="69"/>
      <c r="S617" s="69"/>
      <c r="T617" s="69"/>
      <c r="U617" s="69"/>
      <c r="V617" s="69"/>
      <c r="W617" s="69"/>
      <c r="X617" s="69"/>
      <c r="Y617" s="69"/>
      <c r="Z617" s="69"/>
      <c r="AA617" s="69"/>
      <c r="AB617" s="69"/>
      <c r="AC617" s="69"/>
      <c r="AD617" s="69"/>
      <c r="AE617" s="69"/>
      <c r="AF617" s="69"/>
      <c r="AG617" s="69"/>
    </row>
    <row r="618" spans="2:33" ht="12.75">
      <c r="B618" s="283"/>
      <c r="C618" s="5"/>
      <c r="D618" s="5"/>
      <c r="E618" s="5"/>
      <c r="F618" s="5"/>
      <c r="G618" s="5"/>
      <c r="H618" s="5"/>
      <c r="I618" s="3"/>
      <c r="J618" s="6"/>
      <c r="K618" s="69"/>
      <c r="L618" s="69"/>
      <c r="M618" s="69"/>
      <c r="N618" s="69"/>
      <c r="O618" s="69"/>
      <c r="P618" s="69"/>
      <c r="Q618" s="69"/>
      <c r="R618" s="69"/>
      <c r="S618" s="69"/>
      <c r="T618" s="69"/>
      <c r="U618" s="69"/>
      <c r="V618" s="69"/>
      <c r="W618" s="69"/>
      <c r="X618" s="69"/>
      <c r="Y618" s="69"/>
      <c r="Z618" s="69"/>
      <c r="AA618" s="69"/>
      <c r="AB618" s="69"/>
      <c r="AC618" s="69"/>
      <c r="AD618" s="69"/>
      <c r="AE618" s="69"/>
      <c r="AF618" s="69"/>
      <c r="AG618" s="69"/>
    </row>
    <row r="619" spans="2:33" ht="12.75">
      <c r="B619" s="283"/>
      <c r="C619" s="5"/>
      <c r="D619" s="5"/>
      <c r="E619" s="5"/>
      <c r="F619" s="5"/>
      <c r="G619" s="5"/>
      <c r="H619" s="5"/>
      <c r="I619" s="3"/>
      <c r="J619" s="6"/>
      <c r="K619" s="69"/>
      <c r="L619" s="69"/>
      <c r="M619" s="69"/>
      <c r="N619" s="69"/>
      <c r="O619" s="69"/>
      <c r="P619" s="69"/>
      <c r="Q619" s="69"/>
      <c r="R619" s="69"/>
      <c r="S619" s="69"/>
      <c r="T619" s="69"/>
      <c r="U619" s="69"/>
      <c r="V619" s="69"/>
      <c r="W619" s="69"/>
      <c r="X619" s="69"/>
      <c r="Y619" s="69"/>
      <c r="Z619" s="69"/>
      <c r="AA619" s="69"/>
      <c r="AB619" s="69"/>
      <c r="AC619" s="69"/>
      <c r="AD619" s="69"/>
      <c r="AE619" s="69"/>
      <c r="AF619" s="69"/>
      <c r="AG619" s="69"/>
    </row>
    <row r="620" spans="2:33" ht="12.75">
      <c r="B620" s="283"/>
      <c r="C620" s="5"/>
      <c r="D620" s="5"/>
      <c r="E620" s="5"/>
      <c r="F620" s="5"/>
      <c r="G620" s="5"/>
      <c r="H620" s="5"/>
      <c r="I620" s="3"/>
      <c r="J620" s="6"/>
      <c r="K620" s="69"/>
      <c r="L620" s="69"/>
      <c r="M620" s="69"/>
      <c r="N620" s="69"/>
      <c r="O620" s="69"/>
      <c r="P620" s="69"/>
      <c r="Q620" s="69"/>
      <c r="R620" s="69"/>
      <c r="S620" s="69"/>
      <c r="T620" s="69"/>
      <c r="U620" s="69"/>
      <c r="V620" s="69"/>
      <c r="W620" s="69"/>
      <c r="X620" s="69"/>
      <c r="Y620" s="69"/>
      <c r="Z620" s="69"/>
      <c r="AA620" s="69"/>
      <c r="AB620" s="69"/>
      <c r="AC620" s="69"/>
      <c r="AD620" s="69"/>
      <c r="AE620" s="69"/>
      <c r="AF620" s="69"/>
      <c r="AG620" s="69"/>
    </row>
    <row r="621" spans="2:33" ht="12.75">
      <c r="B621" s="283"/>
      <c r="C621" s="5"/>
      <c r="D621" s="5"/>
      <c r="E621" s="5"/>
      <c r="F621" s="5"/>
      <c r="G621" s="5"/>
      <c r="H621" s="5"/>
      <c r="I621" s="3"/>
      <c r="J621" s="6"/>
      <c r="K621" s="69"/>
      <c r="L621" s="69"/>
      <c r="M621" s="69"/>
      <c r="N621" s="69"/>
      <c r="O621" s="69"/>
      <c r="P621" s="69"/>
      <c r="Q621" s="69"/>
      <c r="R621" s="69"/>
      <c r="S621" s="69"/>
      <c r="T621" s="69"/>
      <c r="U621" s="69"/>
      <c r="V621" s="69"/>
      <c r="W621" s="69"/>
      <c r="X621" s="69"/>
      <c r="Y621" s="69"/>
      <c r="Z621" s="69"/>
      <c r="AA621" s="69"/>
      <c r="AB621" s="69"/>
      <c r="AC621" s="69"/>
      <c r="AD621" s="69"/>
      <c r="AE621" s="69"/>
      <c r="AF621" s="69"/>
      <c r="AG621" s="69"/>
    </row>
    <row r="622" spans="2:33" ht="12.75">
      <c r="B622" s="283"/>
      <c r="C622" s="5"/>
      <c r="D622" s="5"/>
      <c r="E622" s="5"/>
      <c r="F622" s="5"/>
      <c r="G622" s="5"/>
      <c r="H622" s="5"/>
      <c r="I622" s="3"/>
      <c r="J622" s="6"/>
      <c r="K622" s="69"/>
      <c r="L622" s="69"/>
      <c r="M622" s="69"/>
      <c r="N622" s="69"/>
      <c r="O622" s="69"/>
      <c r="P622" s="69"/>
      <c r="Q622" s="69"/>
      <c r="R622" s="69"/>
      <c r="S622" s="69"/>
      <c r="T622" s="69"/>
      <c r="U622" s="69"/>
      <c r="V622" s="69"/>
      <c r="W622" s="69"/>
      <c r="X622" s="69"/>
      <c r="Y622" s="69"/>
      <c r="Z622" s="69"/>
      <c r="AA622" s="69"/>
      <c r="AB622" s="69"/>
      <c r="AC622" s="69"/>
      <c r="AD622" s="69"/>
      <c r="AE622" s="69"/>
      <c r="AF622" s="69"/>
      <c r="AG622" s="69"/>
    </row>
    <row r="623" spans="2:33" ht="12.75">
      <c r="B623" s="283"/>
      <c r="C623" s="5"/>
      <c r="D623" s="5"/>
      <c r="E623" s="5"/>
      <c r="F623" s="5"/>
      <c r="G623" s="5"/>
      <c r="H623" s="5"/>
      <c r="I623" s="3"/>
      <c r="J623" s="6"/>
      <c r="K623" s="69"/>
      <c r="L623" s="69"/>
      <c r="M623" s="69"/>
      <c r="N623" s="69"/>
      <c r="O623" s="69"/>
      <c r="P623" s="69"/>
      <c r="Q623" s="69"/>
      <c r="R623" s="69"/>
      <c r="S623" s="69"/>
      <c r="T623" s="69"/>
      <c r="U623" s="69"/>
      <c r="V623" s="69"/>
      <c r="W623" s="69"/>
      <c r="X623" s="69"/>
      <c r="Y623" s="69"/>
      <c r="Z623" s="69"/>
      <c r="AA623" s="69"/>
      <c r="AB623" s="69"/>
      <c r="AC623" s="69"/>
      <c r="AD623" s="69"/>
      <c r="AE623" s="69"/>
      <c r="AF623" s="69"/>
      <c r="AG623" s="69"/>
    </row>
    <row r="624" spans="2:33" ht="12.75">
      <c r="B624" s="283"/>
      <c r="C624" s="5"/>
      <c r="D624" s="5"/>
      <c r="E624" s="5"/>
      <c r="F624" s="5"/>
      <c r="G624" s="5"/>
      <c r="H624" s="5"/>
      <c r="I624" s="3"/>
      <c r="J624" s="6"/>
      <c r="K624" s="69"/>
      <c r="L624" s="69"/>
      <c r="M624" s="69"/>
      <c r="N624" s="69"/>
      <c r="O624" s="69"/>
      <c r="P624" s="69"/>
      <c r="Q624" s="69"/>
      <c r="R624" s="69"/>
      <c r="S624" s="69"/>
      <c r="T624" s="69"/>
      <c r="U624" s="69"/>
      <c r="V624" s="69"/>
      <c r="W624" s="69"/>
      <c r="X624" s="69"/>
      <c r="Y624" s="69"/>
      <c r="Z624" s="69"/>
      <c r="AA624" s="69"/>
      <c r="AB624" s="69"/>
      <c r="AC624" s="69"/>
      <c r="AD624" s="69"/>
      <c r="AE624" s="69"/>
      <c r="AF624" s="69"/>
      <c r="AG624" s="69"/>
    </row>
    <row r="625" spans="2:33" ht="12.75">
      <c r="B625" s="283"/>
      <c r="C625" s="5"/>
      <c r="D625" s="5"/>
      <c r="E625" s="5"/>
      <c r="F625" s="5"/>
      <c r="G625" s="5"/>
      <c r="H625" s="5"/>
      <c r="I625" s="3"/>
      <c r="J625" s="6"/>
      <c r="K625" s="69"/>
      <c r="L625" s="69"/>
      <c r="M625" s="69"/>
      <c r="N625" s="69"/>
      <c r="O625" s="69"/>
      <c r="P625" s="69"/>
      <c r="Q625" s="69"/>
      <c r="R625" s="69"/>
      <c r="S625" s="69"/>
      <c r="T625" s="69"/>
      <c r="U625" s="69"/>
      <c r="V625" s="69"/>
      <c r="W625" s="69"/>
      <c r="X625" s="69"/>
      <c r="Y625" s="69"/>
      <c r="Z625" s="69"/>
      <c r="AA625" s="69"/>
      <c r="AB625" s="69"/>
      <c r="AC625" s="69"/>
      <c r="AD625" s="69"/>
      <c r="AE625" s="69"/>
      <c r="AF625" s="69"/>
      <c r="AG625" s="69"/>
    </row>
    <row r="626" spans="2:33" ht="12.75">
      <c r="B626" s="283"/>
      <c r="C626" s="5"/>
      <c r="D626" s="5"/>
      <c r="E626" s="5"/>
      <c r="F626" s="5"/>
      <c r="G626" s="5"/>
      <c r="H626" s="5"/>
      <c r="I626" s="3"/>
      <c r="J626" s="6"/>
      <c r="K626" s="69"/>
      <c r="L626" s="69"/>
      <c r="M626" s="69"/>
      <c r="N626" s="69"/>
      <c r="O626" s="69"/>
      <c r="P626" s="69"/>
      <c r="Q626" s="69"/>
      <c r="R626" s="69"/>
      <c r="S626" s="69"/>
      <c r="T626" s="69"/>
      <c r="U626" s="69"/>
      <c r="V626" s="69"/>
      <c r="W626" s="69"/>
      <c r="X626" s="69"/>
      <c r="Y626" s="69"/>
      <c r="Z626" s="69"/>
      <c r="AA626" s="69"/>
      <c r="AB626" s="69"/>
      <c r="AC626" s="69"/>
      <c r="AD626" s="69"/>
      <c r="AE626" s="69"/>
      <c r="AF626" s="69"/>
      <c r="AG626" s="69"/>
    </row>
    <row r="627" spans="2:33" ht="12.75">
      <c r="B627" s="283"/>
      <c r="C627" s="5"/>
      <c r="D627" s="5"/>
      <c r="E627" s="5"/>
      <c r="F627" s="5"/>
      <c r="G627" s="5"/>
      <c r="H627" s="5"/>
      <c r="I627" s="3"/>
      <c r="J627" s="6"/>
      <c r="K627" s="69"/>
      <c r="L627" s="69"/>
      <c r="M627" s="69"/>
      <c r="N627" s="69"/>
      <c r="O627" s="69"/>
      <c r="P627" s="69"/>
      <c r="Q627" s="69"/>
      <c r="R627" s="69"/>
      <c r="S627" s="69"/>
      <c r="T627" s="69"/>
      <c r="U627" s="69"/>
      <c r="V627" s="69"/>
      <c r="W627" s="69"/>
      <c r="X627" s="69"/>
      <c r="Y627" s="69"/>
      <c r="Z627" s="69"/>
      <c r="AA627" s="69"/>
      <c r="AB627" s="69"/>
      <c r="AC627" s="69"/>
      <c r="AD627" s="69"/>
      <c r="AE627" s="69"/>
      <c r="AF627" s="69"/>
      <c r="AG627" s="69"/>
    </row>
    <row r="628" spans="2:33" ht="12.75">
      <c r="B628" s="283"/>
      <c r="C628" s="5"/>
      <c r="D628" s="5"/>
      <c r="E628" s="5"/>
      <c r="F628" s="5"/>
      <c r="G628" s="5"/>
      <c r="H628" s="5"/>
      <c r="I628" s="3"/>
      <c r="J628" s="6"/>
      <c r="K628" s="69"/>
      <c r="L628" s="69"/>
      <c r="M628" s="69"/>
      <c r="N628" s="69"/>
      <c r="O628" s="69"/>
      <c r="P628" s="69"/>
      <c r="Q628" s="69"/>
      <c r="R628" s="69"/>
      <c r="S628" s="69"/>
      <c r="T628" s="69"/>
      <c r="U628" s="69"/>
      <c r="V628" s="69"/>
      <c r="W628" s="69"/>
      <c r="X628" s="69"/>
      <c r="Y628" s="69"/>
      <c r="Z628" s="69"/>
      <c r="AA628" s="69"/>
      <c r="AB628" s="69"/>
      <c r="AC628" s="69"/>
      <c r="AD628" s="69"/>
      <c r="AE628" s="69"/>
      <c r="AF628" s="69"/>
      <c r="AG628" s="69"/>
    </row>
    <row r="629" spans="2:33" ht="12.75">
      <c r="B629" s="283"/>
      <c r="C629" s="5"/>
      <c r="D629" s="5"/>
      <c r="E629" s="5"/>
      <c r="F629" s="5"/>
      <c r="G629" s="5"/>
      <c r="H629" s="5"/>
      <c r="I629" s="3"/>
      <c r="J629" s="6"/>
      <c r="K629" s="69"/>
      <c r="L629" s="69"/>
      <c r="M629" s="69"/>
      <c r="N629" s="69"/>
      <c r="O629" s="69"/>
      <c r="P629" s="69"/>
      <c r="Q629" s="69"/>
      <c r="R629" s="69"/>
      <c r="S629" s="69"/>
      <c r="T629" s="69"/>
      <c r="U629" s="69"/>
      <c r="V629" s="69"/>
      <c r="W629" s="69"/>
      <c r="X629" s="69"/>
      <c r="Y629" s="69"/>
      <c r="Z629" s="69"/>
      <c r="AA629" s="69"/>
      <c r="AB629" s="69"/>
      <c r="AC629" s="69"/>
      <c r="AD629" s="69"/>
      <c r="AE629" s="69"/>
      <c r="AF629" s="69"/>
      <c r="AG629" s="69"/>
    </row>
    <row r="630" spans="2:33" ht="12.75">
      <c r="B630" s="283"/>
      <c r="C630" s="5"/>
      <c r="D630" s="5"/>
      <c r="E630" s="5"/>
      <c r="F630" s="5"/>
      <c r="G630" s="5"/>
      <c r="H630" s="5"/>
      <c r="I630" s="3"/>
      <c r="J630" s="6"/>
      <c r="K630" s="69"/>
      <c r="L630" s="69"/>
      <c r="M630" s="69"/>
      <c r="N630" s="69"/>
      <c r="O630" s="69"/>
      <c r="P630" s="69"/>
      <c r="Q630" s="69"/>
      <c r="R630" s="69"/>
      <c r="S630" s="69"/>
      <c r="T630" s="69"/>
      <c r="U630" s="69"/>
      <c r="V630" s="69"/>
      <c r="W630" s="69"/>
      <c r="X630" s="69"/>
      <c r="Y630" s="69"/>
      <c r="Z630" s="69"/>
      <c r="AA630" s="69"/>
      <c r="AB630" s="69"/>
      <c r="AC630" s="69"/>
      <c r="AD630" s="69"/>
      <c r="AE630" s="69"/>
      <c r="AF630" s="69"/>
      <c r="AG630" s="69"/>
    </row>
    <row r="631" spans="2:33" ht="12.75">
      <c r="B631" s="283"/>
      <c r="C631" s="5"/>
      <c r="D631" s="5"/>
      <c r="E631" s="5"/>
      <c r="F631" s="5"/>
      <c r="G631" s="5"/>
      <c r="H631" s="5"/>
      <c r="I631" s="3"/>
      <c r="J631" s="6"/>
      <c r="K631" s="69"/>
      <c r="L631" s="69"/>
      <c r="M631" s="69"/>
      <c r="N631" s="69"/>
      <c r="O631" s="69"/>
      <c r="P631" s="69"/>
      <c r="Q631" s="69"/>
      <c r="R631" s="69"/>
      <c r="S631" s="69"/>
      <c r="T631" s="69"/>
      <c r="U631" s="69"/>
      <c r="V631" s="69"/>
      <c r="W631" s="69"/>
      <c r="X631" s="69"/>
      <c r="Y631" s="69"/>
      <c r="Z631" s="69"/>
      <c r="AA631" s="69"/>
      <c r="AB631" s="69"/>
      <c r="AC631" s="69"/>
      <c r="AD631" s="69"/>
      <c r="AE631" s="69"/>
      <c r="AF631" s="69"/>
      <c r="AG631" s="69"/>
    </row>
    <row r="632" spans="2:33" ht="12.75">
      <c r="B632" s="283"/>
      <c r="C632" s="5"/>
      <c r="D632" s="5"/>
      <c r="E632" s="5"/>
      <c r="F632" s="5"/>
      <c r="G632" s="5"/>
      <c r="H632" s="5"/>
      <c r="I632" s="3"/>
      <c r="J632" s="6"/>
      <c r="K632" s="69"/>
      <c r="L632" s="69"/>
      <c r="M632" s="69"/>
      <c r="N632" s="69"/>
      <c r="O632" s="69"/>
      <c r="P632" s="69"/>
      <c r="Q632" s="69"/>
      <c r="R632" s="69"/>
      <c r="S632" s="69"/>
      <c r="T632" s="69"/>
      <c r="U632" s="69"/>
      <c r="V632" s="69"/>
      <c r="W632" s="69"/>
      <c r="X632" s="69"/>
      <c r="Y632" s="69"/>
      <c r="Z632" s="69"/>
      <c r="AA632" s="69"/>
      <c r="AB632" s="69"/>
      <c r="AC632" s="69"/>
      <c r="AD632" s="69"/>
      <c r="AE632" s="69"/>
      <c r="AF632" s="69"/>
      <c r="AG632" s="69"/>
    </row>
    <row r="633" spans="2:33" ht="12.75">
      <c r="B633" s="283"/>
      <c r="C633" s="5"/>
      <c r="D633" s="5"/>
      <c r="E633" s="5"/>
      <c r="F633" s="5"/>
      <c r="G633" s="5"/>
      <c r="H633" s="5"/>
      <c r="I633" s="3"/>
      <c r="J633" s="6"/>
      <c r="K633" s="69"/>
      <c r="L633" s="69"/>
      <c r="M633" s="69"/>
      <c r="N633" s="69"/>
      <c r="O633" s="69"/>
      <c r="P633" s="69"/>
      <c r="Q633" s="69"/>
      <c r="R633" s="69"/>
      <c r="S633" s="69"/>
      <c r="T633" s="69"/>
      <c r="U633" s="69"/>
      <c r="V633" s="69"/>
      <c r="W633" s="69"/>
      <c r="X633" s="69"/>
      <c r="Y633" s="69"/>
      <c r="Z633" s="69"/>
      <c r="AA633" s="69"/>
      <c r="AB633" s="69"/>
      <c r="AC633" s="69"/>
      <c r="AD633" s="69"/>
      <c r="AE633" s="69"/>
      <c r="AF633" s="69"/>
      <c r="AG633" s="69"/>
    </row>
    <row r="634" spans="2:33" ht="12.75">
      <c r="B634" s="283"/>
      <c r="C634" s="5"/>
      <c r="D634" s="5"/>
      <c r="E634" s="5"/>
      <c r="F634" s="5"/>
      <c r="G634" s="5"/>
      <c r="H634" s="5"/>
      <c r="I634" s="3"/>
      <c r="J634" s="6"/>
      <c r="K634" s="69"/>
      <c r="L634" s="69"/>
      <c r="M634" s="69"/>
      <c r="N634" s="69"/>
      <c r="O634" s="69"/>
      <c r="P634" s="69"/>
      <c r="Q634" s="69"/>
      <c r="R634" s="69"/>
      <c r="S634" s="69"/>
      <c r="T634" s="69"/>
      <c r="U634" s="69"/>
      <c r="V634" s="69"/>
      <c r="W634" s="69"/>
      <c r="X634" s="69"/>
      <c r="Y634" s="69"/>
      <c r="Z634" s="69"/>
      <c r="AA634" s="69"/>
      <c r="AB634" s="69"/>
      <c r="AC634" s="69"/>
      <c r="AD634" s="69"/>
      <c r="AE634" s="69"/>
      <c r="AF634" s="69"/>
      <c r="AG634" s="69"/>
    </row>
    <row r="635" spans="2:33" ht="12.75">
      <c r="B635" s="283"/>
      <c r="C635" s="5"/>
      <c r="D635" s="5"/>
      <c r="E635" s="5"/>
      <c r="F635" s="5"/>
      <c r="G635" s="5"/>
      <c r="H635" s="5"/>
      <c r="I635" s="3"/>
      <c r="J635" s="6"/>
      <c r="K635" s="69"/>
      <c r="L635" s="69"/>
      <c r="M635" s="69"/>
      <c r="N635" s="69"/>
      <c r="O635" s="69"/>
      <c r="P635" s="69"/>
      <c r="Q635" s="69"/>
      <c r="R635" s="69"/>
      <c r="S635" s="69"/>
      <c r="T635" s="69"/>
      <c r="U635" s="69"/>
      <c r="V635" s="69"/>
      <c r="W635" s="69"/>
      <c r="X635" s="69"/>
      <c r="Y635" s="69"/>
      <c r="Z635" s="69"/>
      <c r="AA635" s="69"/>
      <c r="AB635" s="69"/>
      <c r="AC635" s="69"/>
      <c r="AD635" s="69"/>
      <c r="AE635" s="69"/>
      <c r="AF635" s="69"/>
      <c r="AG635" s="69"/>
    </row>
    <row r="636" spans="2:33" ht="12.75">
      <c r="B636" s="283"/>
      <c r="C636" s="5"/>
      <c r="D636" s="5"/>
      <c r="E636" s="5"/>
      <c r="F636" s="5"/>
      <c r="G636" s="5"/>
      <c r="H636" s="5"/>
      <c r="I636" s="3"/>
      <c r="J636" s="6"/>
      <c r="K636" s="69"/>
      <c r="L636" s="69"/>
      <c r="M636" s="69"/>
      <c r="N636" s="69"/>
      <c r="O636" s="69"/>
      <c r="P636" s="69"/>
      <c r="Q636" s="69"/>
      <c r="R636" s="69"/>
      <c r="S636" s="69"/>
      <c r="T636" s="69"/>
      <c r="U636" s="69"/>
      <c r="V636" s="69"/>
      <c r="W636" s="69"/>
      <c r="X636" s="69"/>
      <c r="Y636" s="69"/>
      <c r="Z636" s="69"/>
      <c r="AA636" s="69"/>
      <c r="AB636" s="69"/>
      <c r="AC636" s="69"/>
      <c r="AD636" s="69"/>
      <c r="AE636" s="69"/>
      <c r="AF636" s="69"/>
      <c r="AG636" s="69"/>
    </row>
    <row r="637" spans="2:33" ht="12.75">
      <c r="B637" s="283"/>
      <c r="C637" s="5"/>
      <c r="D637" s="5"/>
      <c r="E637" s="5"/>
      <c r="F637" s="5"/>
      <c r="G637" s="5"/>
      <c r="H637" s="5"/>
      <c r="I637" s="3"/>
      <c r="J637" s="6"/>
      <c r="K637" s="69"/>
      <c r="L637" s="69"/>
      <c r="M637" s="69"/>
      <c r="N637" s="69"/>
      <c r="O637" s="69"/>
      <c r="P637" s="69"/>
      <c r="Q637" s="69"/>
      <c r="R637" s="69"/>
      <c r="S637" s="69"/>
      <c r="T637" s="69"/>
      <c r="U637" s="69"/>
      <c r="V637" s="69"/>
      <c r="W637" s="69"/>
      <c r="X637" s="69"/>
      <c r="Y637" s="69"/>
      <c r="Z637" s="69"/>
      <c r="AA637" s="69"/>
      <c r="AB637" s="69"/>
      <c r="AC637" s="69"/>
      <c r="AD637" s="69"/>
      <c r="AE637" s="69"/>
      <c r="AF637" s="69"/>
      <c r="AG637" s="69"/>
    </row>
    <row r="638" spans="2:33" ht="12.75">
      <c r="B638" s="283"/>
      <c r="C638" s="5"/>
      <c r="D638" s="5"/>
      <c r="E638" s="5"/>
      <c r="F638" s="5"/>
      <c r="G638" s="5"/>
      <c r="H638" s="5"/>
      <c r="I638" s="3"/>
      <c r="J638" s="6"/>
      <c r="K638" s="69"/>
      <c r="L638" s="69"/>
      <c r="M638" s="69"/>
      <c r="N638" s="69"/>
      <c r="O638" s="69"/>
      <c r="P638" s="69"/>
      <c r="Q638" s="69"/>
      <c r="R638" s="69"/>
      <c r="S638" s="69"/>
      <c r="T638" s="69"/>
      <c r="U638" s="69"/>
      <c r="V638" s="69"/>
      <c r="W638" s="69"/>
      <c r="X638" s="69"/>
      <c r="Y638" s="69"/>
      <c r="Z638" s="69"/>
      <c r="AA638" s="69"/>
      <c r="AB638" s="69"/>
      <c r="AC638" s="69"/>
      <c r="AD638" s="69"/>
      <c r="AE638" s="69"/>
      <c r="AF638" s="69"/>
      <c r="AG638" s="69"/>
    </row>
    <row r="639" spans="2:33" ht="12.75">
      <c r="B639" s="283"/>
      <c r="C639" s="5"/>
      <c r="D639" s="5"/>
      <c r="E639" s="5"/>
      <c r="F639" s="5"/>
      <c r="G639" s="5"/>
      <c r="H639" s="5"/>
      <c r="I639" s="3"/>
      <c r="J639" s="6"/>
      <c r="K639" s="69"/>
      <c r="L639" s="69"/>
      <c r="M639" s="69"/>
      <c r="N639" s="69"/>
      <c r="O639" s="69"/>
      <c r="P639" s="69"/>
      <c r="Q639" s="69"/>
      <c r="R639" s="69"/>
      <c r="S639" s="69"/>
      <c r="T639" s="69"/>
      <c r="U639" s="69"/>
      <c r="V639" s="69"/>
      <c r="W639" s="69"/>
      <c r="X639" s="69"/>
      <c r="Y639" s="69"/>
      <c r="Z639" s="69"/>
      <c r="AA639" s="69"/>
      <c r="AB639" s="69"/>
      <c r="AC639" s="69"/>
      <c r="AD639" s="69"/>
      <c r="AE639" s="69"/>
      <c r="AF639" s="69"/>
      <c r="AG639" s="69"/>
    </row>
    <row r="640" spans="2:33" ht="12.75">
      <c r="B640" s="283"/>
      <c r="C640" s="5"/>
      <c r="D640" s="5"/>
      <c r="E640" s="5"/>
      <c r="F640" s="5"/>
      <c r="G640" s="5"/>
      <c r="H640" s="5"/>
      <c r="I640" s="3"/>
      <c r="J640" s="6"/>
      <c r="K640" s="69"/>
      <c r="L640" s="69"/>
      <c r="M640" s="69"/>
      <c r="N640" s="69"/>
      <c r="O640" s="69"/>
      <c r="P640" s="69"/>
      <c r="Q640" s="69"/>
      <c r="R640" s="69"/>
      <c r="S640" s="69"/>
      <c r="T640" s="69"/>
      <c r="U640" s="69"/>
      <c r="V640" s="69"/>
      <c r="W640" s="69"/>
      <c r="X640" s="69"/>
      <c r="Y640" s="69"/>
      <c r="Z640" s="69"/>
      <c r="AA640" s="69"/>
      <c r="AB640" s="69"/>
      <c r="AC640" s="69"/>
      <c r="AD640" s="69"/>
      <c r="AE640" s="69"/>
      <c r="AF640" s="69"/>
      <c r="AG640" s="69"/>
    </row>
    <row r="641" spans="2:33" ht="12.75">
      <c r="B641" s="283"/>
      <c r="C641" s="5"/>
      <c r="D641" s="5"/>
      <c r="E641" s="5"/>
      <c r="F641" s="5"/>
      <c r="G641" s="5"/>
      <c r="H641" s="5"/>
      <c r="I641" s="3"/>
      <c r="J641" s="6"/>
      <c r="K641" s="69"/>
      <c r="L641" s="69"/>
      <c r="M641" s="69"/>
      <c r="N641" s="69"/>
      <c r="O641" s="69"/>
      <c r="P641" s="69"/>
      <c r="Q641" s="69"/>
      <c r="R641" s="69"/>
      <c r="S641" s="69"/>
      <c r="T641" s="69"/>
      <c r="U641" s="69"/>
      <c r="V641" s="69"/>
      <c r="W641" s="69"/>
      <c r="X641" s="69"/>
      <c r="Y641" s="69"/>
      <c r="Z641" s="69"/>
      <c r="AA641" s="69"/>
      <c r="AB641" s="69"/>
      <c r="AC641" s="69"/>
      <c r="AD641" s="69"/>
      <c r="AE641" s="69"/>
      <c r="AF641" s="69"/>
      <c r="AG641" s="69"/>
    </row>
    <row r="642" spans="2:33" ht="12.75">
      <c r="B642" s="283"/>
      <c r="C642" s="5"/>
      <c r="D642" s="5"/>
      <c r="E642" s="5"/>
      <c r="F642" s="5"/>
      <c r="G642" s="5"/>
      <c r="H642" s="5"/>
      <c r="I642" s="3"/>
      <c r="J642" s="6"/>
      <c r="K642" s="69"/>
      <c r="L642" s="69"/>
      <c r="M642" s="69"/>
      <c r="N642" s="69"/>
      <c r="O642" s="69"/>
      <c r="P642" s="69"/>
      <c r="Q642" s="69"/>
      <c r="R642" s="69"/>
      <c r="S642" s="69"/>
      <c r="T642" s="69"/>
      <c r="U642" s="69"/>
      <c r="V642" s="69"/>
      <c r="W642" s="69"/>
      <c r="X642" s="69"/>
      <c r="Y642" s="69"/>
      <c r="Z642" s="69"/>
      <c r="AA642" s="69"/>
      <c r="AB642" s="69"/>
      <c r="AC642" s="69"/>
      <c r="AD642" s="69"/>
      <c r="AE642" s="69"/>
      <c r="AF642" s="69"/>
      <c r="AG642" s="69"/>
    </row>
    <row r="643" spans="2:33" ht="12.75">
      <c r="B643" s="283"/>
      <c r="C643" s="5"/>
      <c r="D643" s="5"/>
      <c r="E643" s="5"/>
      <c r="F643" s="5"/>
      <c r="G643" s="5"/>
      <c r="H643" s="5"/>
      <c r="I643" s="3"/>
      <c r="J643" s="6"/>
      <c r="K643" s="69"/>
      <c r="L643" s="69"/>
      <c r="M643" s="69"/>
      <c r="N643" s="69"/>
      <c r="O643" s="69"/>
      <c r="P643" s="69"/>
      <c r="Q643" s="69"/>
      <c r="R643" s="69"/>
      <c r="S643" s="69"/>
      <c r="T643" s="69"/>
      <c r="U643" s="69"/>
      <c r="V643" s="69"/>
      <c r="W643" s="69"/>
      <c r="X643" s="69"/>
      <c r="Y643" s="69"/>
      <c r="Z643" s="69"/>
      <c r="AA643" s="69"/>
      <c r="AB643" s="69"/>
      <c r="AC643" s="69"/>
      <c r="AD643" s="69"/>
      <c r="AE643" s="69"/>
      <c r="AF643" s="69"/>
      <c r="AG643" s="69"/>
    </row>
    <row r="644" spans="2:33" ht="12.75">
      <c r="B644" s="283"/>
      <c r="C644" s="5"/>
      <c r="D644" s="5"/>
      <c r="E644" s="5"/>
      <c r="F644" s="5"/>
      <c r="G644" s="5"/>
      <c r="H644" s="5"/>
      <c r="I644" s="3"/>
      <c r="J644" s="6"/>
      <c r="K644" s="69"/>
      <c r="L644" s="69"/>
      <c r="M644" s="69"/>
      <c r="N644" s="69"/>
      <c r="O644" s="69"/>
      <c r="P644" s="69"/>
      <c r="Q644" s="69"/>
      <c r="R644" s="69"/>
      <c r="S644" s="69"/>
      <c r="T644" s="69"/>
      <c r="U644" s="69"/>
      <c r="V644" s="69"/>
      <c r="W644" s="69"/>
      <c r="X644" s="69"/>
      <c r="Y644" s="69"/>
      <c r="Z644" s="69"/>
      <c r="AA644" s="69"/>
      <c r="AB644" s="69"/>
      <c r="AC644" s="69"/>
      <c r="AD644" s="69"/>
      <c r="AE644" s="69"/>
      <c r="AF644" s="69"/>
      <c r="AG644" s="69"/>
    </row>
    <row r="645" spans="2:33" ht="12.75">
      <c r="B645" s="283"/>
      <c r="C645" s="5"/>
      <c r="D645" s="5"/>
      <c r="E645" s="5"/>
      <c r="F645" s="5"/>
      <c r="G645" s="5"/>
      <c r="H645" s="5"/>
      <c r="I645" s="3"/>
      <c r="J645" s="6"/>
      <c r="K645" s="69"/>
      <c r="L645" s="69"/>
      <c r="M645" s="69"/>
      <c r="N645" s="69"/>
      <c r="O645" s="69"/>
      <c r="P645" s="69"/>
      <c r="Q645" s="69"/>
      <c r="R645" s="69"/>
      <c r="S645" s="69"/>
      <c r="T645" s="69"/>
      <c r="U645" s="69"/>
      <c r="V645" s="69"/>
      <c r="W645" s="69"/>
      <c r="X645" s="69"/>
      <c r="Y645" s="69"/>
      <c r="Z645" s="69"/>
      <c r="AA645" s="69"/>
      <c r="AB645" s="69"/>
      <c r="AC645" s="69"/>
      <c r="AD645" s="69"/>
      <c r="AE645" s="69"/>
      <c r="AF645" s="69"/>
      <c r="AG645" s="69"/>
    </row>
    <row r="646" spans="2:33" ht="12.75">
      <c r="B646" s="283"/>
      <c r="C646" s="5"/>
      <c r="D646" s="5"/>
      <c r="E646" s="5"/>
      <c r="F646" s="5"/>
      <c r="G646" s="5"/>
      <c r="H646" s="5"/>
      <c r="I646" s="3"/>
      <c r="J646" s="6"/>
      <c r="K646" s="69"/>
      <c r="L646" s="69"/>
      <c r="M646" s="69"/>
      <c r="N646" s="69"/>
      <c r="O646" s="69"/>
      <c r="P646" s="69"/>
      <c r="Q646" s="69"/>
      <c r="R646" s="69"/>
      <c r="S646" s="69"/>
      <c r="T646" s="69"/>
      <c r="U646" s="69"/>
      <c r="V646" s="69"/>
      <c r="W646" s="69"/>
      <c r="X646" s="69"/>
      <c r="Y646" s="69"/>
      <c r="Z646" s="69"/>
      <c r="AA646" s="69"/>
      <c r="AB646" s="69"/>
      <c r="AC646" s="69"/>
      <c r="AD646" s="69"/>
      <c r="AE646" s="69"/>
      <c r="AF646" s="69"/>
      <c r="AG646" s="69"/>
    </row>
    <row r="647" spans="2:33" ht="12.75">
      <c r="B647" s="283"/>
      <c r="C647" s="5"/>
      <c r="D647" s="5"/>
      <c r="E647" s="5"/>
      <c r="F647" s="5"/>
      <c r="G647" s="5"/>
      <c r="H647" s="5"/>
      <c r="I647" s="3"/>
      <c r="J647" s="6"/>
      <c r="K647" s="69"/>
      <c r="L647" s="69"/>
      <c r="M647" s="69"/>
      <c r="N647" s="69"/>
      <c r="O647" s="69"/>
      <c r="P647" s="69"/>
      <c r="Q647" s="69"/>
      <c r="R647" s="69"/>
      <c r="S647" s="69"/>
      <c r="T647" s="69"/>
      <c r="U647" s="69"/>
      <c r="V647" s="69"/>
      <c r="W647" s="69"/>
      <c r="X647" s="69"/>
      <c r="Y647" s="69"/>
      <c r="Z647" s="69"/>
      <c r="AA647" s="69"/>
      <c r="AB647" s="69"/>
      <c r="AC647" s="69"/>
      <c r="AD647" s="69"/>
      <c r="AE647" s="69"/>
      <c r="AF647" s="69"/>
      <c r="AG647" s="69"/>
    </row>
    <row r="648" spans="2:33" ht="12.75">
      <c r="B648" s="283"/>
      <c r="C648" s="5"/>
      <c r="D648" s="5"/>
      <c r="E648" s="5"/>
      <c r="F648" s="5"/>
      <c r="G648" s="5"/>
      <c r="H648" s="5"/>
      <c r="I648" s="3"/>
      <c r="J648" s="6"/>
      <c r="K648" s="69"/>
      <c r="L648" s="69"/>
      <c r="M648" s="69"/>
      <c r="N648" s="69"/>
      <c r="O648" s="69"/>
      <c r="P648" s="69"/>
      <c r="Q648" s="69"/>
      <c r="R648" s="69"/>
      <c r="S648" s="69"/>
      <c r="T648" s="69"/>
      <c r="U648" s="69"/>
      <c r="V648" s="69"/>
      <c r="W648" s="69"/>
      <c r="X648" s="69"/>
      <c r="Y648" s="69"/>
      <c r="Z648" s="69"/>
      <c r="AA648" s="69"/>
      <c r="AB648" s="69"/>
      <c r="AC648" s="69"/>
      <c r="AD648" s="69"/>
      <c r="AE648" s="69"/>
      <c r="AF648" s="69"/>
      <c r="AG648" s="69"/>
    </row>
    <row r="649" spans="2:33" ht="12.75">
      <c r="B649" s="283"/>
      <c r="C649" s="5"/>
      <c r="D649" s="5"/>
      <c r="E649" s="5"/>
      <c r="F649" s="5"/>
      <c r="G649" s="5"/>
      <c r="H649" s="5"/>
      <c r="I649" s="3"/>
      <c r="J649" s="6"/>
      <c r="K649" s="69"/>
      <c r="L649" s="69"/>
      <c r="M649" s="69"/>
      <c r="N649" s="69"/>
      <c r="O649" s="69"/>
      <c r="P649" s="69"/>
      <c r="Q649" s="69"/>
      <c r="R649" s="69"/>
      <c r="S649" s="69"/>
      <c r="T649" s="69"/>
      <c r="U649" s="69"/>
      <c r="V649" s="69"/>
      <c r="W649" s="69"/>
      <c r="X649" s="69"/>
      <c r="Y649" s="69"/>
      <c r="Z649" s="69"/>
      <c r="AA649" s="69"/>
      <c r="AB649" s="69"/>
      <c r="AC649" s="69"/>
      <c r="AD649" s="69"/>
      <c r="AE649" s="69"/>
      <c r="AF649" s="69"/>
      <c r="AG649" s="69"/>
    </row>
    <row r="650" spans="2:33" ht="12.75">
      <c r="B650" s="283"/>
      <c r="C650" s="5"/>
      <c r="D650" s="5"/>
      <c r="E650" s="5"/>
      <c r="F650" s="5"/>
      <c r="G650" s="5"/>
      <c r="H650" s="5"/>
      <c r="I650" s="3"/>
      <c r="J650" s="6"/>
      <c r="K650" s="69"/>
      <c r="L650" s="69"/>
      <c r="M650" s="69"/>
      <c r="N650" s="69"/>
      <c r="O650" s="69"/>
      <c r="P650" s="69"/>
      <c r="Q650" s="69"/>
      <c r="R650" s="69"/>
      <c r="S650" s="69"/>
      <c r="T650" s="69"/>
      <c r="U650" s="69"/>
      <c r="V650" s="69"/>
      <c r="W650" s="69"/>
      <c r="X650" s="69"/>
      <c r="Y650" s="69"/>
      <c r="Z650" s="69"/>
      <c r="AA650" s="69"/>
      <c r="AB650" s="69"/>
      <c r="AC650" s="69"/>
      <c r="AD650" s="69"/>
      <c r="AE650" s="69"/>
      <c r="AF650" s="69"/>
      <c r="AG650" s="69"/>
    </row>
    <row r="651" spans="2:33" ht="12.75">
      <c r="B651" s="283"/>
      <c r="C651" s="5"/>
      <c r="D651" s="5"/>
      <c r="E651" s="5"/>
      <c r="F651" s="5"/>
      <c r="G651" s="5"/>
      <c r="H651" s="5"/>
      <c r="I651" s="3"/>
      <c r="J651" s="6"/>
      <c r="K651" s="69"/>
      <c r="L651" s="69"/>
      <c r="M651" s="69"/>
      <c r="N651" s="69"/>
      <c r="O651" s="69"/>
      <c r="P651" s="69"/>
      <c r="Q651" s="69"/>
      <c r="R651" s="69"/>
      <c r="S651" s="69"/>
      <c r="T651" s="69"/>
      <c r="U651" s="69"/>
      <c r="V651" s="69"/>
      <c r="W651" s="69"/>
      <c r="X651" s="69"/>
      <c r="Y651" s="69"/>
      <c r="Z651" s="69"/>
      <c r="AA651" s="69"/>
      <c r="AB651" s="69"/>
      <c r="AC651" s="69"/>
      <c r="AD651" s="69"/>
      <c r="AE651" s="69"/>
      <c r="AF651" s="69"/>
      <c r="AG651" s="69"/>
    </row>
    <row r="652" spans="2:33" ht="12.75">
      <c r="B652" s="283"/>
      <c r="C652" s="5"/>
      <c r="D652" s="5"/>
      <c r="E652" s="5"/>
      <c r="F652" s="5"/>
      <c r="G652" s="5"/>
      <c r="H652" s="5"/>
      <c r="I652" s="3"/>
      <c r="J652" s="6"/>
      <c r="K652" s="69"/>
      <c r="L652" s="69"/>
      <c r="M652" s="69"/>
      <c r="N652" s="69"/>
      <c r="O652" s="69"/>
      <c r="P652" s="69"/>
      <c r="Q652" s="69"/>
      <c r="R652" s="69"/>
      <c r="S652" s="69"/>
      <c r="T652" s="69"/>
      <c r="U652" s="69"/>
      <c r="V652" s="69"/>
      <c r="W652" s="69"/>
      <c r="X652" s="69"/>
      <c r="Y652" s="69"/>
      <c r="Z652" s="69"/>
      <c r="AA652" s="69"/>
      <c r="AB652" s="69"/>
      <c r="AC652" s="69"/>
      <c r="AD652" s="69"/>
      <c r="AE652" s="69"/>
      <c r="AF652" s="69"/>
      <c r="AG652" s="69"/>
    </row>
    <row r="653" spans="2:33" ht="12.75">
      <c r="B653" s="283"/>
      <c r="C653" s="5"/>
      <c r="D653" s="5"/>
      <c r="E653" s="5"/>
      <c r="F653" s="5"/>
      <c r="G653" s="5"/>
      <c r="H653" s="5"/>
      <c r="I653" s="3"/>
      <c r="J653" s="6"/>
      <c r="K653" s="69"/>
      <c r="L653" s="69"/>
      <c r="M653" s="69"/>
      <c r="N653" s="69"/>
      <c r="O653" s="69"/>
      <c r="P653" s="69"/>
      <c r="Q653" s="69"/>
      <c r="R653" s="69"/>
      <c r="S653" s="69"/>
      <c r="T653" s="69"/>
      <c r="U653" s="69"/>
      <c r="V653" s="69"/>
      <c r="W653" s="69"/>
      <c r="X653" s="69"/>
      <c r="Y653" s="69"/>
      <c r="Z653" s="69"/>
      <c r="AA653" s="69"/>
      <c r="AB653" s="69"/>
      <c r="AC653" s="69"/>
      <c r="AD653" s="69"/>
      <c r="AE653" s="69"/>
      <c r="AF653" s="69"/>
      <c r="AG653" s="69"/>
    </row>
    <row r="654" spans="2:33" ht="12.75">
      <c r="B654" s="283"/>
      <c r="C654" s="5"/>
      <c r="D654" s="5"/>
      <c r="E654" s="5"/>
      <c r="F654" s="5"/>
      <c r="G654" s="5"/>
      <c r="H654" s="5"/>
      <c r="I654" s="3"/>
      <c r="J654" s="6"/>
      <c r="K654" s="69"/>
      <c r="L654" s="69"/>
      <c r="M654" s="69"/>
      <c r="N654" s="69"/>
      <c r="O654" s="69"/>
      <c r="P654" s="69"/>
      <c r="Q654" s="69"/>
      <c r="R654" s="69"/>
      <c r="S654" s="69"/>
      <c r="T654" s="69"/>
      <c r="U654" s="69"/>
      <c r="V654" s="69"/>
      <c r="W654" s="69"/>
      <c r="X654" s="69"/>
      <c r="Y654" s="69"/>
      <c r="Z654" s="69"/>
      <c r="AA654" s="69"/>
      <c r="AB654" s="69"/>
      <c r="AC654" s="69"/>
      <c r="AD654" s="69"/>
      <c r="AE654" s="69"/>
      <c r="AF654" s="69"/>
      <c r="AG654" s="69"/>
    </row>
    <row r="655" spans="2:33" ht="12.75">
      <c r="B655" s="283"/>
      <c r="C655" s="5"/>
      <c r="D655" s="5"/>
      <c r="E655" s="5"/>
      <c r="F655" s="5"/>
      <c r="G655" s="5"/>
      <c r="H655" s="5"/>
      <c r="I655" s="3"/>
      <c r="J655" s="6"/>
      <c r="K655" s="69"/>
      <c r="L655" s="69"/>
      <c r="M655" s="69"/>
      <c r="N655" s="69"/>
      <c r="O655" s="69"/>
      <c r="P655" s="69"/>
      <c r="Q655" s="69"/>
      <c r="R655" s="69"/>
      <c r="S655" s="69"/>
      <c r="T655" s="69"/>
      <c r="U655" s="69"/>
      <c r="V655" s="69"/>
      <c r="W655" s="69"/>
      <c r="X655" s="69"/>
      <c r="Y655" s="69"/>
      <c r="Z655" s="69"/>
      <c r="AA655" s="69"/>
      <c r="AB655" s="69"/>
      <c r="AC655" s="69"/>
      <c r="AD655" s="69"/>
      <c r="AE655" s="69"/>
      <c r="AF655" s="69"/>
      <c r="AG655" s="69"/>
    </row>
    <row r="656" spans="2:33" ht="12.75">
      <c r="B656" s="283"/>
      <c r="C656" s="5"/>
      <c r="D656" s="5"/>
      <c r="E656" s="5"/>
      <c r="F656" s="5"/>
      <c r="G656" s="5"/>
      <c r="H656" s="5"/>
      <c r="I656" s="3"/>
      <c r="J656" s="6"/>
      <c r="K656" s="69"/>
      <c r="L656" s="69"/>
      <c r="M656" s="69"/>
      <c r="N656" s="69"/>
      <c r="O656" s="69"/>
      <c r="P656" s="69"/>
      <c r="Q656" s="69"/>
      <c r="R656" s="69"/>
      <c r="S656" s="69"/>
      <c r="T656" s="69"/>
      <c r="U656" s="69"/>
      <c r="V656" s="69"/>
      <c r="W656" s="69"/>
      <c r="X656" s="69"/>
      <c r="Y656" s="69"/>
      <c r="Z656" s="69"/>
      <c r="AA656" s="69"/>
      <c r="AB656" s="69"/>
      <c r="AC656" s="69"/>
      <c r="AD656" s="69"/>
      <c r="AE656" s="69"/>
      <c r="AF656" s="69"/>
      <c r="AG656" s="69"/>
    </row>
    <row r="657" spans="2:33" ht="12.75">
      <c r="B657" s="283"/>
      <c r="C657" s="5"/>
      <c r="D657" s="5"/>
      <c r="E657" s="5"/>
      <c r="F657" s="5"/>
      <c r="G657" s="5"/>
      <c r="H657" s="5"/>
      <c r="I657" s="3"/>
      <c r="J657" s="6"/>
      <c r="K657" s="69"/>
      <c r="L657" s="69"/>
      <c r="M657" s="69"/>
      <c r="N657" s="69"/>
      <c r="O657" s="69"/>
      <c r="P657" s="69"/>
      <c r="Q657" s="69"/>
      <c r="R657" s="69"/>
      <c r="S657" s="69"/>
      <c r="T657" s="69"/>
      <c r="U657" s="69"/>
      <c r="V657" s="69"/>
      <c r="W657" s="69"/>
      <c r="X657" s="69"/>
      <c r="Y657" s="69"/>
      <c r="Z657" s="69"/>
      <c r="AA657" s="69"/>
      <c r="AB657" s="69"/>
      <c r="AC657" s="69"/>
      <c r="AD657" s="69"/>
      <c r="AE657" s="69"/>
      <c r="AF657" s="69"/>
      <c r="AG657" s="69"/>
    </row>
    <row r="658" spans="2:33" ht="12.75">
      <c r="B658" s="283"/>
      <c r="C658" s="5"/>
      <c r="D658" s="5"/>
      <c r="E658" s="5"/>
      <c r="F658" s="5"/>
      <c r="G658" s="5"/>
      <c r="H658" s="5"/>
      <c r="I658" s="3"/>
      <c r="J658" s="6"/>
      <c r="K658" s="69"/>
      <c r="L658" s="69"/>
      <c r="M658" s="69"/>
      <c r="N658" s="69"/>
      <c r="O658" s="69"/>
      <c r="P658" s="69"/>
      <c r="Q658" s="69"/>
      <c r="R658" s="69"/>
      <c r="S658" s="69"/>
      <c r="T658" s="69"/>
      <c r="U658" s="69"/>
      <c r="V658" s="69"/>
      <c r="W658" s="69"/>
      <c r="X658" s="69"/>
      <c r="Y658" s="69"/>
      <c r="Z658" s="69"/>
      <c r="AA658" s="69"/>
      <c r="AB658" s="69"/>
      <c r="AC658" s="69"/>
      <c r="AD658" s="69"/>
      <c r="AE658" s="69"/>
      <c r="AF658" s="69"/>
      <c r="AG658" s="69"/>
    </row>
    <row r="659" spans="2:33" ht="12.75">
      <c r="B659" s="283"/>
      <c r="C659" s="5"/>
      <c r="D659" s="5"/>
      <c r="E659" s="5"/>
      <c r="F659" s="5"/>
      <c r="G659" s="5"/>
      <c r="H659" s="5"/>
      <c r="I659" s="3"/>
      <c r="J659" s="6"/>
      <c r="K659" s="69"/>
      <c r="L659" s="69"/>
      <c r="M659" s="69"/>
      <c r="N659" s="69"/>
      <c r="O659" s="69"/>
      <c r="P659" s="69"/>
      <c r="Q659" s="69"/>
      <c r="R659" s="69"/>
      <c r="S659" s="69"/>
      <c r="T659" s="69"/>
      <c r="U659" s="69"/>
      <c r="V659" s="69"/>
      <c r="W659" s="69"/>
      <c r="X659" s="69"/>
      <c r="Y659" s="69"/>
      <c r="Z659" s="69"/>
      <c r="AA659" s="69"/>
      <c r="AB659" s="69"/>
      <c r="AC659" s="69"/>
      <c r="AD659" s="69"/>
      <c r="AE659" s="69"/>
      <c r="AF659" s="69"/>
      <c r="AG659" s="69"/>
    </row>
    <row r="660" spans="2:33" ht="12.75">
      <c r="B660" s="283"/>
      <c r="C660" s="5"/>
      <c r="D660" s="5"/>
      <c r="E660" s="5"/>
      <c r="F660" s="5"/>
      <c r="G660" s="5"/>
      <c r="H660" s="5"/>
      <c r="I660" s="3"/>
      <c r="J660" s="6"/>
      <c r="K660" s="69"/>
      <c r="L660" s="69"/>
      <c r="M660" s="69"/>
      <c r="N660" s="69"/>
      <c r="O660" s="69"/>
      <c r="P660" s="69"/>
      <c r="Q660" s="69"/>
      <c r="R660" s="69"/>
      <c r="S660" s="69"/>
      <c r="T660" s="69"/>
      <c r="U660" s="69"/>
      <c r="V660" s="69"/>
      <c r="W660" s="69"/>
      <c r="X660" s="69"/>
      <c r="Y660" s="69"/>
      <c r="Z660" s="69"/>
      <c r="AA660" s="69"/>
      <c r="AB660" s="69"/>
      <c r="AC660" s="69"/>
      <c r="AD660" s="69"/>
      <c r="AE660" s="69"/>
      <c r="AF660" s="69"/>
      <c r="AG660" s="69"/>
    </row>
    <row r="661" spans="2:33" ht="12.75">
      <c r="B661" s="283"/>
      <c r="C661" s="5"/>
      <c r="D661" s="5"/>
      <c r="E661" s="5"/>
      <c r="F661" s="5"/>
      <c r="G661" s="5"/>
      <c r="H661" s="5"/>
      <c r="I661" s="3"/>
      <c r="J661" s="6"/>
      <c r="K661" s="69"/>
      <c r="L661" s="69"/>
      <c r="M661" s="69"/>
      <c r="N661" s="69"/>
      <c r="O661" s="69"/>
      <c r="P661" s="69"/>
      <c r="Q661" s="69"/>
      <c r="R661" s="69"/>
      <c r="S661" s="69"/>
      <c r="T661" s="69"/>
      <c r="U661" s="69"/>
      <c r="V661" s="69"/>
      <c r="W661" s="69"/>
      <c r="X661" s="69"/>
      <c r="Y661" s="69"/>
      <c r="Z661" s="69"/>
      <c r="AA661" s="69"/>
      <c r="AB661" s="69"/>
      <c r="AC661" s="69"/>
      <c r="AD661" s="69"/>
      <c r="AE661" s="69"/>
      <c r="AF661" s="69"/>
      <c r="AG661" s="69"/>
    </row>
    <row r="662" spans="2:33" ht="12.75">
      <c r="B662" s="283"/>
      <c r="C662" s="5"/>
      <c r="D662" s="5"/>
      <c r="E662" s="5"/>
      <c r="F662" s="5"/>
      <c r="G662" s="5"/>
      <c r="H662" s="5"/>
      <c r="I662" s="3"/>
      <c r="J662" s="6"/>
      <c r="K662" s="69"/>
      <c r="L662" s="69"/>
      <c r="M662" s="69"/>
      <c r="N662" s="69"/>
      <c r="O662" s="69"/>
      <c r="P662" s="69"/>
      <c r="Q662" s="69"/>
      <c r="R662" s="69"/>
      <c r="S662" s="69"/>
      <c r="T662" s="69"/>
      <c r="U662" s="69"/>
      <c r="V662" s="69"/>
      <c r="W662" s="69"/>
      <c r="X662" s="69"/>
      <c r="Y662" s="69"/>
      <c r="Z662" s="69"/>
      <c r="AA662" s="69"/>
      <c r="AB662" s="69"/>
      <c r="AC662" s="69"/>
      <c r="AD662" s="69"/>
      <c r="AE662" s="69"/>
      <c r="AF662" s="69"/>
      <c r="AG662" s="69"/>
    </row>
    <row r="663" spans="2:33" ht="12.75">
      <c r="B663" s="283"/>
      <c r="C663" s="5"/>
      <c r="D663" s="5"/>
      <c r="E663" s="5"/>
      <c r="F663" s="5"/>
      <c r="G663" s="5"/>
      <c r="H663" s="5"/>
      <c r="I663" s="3"/>
      <c r="J663" s="6"/>
      <c r="K663" s="69"/>
      <c r="L663" s="69"/>
      <c r="M663" s="69"/>
      <c r="N663" s="69"/>
      <c r="O663" s="69"/>
      <c r="P663" s="69"/>
      <c r="Q663" s="69"/>
      <c r="R663" s="69"/>
      <c r="S663" s="69"/>
      <c r="T663" s="69"/>
      <c r="U663" s="69"/>
      <c r="V663" s="69"/>
      <c r="W663" s="69"/>
      <c r="X663" s="69"/>
      <c r="Y663" s="69"/>
      <c r="Z663" s="69"/>
      <c r="AA663" s="69"/>
      <c r="AB663" s="69"/>
      <c r="AC663" s="69"/>
      <c r="AD663" s="69"/>
      <c r="AE663" s="69"/>
      <c r="AF663" s="69"/>
      <c r="AG663" s="69"/>
    </row>
    <row r="664" spans="2:33" ht="12.75">
      <c r="B664" s="283"/>
      <c r="C664" s="5"/>
      <c r="D664" s="5"/>
      <c r="E664" s="5"/>
      <c r="F664" s="5"/>
      <c r="G664" s="5"/>
      <c r="H664" s="5"/>
      <c r="I664" s="3"/>
      <c r="J664" s="6"/>
      <c r="K664" s="69"/>
      <c r="L664" s="69"/>
      <c r="M664" s="69"/>
      <c r="N664" s="69"/>
      <c r="O664" s="69"/>
      <c r="P664" s="69"/>
      <c r="Q664" s="69"/>
      <c r="R664" s="69"/>
      <c r="S664" s="69"/>
      <c r="T664" s="69"/>
      <c r="U664" s="69"/>
      <c r="V664" s="69"/>
      <c r="W664" s="69"/>
      <c r="X664" s="69"/>
      <c r="Y664" s="69"/>
      <c r="Z664" s="69"/>
      <c r="AA664" s="69"/>
      <c r="AB664" s="69"/>
      <c r="AC664" s="69"/>
      <c r="AD664" s="69"/>
      <c r="AE664" s="69"/>
      <c r="AF664" s="69"/>
      <c r="AG664" s="69"/>
    </row>
    <row r="665" spans="2:33" ht="12.75">
      <c r="B665" s="283"/>
      <c r="C665" s="5"/>
      <c r="D665" s="5"/>
      <c r="E665" s="5"/>
      <c r="F665" s="5"/>
      <c r="G665" s="5"/>
      <c r="H665" s="5"/>
      <c r="I665" s="3"/>
      <c r="J665" s="6"/>
      <c r="K665" s="69"/>
      <c r="L665" s="69"/>
      <c r="M665" s="69"/>
      <c r="N665" s="69"/>
      <c r="O665" s="69"/>
      <c r="P665" s="69"/>
      <c r="Q665" s="69"/>
      <c r="R665" s="69"/>
      <c r="S665" s="69"/>
      <c r="T665" s="69"/>
      <c r="U665" s="69"/>
      <c r="V665" s="69"/>
      <c r="W665" s="69"/>
      <c r="X665" s="69"/>
      <c r="Y665" s="69"/>
      <c r="Z665" s="69"/>
      <c r="AA665" s="69"/>
      <c r="AB665" s="69"/>
      <c r="AC665" s="69"/>
      <c r="AD665" s="69"/>
      <c r="AE665" s="69"/>
      <c r="AF665" s="69"/>
      <c r="AG665" s="69"/>
    </row>
    <row r="666" spans="2:33" ht="12.75">
      <c r="B666" s="283"/>
      <c r="C666" s="5"/>
      <c r="D666" s="5"/>
      <c r="E666" s="5"/>
      <c r="F666" s="5"/>
      <c r="G666" s="5"/>
      <c r="H666" s="5"/>
      <c r="I666" s="3"/>
      <c r="J666" s="6"/>
      <c r="K666" s="69"/>
      <c r="L666" s="69"/>
      <c r="M666" s="69"/>
      <c r="N666" s="69"/>
      <c r="O666" s="69"/>
      <c r="P666" s="69"/>
      <c r="Q666" s="69"/>
      <c r="R666" s="69"/>
      <c r="S666" s="69"/>
      <c r="T666" s="69"/>
      <c r="U666" s="69"/>
      <c r="V666" s="69"/>
      <c r="W666" s="69"/>
      <c r="X666" s="69"/>
      <c r="Y666" s="69"/>
      <c r="Z666" s="69"/>
      <c r="AA666" s="69"/>
      <c r="AB666" s="69"/>
      <c r="AC666" s="69"/>
      <c r="AD666" s="69"/>
      <c r="AE666" s="69"/>
      <c r="AF666" s="69"/>
      <c r="AG666" s="69"/>
    </row>
    <row r="667" spans="2:33" ht="12.75">
      <c r="B667" s="283"/>
      <c r="C667" s="5"/>
      <c r="D667" s="5"/>
      <c r="E667" s="5"/>
      <c r="F667" s="5"/>
      <c r="G667" s="5"/>
      <c r="H667" s="5"/>
      <c r="I667" s="3"/>
      <c r="J667" s="6"/>
      <c r="K667" s="69"/>
      <c r="L667" s="69"/>
      <c r="M667" s="69"/>
      <c r="N667" s="69"/>
      <c r="O667" s="69"/>
      <c r="P667" s="69"/>
      <c r="Q667" s="69"/>
      <c r="R667" s="69"/>
      <c r="S667" s="69"/>
      <c r="T667" s="69"/>
      <c r="U667" s="69"/>
      <c r="V667" s="69"/>
      <c r="W667" s="69"/>
      <c r="X667" s="69"/>
      <c r="Y667" s="69"/>
      <c r="Z667" s="69"/>
      <c r="AA667" s="69"/>
      <c r="AB667" s="69"/>
      <c r="AC667" s="69"/>
      <c r="AD667" s="69"/>
      <c r="AE667" s="69"/>
      <c r="AF667" s="69"/>
      <c r="AG667" s="69"/>
    </row>
    <row r="668" spans="2:33" ht="12.75">
      <c r="B668" s="283"/>
      <c r="C668" s="5"/>
      <c r="D668" s="5"/>
      <c r="E668" s="5"/>
      <c r="F668" s="5"/>
      <c r="G668" s="5"/>
      <c r="H668" s="5"/>
      <c r="I668" s="3"/>
      <c r="J668" s="6"/>
      <c r="K668" s="69"/>
      <c r="L668" s="69"/>
      <c r="M668" s="69"/>
      <c r="N668" s="69"/>
      <c r="O668" s="69"/>
      <c r="P668" s="69"/>
      <c r="Q668" s="69"/>
      <c r="R668" s="69"/>
      <c r="S668" s="69"/>
      <c r="T668" s="69"/>
      <c r="U668" s="69"/>
      <c r="V668" s="69"/>
      <c r="W668" s="69"/>
      <c r="X668" s="69"/>
      <c r="Y668" s="69"/>
      <c r="Z668" s="69"/>
      <c r="AA668" s="69"/>
      <c r="AB668" s="69"/>
      <c r="AC668" s="69"/>
      <c r="AD668" s="69"/>
      <c r="AE668" s="69"/>
      <c r="AF668" s="69"/>
      <c r="AG668" s="69"/>
    </row>
    <row r="669" spans="2:33" ht="12.75">
      <c r="B669" s="283"/>
      <c r="C669" s="5"/>
      <c r="D669" s="5"/>
      <c r="E669" s="5"/>
      <c r="F669" s="5"/>
      <c r="G669" s="5"/>
      <c r="H669" s="5"/>
      <c r="I669" s="3"/>
      <c r="J669" s="6"/>
      <c r="K669" s="69"/>
      <c r="L669" s="69"/>
      <c r="M669" s="69"/>
      <c r="N669" s="69"/>
      <c r="O669" s="69"/>
      <c r="P669" s="69"/>
      <c r="Q669" s="69"/>
      <c r="R669" s="69"/>
      <c r="S669" s="69"/>
      <c r="T669" s="69"/>
      <c r="U669" s="69"/>
      <c r="V669" s="69"/>
      <c r="W669" s="69"/>
      <c r="X669" s="69"/>
      <c r="Y669" s="69"/>
      <c r="Z669" s="69"/>
      <c r="AA669" s="69"/>
      <c r="AB669" s="69"/>
      <c r="AC669" s="69"/>
      <c r="AD669" s="69"/>
      <c r="AE669" s="69"/>
      <c r="AF669" s="69"/>
      <c r="AG669" s="69"/>
    </row>
    <row r="670" spans="2:33" ht="12.75">
      <c r="B670" s="283"/>
      <c r="C670" s="5"/>
      <c r="D670" s="5"/>
      <c r="E670" s="5"/>
      <c r="F670" s="5"/>
      <c r="G670" s="5"/>
      <c r="H670" s="5"/>
      <c r="I670" s="3"/>
      <c r="J670" s="6"/>
      <c r="K670" s="69"/>
      <c r="L670" s="69"/>
      <c r="M670" s="69"/>
      <c r="N670" s="69"/>
      <c r="O670" s="69"/>
      <c r="P670" s="69"/>
      <c r="Q670" s="69"/>
      <c r="R670" s="69"/>
      <c r="S670" s="69"/>
      <c r="T670" s="69"/>
      <c r="U670" s="69"/>
      <c r="V670" s="69"/>
      <c r="W670" s="69"/>
      <c r="X670" s="69"/>
      <c r="Y670" s="69"/>
      <c r="Z670" s="69"/>
      <c r="AA670" s="69"/>
      <c r="AB670" s="69"/>
      <c r="AC670" s="69"/>
      <c r="AD670" s="69"/>
      <c r="AE670" s="69"/>
      <c r="AF670" s="69"/>
      <c r="AG670" s="69"/>
    </row>
    <row r="671" spans="2:33" ht="12.75">
      <c r="B671" s="283"/>
      <c r="C671" s="5"/>
      <c r="D671" s="5"/>
      <c r="E671" s="5"/>
      <c r="F671" s="5"/>
      <c r="G671" s="5"/>
      <c r="H671" s="5"/>
      <c r="I671" s="3"/>
      <c r="J671" s="6"/>
      <c r="K671" s="69"/>
      <c r="L671" s="69"/>
      <c r="M671" s="69"/>
      <c r="N671" s="69"/>
      <c r="O671" s="69"/>
      <c r="P671" s="69"/>
      <c r="Q671" s="69"/>
      <c r="R671" s="69"/>
      <c r="S671" s="69"/>
      <c r="T671" s="69"/>
      <c r="U671" s="69"/>
      <c r="V671" s="69"/>
      <c r="W671" s="69"/>
      <c r="X671" s="69"/>
      <c r="Y671" s="69"/>
      <c r="Z671" s="69"/>
      <c r="AA671" s="69"/>
      <c r="AB671" s="69"/>
      <c r="AC671" s="69"/>
      <c r="AD671" s="69"/>
      <c r="AE671" s="69"/>
      <c r="AF671" s="69"/>
      <c r="AG671" s="69"/>
    </row>
    <row r="672" spans="2:33" ht="12.75">
      <c r="B672" s="283"/>
      <c r="C672" s="5"/>
      <c r="D672" s="5"/>
      <c r="E672" s="5"/>
      <c r="F672" s="5"/>
      <c r="G672" s="5"/>
      <c r="H672" s="5"/>
      <c r="I672" s="3"/>
      <c r="J672" s="6"/>
      <c r="K672" s="69"/>
      <c r="L672" s="69"/>
      <c r="M672" s="69"/>
      <c r="N672" s="69"/>
      <c r="O672" s="69"/>
      <c r="P672" s="69"/>
      <c r="Q672" s="69"/>
      <c r="R672" s="69"/>
      <c r="S672" s="69"/>
      <c r="T672" s="69"/>
      <c r="U672" s="69"/>
      <c r="V672" s="69"/>
      <c r="W672" s="69"/>
      <c r="X672" s="69"/>
      <c r="Y672" s="69"/>
      <c r="Z672" s="69"/>
      <c r="AA672" s="69"/>
      <c r="AB672" s="69"/>
      <c r="AC672" s="69"/>
      <c r="AD672" s="69"/>
      <c r="AE672" s="69"/>
      <c r="AF672" s="69"/>
      <c r="AG672" s="69"/>
    </row>
    <row r="673" spans="2:33" ht="12.75">
      <c r="B673" s="283"/>
      <c r="C673" s="5"/>
      <c r="D673" s="5"/>
      <c r="E673" s="5"/>
      <c r="F673" s="5"/>
      <c r="G673" s="5"/>
      <c r="H673" s="5"/>
      <c r="I673" s="3"/>
      <c r="J673" s="6"/>
      <c r="K673" s="69"/>
      <c r="L673" s="69"/>
      <c r="M673" s="69"/>
      <c r="N673" s="69"/>
      <c r="O673" s="69"/>
      <c r="P673" s="69"/>
      <c r="Q673" s="69"/>
      <c r="R673" s="69"/>
      <c r="S673" s="69"/>
      <c r="T673" s="69"/>
      <c r="U673" s="69"/>
      <c r="V673" s="69"/>
      <c r="W673" s="69"/>
      <c r="X673" s="69"/>
      <c r="Y673" s="69"/>
      <c r="Z673" s="69"/>
      <c r="AA673" s="69"/>
      <c r="AB673" s="69"/>
      <c r="AC673" s="69"/>
      <c r="AD673" s="69"/>
      <c r="AE673" s="69"/>
      <c r="AF673" s="69"/>
      <c r="AG673" s="69"/>
    </row>
    <row r="674" spans="2:33" ht="12.75">
      <c r="B674" s="283"/>
      <c r="C674" s="5"/>
      <c r="D674" s="5"/>
      <c r="E674" s="5"/>
      <c r="F674" s="5"/>
      <c r="G674" s="5"/>
      <c r="H674" s="5"/>
      <c r="I674" s="3"/>
      <c r="J674" s="6"/>
      <c r="K674" s="69"/>
      <c r="L674" s="69"/>
      <c r="M674" s="69"/>
      <c r="N674" s="69"/>
      <c r="O674" s="69"/>
      <c r="P674" s="69"/>
      <c r="Q674" s="69"/>
      <c r="R674" s="69"/>
      <c r="S674" s="69"/>
      <c r="T674" s="69"/>
      <c r="U674" s="69"/>
      <c r="V674" s="69"/>
      <c r="W674" s="69"/>
      <c r="X674" s="69"/>
      <c r="Y674" s="69"/>
      <c r="Z674" s="69"/>
      <c r="AA674" s="69"/>
      <c r="AB674" s="69"/>
      <c r="AC674" s="69"/>
      <c r="AD674" s="69"/>
      <c r="AE674" s="69"/>
      <c r="AF674" s="69"/>
      <c r="AG674" s="69"/>
    </row>
    <row r="675" spans="2:33" ht="12.75">
      <c r="B675" s="283"/>
      <c r="C675" s="5"/>
      <c r="D675" s="5"/>
      <c r="E675" s="5"/>
      <c r="F675" s="5"/>
      <c r="G675" s="5"/>
      <c r="H675" s="5"/>
      <c r="I675" s="3"/>
      <c r="J675" s="6"/>
      <c r="K675" s="69"/>
      <c r="L675" s="69"/>
      <c r="M675" s="69"/>
      <c r="N675" s="69"/>
      <c r="O675" s="69"/>
      <c r="P675" s="69"/>
      <c r="Q675" s="69"/>
      <c r="R675" s="69"/>
      <c r="S675" s="69"/>
      <c r="T675" s="69"/>
      <c r="U675" s="69"/>
      <c r="V675" s="69"/>
      <c r="W675" s="69"/>
      <c r="X675" s="69"/>
      <c r="Y675" s="69"/>
      <c r="Z675" s="69"/>
      <c r="AA675" s="69"/>
      <c r="AB675" s="69"/>
      <c r="AC675" s="69"/>
      <c r="AD675" s="69"/>
      <c r="AE675" s="69"/>
      <c r="AF675" s="69"/>
      <c r="AG675" s="69"/>
    </row>
    <row r="676" spans="2:33" ht="12.75">
      <c r="B676" s="283"/>
      <c r="C676" s="5"/>
      <c r="D676" s="5"/>
      <c r="E676" s="5"/>
      <c r="F676" s="5"/>
      <c r="G676" s="5"/>
      <c r="H676" s="5"/>
      <c r="I676" s="3"/>
      <c r="J676" s="6"/>
      <c r="K676" s="69"/>
      <c r="L676" s="69"/>
      <c r="M676" s="69"/>
      <c r="N676" s="69"/>
      <c r="O676" s="69"/>
      <c r="P676" s="69"/>
      <c r="Q676" s="69"/>
      <c r="R676" s="69"/>
      <c r="S676" s="69"/>
      <c r="T676" s="69"/>
      <c r="U676" s="69"/>
      <c r="V676" s="69"/>
      <c r="W676" s="69"/>
      <c r="X676" s="69"/>
      <c r="Y676" s="69"/>
      <c r="Z676" s="69"/>
      <c r="AA676" s="69"/>
      <c r="AB676" s="69"/>
      <c r="AC676" s="69"/>
      <c r="AD676" s="69"/>
      <c r="AE676" s="69"/>
      <c r="AF676" s="69"/>
      <c r="AG676" s="69"/>
    </row>
    <row r="677" spans="2:33" ht="12.75">
      <c r="B677" s="283"/>
      <c r="C677" s="5"/>
      <c r="D677" s="5"/>
      <c r="E677" s="5"/>
      <c r="F677" s="5"/>
      <c r="G677" s="5"/>
      <c r="H677" s="5"/>
      <c r="I677" s="3"/>
      <c r="J677" s="6"/>
      <c r="K677" s="69"/>
      <c r="L677" s="69"/>
      <c r="M677" s="69"/>
      <c r="N677" s="69"/>
      <c r="O677" s="69"/>
      <c r="P677" s="69"/>
      <c r="Q677" s="69"/>
      <c r="R677" s="69"/>
      <c r="S677" s="69"/>
      <c r="T677" s="69"/>
      <c r="U677" s="69"/>
      <c r="V677" s="69"/>
      <c r="W677" s="69"/>
      <c r="X677" s="69"/>
      <c r="Y677" s="69"/>
      <c r="Z677" s="69"/>
      <c r="AA677" s="69"/>
      <c r="AB677" s="69"/>
      <c r="AC677" s="69"/>
      <c r="AD677" s="69"/>
      <c r="AE677" s="69"/>
      <c r="AF677" s="69"/>
      <c r="AG677" s="69"/>
    </row>
    <row r="678" spans="2:33" ht="12.75">
      <c r="B678" s="283"/>
      <c r="C678" s="5"/>
      <c r="D678" s="5"/>
      <c r="E678" s="5"/>
      <c r="F678" s="5"/>
      <c r="G678" s="5"/>
      <c r="H678" s="5"/>
      <c r="I678" s="3"/>
      <c r="J678" s="6"/>
      <c r="K678" s="69"/>
      <c r="L678" s="69"/>
      <c r="M678" s="69"/>
      <c r="N678" s="69"/>
      <c r="O678" s="69"/>
      <c r="P678" s="69"/>
      <c r="Q678" s="69"/>
      <c r="R678" s="69"/>
      <c r="S678" s="69"/>
      <c r="T678" s="69"/>
      <c r="U678" s="69"/>
      <c r="V678" s="69"/>
      <c r="W678" s="69"/>
      <c r="X678" s="69"/>
      <c r="Y678" s="69"/>
      <c r="Z678" s="69"/>
      <c r="AA678" s="69"/>
      <c r="AB678" s="69"/>
      <c r="AC678" s="69"/>
      <c r="AD678" s="69"/>
      <c r="AE678" s="69"/>
      <c r="AF678" s="69"/>
      <c r="AG678" s="69"/>
    </row>
    <row r="679" spans="2:33" ht="12.75">
      <c r="B679" s="283"/>
      <c r="C679" s="5"/>
      <c r="D679" s="5"/>
      <c r="E679" s="5"/>
      <c r="F679" s="5"/>
      <c r="G679" s="5"/>
      <c r="H679" s="5"/>
      <c r="I679" s="3"/>
      <c r="J679" s="6"/>
      <c r="K679" s="69"/>
      <c r="L679" s="69"/>
      <c r="M679" s="69"/>
      <c r="N679" s="69"/>
      <c r="O679" s="69"/>
      <c r="P679" s="69"/>
      <c r="Q679" s="69"/>
      <c r="R679" s="69"/>
      <c r="S679" s="69"/>
      <c r="T679" s="69"/>
      <c r="U679" s="69"/>
      <c r="V679" s="69"/>
      <c r="W679" s="69"/>
      <c r="X679" s="69"/>
      <c r="Y679" s="69"/>
      <c r="Z679" s="69"/>
      <c r="AA679" s="69"/>
      <c r="AB679" s="69"/>
      <c r="AC679" s="69"/>
      <c r="AD679" s="69"/>
      <c r="AE679" s="69"/>
      <c r="AF679" s="69"/>
      <c r="AG679" s="69"/>
    </row>
    <row r="680" spans="2:33" ht="12.75">
      <c r="B680" s="283"/>
      <c r="C680" s="5"/>
      <c r="D680" s="5"/>
      <c r="E680" s="5"/>
      <c r="F680" s="5"/>
      <c r="G680" s="5"/>
      <c r="H680" s="5"/>
      <c r="I680" s="3"/>
      <c r="J680" s="6"/>
      <c r="K680" s="69"/>
      <c r="L680" s="69"/>
      <c r="M680" s="69"/>
      <c r="N680" s="69"/>
      <c r="O680" s="69"/>
      <c r="P680" s="69"/>
      <c r="Q680" s="69"/>
      <c r="R680" s="69"/>
      <c r="S680" s="69"/>
      <c r="T680" s="69"/>
      <c r="U680" s="69"/>
      <c r="V680" s="69"/>
      <c r="W680" s="69"/>
      <c r="X680" s="69"/>
      <c r="Y680" s="69"/>
      <c r="Z680" s="69"/>
      <c r="AA680" s="69"/>
      <c r="AB680" s="69"/>
      <c r="AC680" s="69"/>
      <c r="AD680" s="69"/>
      <c r="AE680" s="69"/>
      <c r="AF680" s="69"/>
      <c r="AG680" s="69"/>
    </row>
    <row r="681" spans="2:33" ht="12.75">
      <c r="B681" s="283"/>
      <c r="C681" s="5"/>
      <c r="D681" s="5"/>
      <c r="E681" s="5"/>
      <c r="F681" s="5"/>
      <c r="G681" s="5"/>
      <c r="H681" s="5"/>
      <c r="I681" s="3"/>
      <c r="J681" s="6"/>
      <c r="K681" s="69"/>
      <c r="L681" s="69"/>
      <c r="M681" s="69"/>
      <c r="N681" s="69"/>
      <c r="O681" s="69"/>
      <c r="P681" s="69"/>
      <c r="Q681" s="69"/>
      <c r="R681" s="69"/>
      <c r="S681" s="69"/>
      <c r="T681" s="69"/>
      <c r="U681" s="69"/>
      <c r="V681" s="69"/>
      <c r="W681" s="69"/>
      <c r="X681" s="69"/>
      <c r="Y681" s="69"/>
      <c r="Z681" s="69"/>
      <c r="AA681" s="69"/>
      <c r="AB681" s="69"/>
      <c r="AC681" s="69"/>
      <c r="AD681" s="69"/>
      <c r="AE681" s="69"/>
      <c r="AF681" s="69"/>
      <c r="AG681" s="69"/>
    </row>
    <row r="682" spans="2:33" ht="12.75">
      <c r="B682" s="283"/>
      <c r="C682" s="5"/>
      <c r="D682" s="5"/>
      <c r="E682" s="5"/>
      <c r="F682" s="5"/>
      <c r="G682" s="5"/>
      <c r="H682" s="5"/>
      <c r="I682" s="3"/>
      <c r="J682" s="6"/>
      <c r="K682" s="69"/>
      <c r="L682" s="69"/>
      <c r="M682" s="69"/>
      <c r="N682" s="69"/>
      <c r="O682" s="69"/>
      <c r="P682" s="69"/>
      <c r="Q682" s="69"/>
      <c r="R682" s="69"/>
      <c r="S682" s="69"/>
      <c r="T682" s="69"/>
      <c r="U682" s="69"/>
      <c r="V682" s="69"/>
      <c r="W682" s="69"/>
      <c r="X682" s="69"/>
      <c r="Y682" s="69"/>
      <c r="Z682" s="69"/>
      <c r="AA682" s="69"/>
      <c r="AB682" s="69"/>
      <c r="AC682" s="69"/>
      <c r="AD682" s="69"/>
      <c r="AE682" s="69"/>
      <c r="AF682" s="69"/>
      <c r="AG682" s="69"/>
    </row>
    <row r="683" spans="2:33" ht="12.75">
      <c r="B683" s="283"/>
      <c r="C683" s="5"/>
      <c r="D683" s="5"/>
      <c r="E683" s="5"/>
      <c r="F683" s="5"/>
      <c r="G683" s="5"/>
      <c r="H683" s="5"/>
      <c r="I683" s="3"/>
      <c r="J683" s="6"/>
      <c r="K683" s="69"/>
      <c r="L683" s="69"/>
      <c r="M683" s="69"/>
      <c r="N683" s="69"/>
      <c r="O683" s="69"/>
      <c r="P683" s="69"/>
      <c r="Q683" s="69"/>
      <c r="R683" s="69"/>
      <c r="S683" s="69"/>
      <c r="T683" s="69"/>
      <c r="U683" s="69"/>
      <c r="V683" s="69"/>
      <c r="W683" s="69"/>
      <c r="X683" s="69"/>
      <c r="Y683" s="69"/>
      <c r="Z683" s="69"/>
      <c r="AA683" s="69"/>
      <c r="AB683" s="69"/>
      <c r="AC683" s="69"/>
      <c r="AD683" s="69"/>
      <c r="AE683" s="69"/>
      <c r="AF683" s="69"/>
      <c r="AG683" s="69"/>
    </row>
    <row r="684" spans="2:33" ht="12.75">
      <c r="B684" s="283"/>
      <c r="C684" s="5"/>
      <c r="D684" s="5"/>
      <c r="E684" s="5"/>
      <c r="F684" s="5"/>
      <c r="G684" s="5"/>
      <c r="H684" s="5"/>
      <c r="I684" s="3"/>
      <c r="J684" s="6"/>
      <c r="K684" s="69"/>
      <c r="L684" s="69"/>
      <c r="M684" s="69"/>
      <c r="N684" s="69"/>
      <c r="O684" s="69"/>
      <c r="P684" s="69"/>
      <c r="Q684" s="69"/>
      <c r="R684" s="69"/>
      <c r="S684" s="69"/>
      <c r="T684" s="69"/>
      <c r="U684" s="69"/>
      <c r="V684" s="69"/>
      <c r="W684" s="69"/>
      <c r="X684" s="69"/>
      <c r="Y684" s="69"/>
      <c r="Z684" s="69"/>
      <c r="AA684" s="69"/>
      <c r="AB684" s="69"/>
      <c r="AC684" s="69"/>
      <c r="AD684" s="69"/>
      <c r="AE684" s="69"/>
      <c r="AF684" s="69"/>
      <c r="AG684" s="69"/>
    </row>
    <row r="685" spans="2:33" ht="12.75">
      <c r="B685" s="283"/>
      <c r="C685" s="5"/>
      <c r="D685" s="5"/>
      <c r="E685" s="5"/>
      <c r="F685" s="5"/>
      <c r="G685" s="5"/>
      <c r="H685" s="5"/>
      <c r="I685" s="3"/>
      <c r="J685" s="6"/>
      <c r="K685" s="69"/>
      <c r="L685" s="69"/>
      <c r="M685" s="69"/>
      <c r="N685" s="69"/>
      <c r="O685" s="69"/>
      <c r="P685" s="69"/>
      <c r="Q685" s="69"/>
      <c r="R685" s="69"/>
      <c r="S685" s="69"/>
      <c r="T685" s="69"/>
      <c r="U685" s="69"/>
      <c r="V685" s="69"/>
      <c r="W685" s="69"/>
      <c r="X685" s="69"/>
      <c r="Y685" s="69"/>
      <c r="Z685" s="69"/>
      <c r="AA685" s="69"/>
      <c r="AB685" s="69"/>
      <c r="AC685" s="69"/>
      <c r="AD685" s="69"/>
      <c r="AE685" s="69"/>
      <c r="AF685" s="69"/>
      <c r="AG685" s="69"/>
    </row>
    <row r="686" spans="2:33" ht="12.75">
      <c r="B686" s="283"/>
      <c r="C686" s="5"/>
      <c r="D686" s="5"/>
      <c r="E686" s="5"/>
      <c r="F686" s="5"/>
      <c r="G686" s="5"/>
      <c r="H686" s="5"/>
      <c r="I686" s="3"/>
      <c r="J686" s="6"/>
      <c r="K686" s="69"/>
      <c r="L686" s="69"/>
      <c r="M686" s="69"/>
      <c r="N686" s="69"/>
      <c r="O686" s="69"/>
      <c r="P686" s="69"/>
      <c r="Q686" s="69"/>
      <c r="R686" s="69"/>
      <c r="S686" s="69"/>
      <c r="T686" s="69"/>
      <c r="U686" s="69"/>
      <c r="V686" s="69"/>
      <c r="W686" s="69"/>
      <c r="X686" s="69"/>
      <c r="Y686" s="69"/>
      <c r="Z686" s="69"/>
      <c r="AA686" s="69"/>
      <c r="AB686" s="69"/>
      <c r="AC686" s="69"/>
      <c r="AD686" s="69"/>
      <c r="AE686" s="69"/>
      <c r="AF686" s="69"/>
      <c r="AG686" s="69"/>
    </row>
    <row r="687" spans="2:33" ht="12.75">
      <c r="B687" s="283"/>
      <c r="C687" s="5"/>
      <c r="D687" s="5"/>
      <c r="E687" s="5"/>
      <c r="F687" s="5"/>
      <c r="G687" s="5"/>
      <c r="H687" s="5"/>
      <c r="I687" s="3"/>
      <c r="J687" s="6"/>
      <c r="K687" s="69"/>
      <c r="L687" s="69"/>
      <c r="M687" s="69"/>
      <c r="N687" s="69"/>
      <c r="O687" s="69"/>
      <c r="P687" s="69"/>
      <c r="Q687" s="69"/>
      <c r="R687" s="69"/>
      <c r="S687" s="69"/>
      <c r="T687" s="69"/>
      <c r="U687" s="69"/>
      <c r="V687" s="69"/>
      <c r="W687" s="69"/>
      <c r="X687" s="69"/>
      <c r="Y687" s="69"/>
      <c r="Z687" s="69"/>
      <c r="AA687" s="69"/>
      <c r="AB687" s="69"/>
      <c r="AC687" s="69"/>
      <c r="AD687" s="69"/>
      <c r="AE687" s="69"/>
      <c r="AF687" s="69"/>
      <c r="AG687" s="69"/>
    </row>
    <row r="688" spans="2:33" ht="12.75">
      <c r="B688" s="283"/>
      <c r="C688" s="5"/>
      <c r="D688" s="5"/>
      <c r="E688" s="5"/>
      <c r="F688" s="5"/>
      <c r="G688" s="5"/>
      <c r="H688" s="5"/>
      <c r="I688" s="3"/>
      <c r="J688" s="6"/>
      <c r="K688" s="69"/>
      <c r="L688" s="69"/>
      <c r="M688" s="69"/>
      <c r="N688" s="69"/>
      <c r="O688" s="69"/>
      <c r="P688" s="69"/>
      <c r="Q688" s="69"/>
      <c r="R688" s="69"/>
      <c r="S688" s="69"/>
      <c r="T688" s="69"/>
      <c r="U688" s="69"/>
      <c r="V688" s="69"/>
      <c r="W688" s="69"/>
      <c r="X688" s="69"/>
      <c r="Y688" s="69"/>
      <c r="Z688" s="69"/>
      <c r="AA688" s="69"/>
      <c r="AB688" s="69"/>
      <c r="AC688" s="69"/>
      <c r="AD688" s="69"/>
      <c r="AE688" s="69"/>
      <c r="AF688" s="69"/>
      <c r="AG688" s="69"/>
    </row>
    <row r="689" spans="2:33" ht="12.75">
      <c r="B689" s="283"/>
      <c r="C689" s="5"/>
      <c r="D689" s="5"/>
      <c r="E689" s="5"/>
      <c r="F689" s="5"/>
      <c r="G689" s="5"/>
      <c r="H689" s="5"/>
      <c r="I689" s="3"/>
      <c r="J689" s="6"/>
      <c r="K689" s="69"/>
      <c r="L689" s="69"/>
      <c r="M689" s="69"/>
      <c r="N689" s="69"/>
      <c r="O689" s="69"/>
      <c r="P689" s="69"/>
      <c r="Q689" s="69"/>
      <c r="R689" s="69"/>
      <c r="S689" s="69"/>
      <c r="T689" s="69"/>
      <c r="U689" s="69"/>
      <c r="V689" s="69"/>
      <c r="W689" s="69"/>
      <c r="X689" s="69"/>
      <c r="Y689" s="69"/>
      <c r="Z689" s="69"/>
      <c r="AA689" s="69"/>
      <c r="AB689" s="69"/>
      <c r="AC689" s="69"/>
      <c r="AD689" s="69"/>
      <c r="AE689" s="69"/>
      <c r="AF689" s="69"/>
      <c r="AG689" s="69"/>
    </row>
    <row r="690" spans="2:33" ht="12.75">
      <c r="B690" s="283"/>
      <c r="C690" s="5"/>
      <c r="D690" s="5"/>
      <c r="E690" s="5"/>
      <c r="F690" s="5"/>
      <c r="G690" s="5"/>
      <c r="H690" s="5"/>
      <c r="I690" s="3"/>
      <c r="J690" s="6"/>
      <c r="K690" s="69"/>
      <c r="L690" s="69"/>
      <c r="M690" s="69"/>
      <c r="N690" s="69"/>
      <c r="O690" s="69"/>
      <c r="P690" s="69"/>
      <c r="Q690" s="69"/>
      <c r="R690" s="69"/>
      <c r="S690" s="69"/>
      <c r="T690" s="69"/>
      <c r="U690" s="69"/>
      <c r="V690" s="69"/>
      <c r="W690" s="69"/>
      <c r="X690" s="69"/>
      <c r="Y690" s="69"/>
      <c r="Z690" s="69"/>
      <c r="AA690" s="69"/>
      <c r="AB690" s="69"/>
      <c r="AC690" s="69"/>
      <c r="AD690" s="69"/>
      <c r="AE690" s="69"/>
      <c r="AF690" s="69"/>
      <c r="AG690" s="69"/>
    </row>
    <row r="691" spans="2:33" ht="12.75">
      <c r="B691" s="283"/>
      <c r="C691" s="5"/>
      <c r="D691" s="5"/>
      <c r="E691" s="5"/>
      <c r="F691" s="5"/>
      <c r="G691" s="5"/>
      <c r="H691" s="5"/>
      <c r="I691" s="3"/>
      <c r="J691" s="6"/>
      <c r="K691" s="69"/>
      <c r="L691" s="69"/>
      <c r="M691" s="69"/>
      <c r="N691" s="69"/>
      <c r="O691" s="69"/>
      <c r="P691" s="69"/>
      <c r="Q691" s="69"/>
      <c r="R691" s="69"/>
      <c r="S691" s="69"/>
      <c r="T691" s="69"/>
      <c r="U691" s="69"/>
      <c r="V691" s="69"/>
      <c r="W691" s="69"/>
      <c r="X691" s="69"/>
      <c r="Y691" s="69"/>
      <c r="Z691" s="69"/>
      <c r="AA691" s="69"/>
      <c r="AB691" s="69"/>
      <c r="AC691" s="69"/>
      <c r="AD691" s="69"/>
      <c r="AE691" s="69"/>
      <c r="AF691" s="69"/>
      <c r="AG691" s="69"/>
    </row>
    <row r="692" spans="2:33" ht="12.75">
      <c r="B692" s="283"/>
      <c r="C692" s="5"/>
      <c r="D692" s="5"/>
      <c r="E692" s="5"/>
      <c r="F692" s="5"/>
      <c r="G692" s="5"/>
      <c r="H692" s="5"/>
      <c r="I692" s="3"/>
      <c r="J692" s="6"/>
      <c r="K692" s="69"/>
      <c r="L692" s="69"/>
      <c r="M692" s="69"/>
      <c r="N692" s="69"/>
      <c r="O692" s="69"/>
      <c r="P692" s="69"/>
      <c r="Q692" s="69"/>
      <c r="R692" s="69"/>
      <c r="S692" s="69"/>
      <c r="T692" s="69"/>
      <c r="U692" s="69"/>
      <c r="V692" s="69"/>
      <c r="W692" s="69"/>
      <c r="X692" s="69"/>
      <c r="Y692" s="69"/>
      <c r="Z692" s="69"/>
      <c r="AA692" s="69"/>
      <c r="AB692" s="69"/>
      <c r="AC692" s="69"/>
      <c r="AD692" s="69"/>
      <c r="AE692" s="69"/>
      <c r="AF692" s="69"/>
      <c r="AG692" s="69"/>
    </row>
    <row r="693" spans="2:33" ht="12.75">
      <c r="B693" s="283"/>
      <c r="C693" s="5"/>
      <c r="D693" s="5"/>
      <c r="E693" s="5"/>
      <c r="F693" s="5"/>
      <c r="G693" s="5"/>
      <c r="H693" s="5"/>
      <c r="I693" s="3"/>
      <c r="J693" s="6"/>
      <c r="K693" s="69"/>
      <c r="L693" s="69"/>
      <c r="M693" s="69"/>
      <c r="N693" s="69"/>
      <c r="O693" s="69"/>
      <c r="P693" s="69"/>
      <c r="Q693" s="69"/>
      <c r="R693" s="69"/>
      <c r="S693" s="69"/>
      <c r="T693" s="69"/>
      <c r="U693" s="69"/>
      <c r="V693" s="69"/>
      <c r="W693" s="69"/>
      <c r="X693" s="69"/>
      <c r="Y693" s="69"/>
      <c r="Z693" s="69"/>
      <c r="AA693" s="69"/>
      <c r="AB693" s="69"/>
      <c r="AC693" s="69"/>
      <c r="AD693" s="69"/>
      <c r="AE693" s="69"/>
      <c r="AF693" s="69"/>
      <c r="AG693" s="69"/>
    </row>
    <row r="694" spans="2:33" ht="12.75">
      <c r="B694" s="283"/>
      <c r="C694" s="5"/>
      <c r="D694" s="5"/>
      <c r="E694" s="5"/>
      <c r="F694" s="5"/>
      <c r="G694" s="5"/>
      <c r="H694" s="5"/>
      <c r="I694" s="3"/>
      <c r="J694" s="6"/>
      <c r="K694" s="69"/>
      <c r="L694" s="69"/>
      <c r="M694" s="69"/>
      <c r="N694" s="69"/>
      <c r="O694" s="69"/>
      <c r="P694" s="69"/>
      <c r="Q694" s="69"/>
      <c r="R694" s="69"/>
      <c r="S694" s="69"/>
      <c r="T694" s="69"/>
      <c r="U694" s="69"/>
      <c r="V694" s="69"/>
      <c r="W694" s="69"/>
      <c r="X694" s="69"/>
      <c r="Y694" s="69"/>
      <c r="Z694" s="69"/>
      <c r="AA694" s="69"/>
      <c r="AB694" s="69"/>
      <c r="AC694" s="69"/>
      <c r="AD694" s="69"/>
      <c r="AE694" s="69"/>
      <c r="AF694" s="69"/>
      <c r="AG694" s="69"/>
    </row>
    <row r="695" spans="2:33" ht="12.75">
      <c r="B695" s="283"/>
      <c r="C695" s="5"/>
      <c r="D695" s="5"/>
      <c r="E695" s="5"/>
      <c r="F695" s="5"/>
      <c r="G695" s="5"/>
      <c r="H695" s="5"/>
      <c r="I695" s="3"/>
      <c r="J695" s="6"/>
      <c r="K695" s="69"/>
      <c r="L695" s="69"/>
      <c r="M695" s="69"/>
      <c r="N695" s="69"/>
      <c r="O695" s="69"/>
      <c r="P695" s="69"/>
      <c r="Q695" s="69"/>
      <c r="R695" s="69"/>
      <c r="S695" s="69"/>
      <c r="T695" s="69"/>
      <c r="U695" s="69"/>
      <c r="V695" s="69"/>
      <c r="W695" s="69"/>
      <c r="X695" s="69"/>
      <c r="Y695" s="69"/>
      <c r="Z695" s="69"/>
      <c r="AA695" s="69"/>
      <c r="AB695" s="69"/>
      <c r="AC695" s="69"/>
      <c r="AD695" s="69"/>
      <c r="AE695" s="69"/>
      <c r="AF695" s="69"/>
      <c r="AG695" s="69"/>
    </row>
    <row r="696" spans="2:33" ht="12.75">
      <c r="B696" s="283"/>
      <c r="C696" s="5"/>
      <c r="D696" s="5"/>
      <c r="E696" s="5"/>
      <c r="F696" s="5"/>
      <c r="G696" s="5"/>
      <c r="H696" s="5"/>
      <c r="I696" s="3"/>
      <c r="J696" s="6"/>
      <c r="K696" s="69"/>
      <c r="L696" s="69"/>
      <c r="M696" s="69"/>
      <c r="N696" s="69"/>
      <c r="O696" s="69"/>
      <c r="P696" s="69"/>
      <c r="Q696" s="69"/>
      <c r="R696" s="69"/>
      <c r="S696" s="69"/>
      <c r="T696" s="69"/>
      <c r="U696" s="69"/>
      <c r="V696" s="69"/>
      <c r="W696" s="69"/>
      <c r="X696" s="69"/>
      <c r="Y696" s="69"/>
      <c r="Z696" s="69"/>
      <c r="AA696" s="69"/>
      <c r="AB696" s="69"/>
      <c r="AC696" s="69"/>
      <c r="AD696" s="69"/>
      <c r="AE696" s="69"/>
      <c r="AF696" s="69"/>
      <c r="AG696" s="69"/>
    </row>
    <row r="697" spans="2:33" ht="12.75">
      <c r="B697" s="283"/>
      <c r="C697" s="5"/>
      <c r="D697" s="5"/>
      <c r="E697" s="5"/>
      <c r="F697" s="5"/>
      <c r="G697" s="5"/>
      <c r="H697" s="5"/>
      <c r="I697" s="3"/>
      <c r="J697" s="6"/>
      <c r="K697" s="69"/>
      <c r="L697" s="69"/>
      <c r="M697" s="69"/>
      <c r="N697" s="69"/>
      <c r="O697" s="69"/>
      <c r="P697" s="69"/>
      <c r="Q697" s="69"/>
      <c r="R697" s="69"/>
      <c r="S697" s="69"/>
      <c r="T697" s="69"/>
      <c r="U697" s="69"/>
      <c r="V697" s="69"/>
      <c r="W697" s="69"/>
      <c r="X697" s="69"/>
      <c r="Y697" s="69"/>
      <c r="Z697" s="69"/>
      <c r="AA697" s="69"/>
      <c r="AB697" s="69"/>
      <c r="AC697" s="69"/>
      <c r="AD697" s="69"/>
      <c r="AE697" s="69"/>
      <c r="AF697" s="69"/>
      <c r="AG697" s="69"/>
    </row>
    <row r="698" spans="2:33" ht="12.75">
      <c r="B698" s="283"/>
      <c r="C698" s="5"/>
      <c r="D698" s="5"/>
      <c r="E698" s="5"/>
      <c r="F698" s="5"/>
      <c r="G698" s="5"/>
      <c r="H698" s="5"/>
      <c r="I698" s="3"/>
      <c r="J698" s="6"/>
      <c r="K698" s="69"/>
      <c r="L698" s="69"/>
      <c r="M698" s="69"/>
      <c r="N698" s="69"/>
      <c r="O698" s="69"/>
      <c r="P698" s="69"/>
      <c r="Q698" s="69"/>
      <c r="R698" s="69"/>
      <c r="S698" s="69"/>
      <c r="T698" s="69"/>
      <c r="U698" s="69"/>
      <c r="V698" s="69"/>
      <c r="W698" s="69"/>
      <c r="X698" s="69"/>
      <c r="Y698" s="69"/>
      <c r="Z698" s="69"/>
      <c r="AA698" s="69"/>
      <c r="AB698" s="69"/>
      <c r="AC698" s="69"/>
      <c r="AD698" s="69"/>
      <c r="AE698" s="69"/>
      <c r="AF698" s="69"/>
      <c r="AG698" s="69"/>
    </row>
    <row r="699" spans="2:33" ht="12.75">
      <c r="B699" s="283"/>
      <c r="C699" s="5"/>
      <c r="D699" s="5"/>
      <c r="E699" s="5"/>
      <c r="F699" s="5"/>
      <c r="G699" s="5"/>
      <c r="H699" s="5"/>
      <c r="I699" s="3"/>
      <c r="J699" s="6"/>
      <c r="K699" s="69"/>
      <c r="L699" s="69"/>
      <c r="M699" s="69"/>
      <c r="N699" s="69"/>
      <c r="O699" s="69"/>
      <c r="P699" s="69"/>
      <c r="Q699" s="69"/>
      <c r="R699" s="69"/>
      <c r="S699" s="69"/>
      <c r="T699" s="69"/>
      <c r="U699" s="69"/>
      <c r="V699" s="69"/>
      <c r="W699" s="69"/>
      <c r="X699" s="69"/>
      <c r="Y699" s="69"/>
      <c r="Z699" s="69"/>
      <c r="AA699" s="69"/>
      <c r="AB699" s="69"/>
      <c r="AC699" s="69"/>
      <c r="AD699" s="69"/>
      <c r="AE699" s="69"/>
      <c r="AF699" s="69"/>
      <c r="AG699" s="69"/>
    </row>
    <row r="700" spans="2:33" ht="12.75">
      <c r="B700" s="283"/>
      <c r="C700" s="5"/>
      <c r="D700" s="5"/>
      <c r="E700" s="5"/>
      <c r="F700" s="5"/>
      <c r="G700" s="5"/>
      <c r="H700" s="5"/>
      <c r="I700" s="3"/>
      <c r="J700" s="6"/>
      <c r="K700" s="69"/>
      <c r="L700" s="69"/>
      <c r="M700" s="69"/>
      <c r="N700" s="69"/>
      <c r="O700" s="69"/>
      <c r="P700" s="69"/>
      <c r="Q700" s="69"/>
      <c r="R700" s="69"/>
      <c r="S700" s="69"/>
      <c r="T700" s="69"/>
      <c r="U700" s="69"/>
      <c r="V700" s="69"/>
      <c r="W700" s="69"/>
      <c r="X700" s="69"/>
      <c r="Y700" s="69"/>
      <c r="Z700" s="69"/>
      <c r="AA700" s="69"/>
      <c r="AB700" s="69"/>
      <c r="AC700" s="69"/>
      <c r="AD700" s="69"/>
      <c r="AE700" s="69"/>
      <c r="AF700" s="69"/>
      <c r="AG700" s="69"/>
    </row>
    <row r="701" spans="2:33" ht="12.75">
      <c r="B701" s="283"/>
      <c r="C701" s="5"/>
      <c r="D701" s="5"/>
      <c r="E701" s="5"/>
      <c r="F701" s="5"/>
      <c r="G701" s="5"/>
      <c r="H701" s="5"/>
      <c r="I701" s="3"/>
      <c r="J701" s="6"/>
      <c r="K701" s="69"/>
      <c r="L701" s="69"/>
      <c r="M701" s="69"/>
      <c r="N701" s="69"/>
      <c r="O701" s="69"/>
      <c r="P701" s="69"/>
      <c r="Q701" s="69"/>
      <c r="R701" s="69"/>
      <c r="S701" s="69"/>
      <c r="T701" s="69"/>
      <c r="U701" s="69"/>
      <c r="V701" s="69"/>
      <c r="W701" s="69"/>
      <c r="X701" s="69"/>
      <c r="Y701" s="69"/>
      <c r="Z701" s="69"/>
      <c r="AA701" s="69"/>
      <c r="AB701" s="69"/>
      <c r="AC701" s="69"/>
      <c r="AD701" s="69"/>
      <c r="AE701" s="69"/>
      <c r="AF701" s="69"/>
      <c r="AG701" s="69"/>
    </row>
    <row r="702" spans="2:33" ht="12.75">
      <c r="B702" s="283"/>
      <c r="C702" s="5"/>
      <c r="D702" s="5"/>
      <c r="E702" s="5"/>
      <c r="F702" s="5"/>
      <c r="G702" s="5"/>
      <c r="H702" s="5"/>
      <c r="I702" s="3"/>
      <c r="J702" s="6"/>
      <c r="K702" s="69"/>
      <c r="L702" s="69"/>
      <c r="M702" s="69"/>
      <c r="N702" s="69"/>
      <c r="O702" s="69"/>
      <c r="P702" s="69"/>
      <c r="Q702" s="69"/>
      <c r="R702" s="69"/>
      <c r="S702" s="69"/>
      <c r="T702" s="69"/>
      <c r="U702" s="69"/>
      <c r="V702" s="69"/>
      <c r="W702" s="69"/>
      <c r="X702" s="69"/>
      <c r="Y702" s="69"/>
      <c r="Z702" s="69"/>
      <c r="AA702" s="69"/>
      <c r="AB702" s="69"/>
      <c r="AC702" s="69"/>
      <c r="AD702" s="69"/>
      <c r="AE702" s="69"/>
      <c r="AF702" s="69"/>
      <c r="AG702" s="69"/>
    </row>
    <row r="703" spans="2:33" ht="12.75">
      <c r="B703" s="283"/>
      <c r="C703" s="5"/>
      <c r="D703" s="5"/>
      <c r="E703" s="5"/>
      <c r="F703" s="5"/>
      <c r="G703" s="5"/>
      <c r="H703" s="5"/>
      <c r="I703" s="3"/>
      <c r="J703" s="6"/>
      <c r="K703" s="69"/>
      <c r="L703" s="69"/>
      <c r="M703" s="69"/>
      <c r="N703" s="69"/>
      <c r="O703" s="69"/>
      <c r="P703" s="69"/>
      <c r="Q703" s="69"/>
      <c r="R703" s="69"/>
      <c r="S703" s="69"/>
      <c r="T703" s="69"/>
      <c r="U703" s="69"/>
      <c r="V703" s="69"/>
      <c r="W703" s="69"/>
      <c r="X703" s="69"/>
      <c r="Y703" s="69"/>
      <c r="Z703" s="69"/>
      <c r="AA703" s="69"/>
      <c r="AB703" s="69"/>
      <c r="AC703" s="69"/>
      <c r="AD703" s="69"/>
      <c r="AE703" s="69"/>
      <c r="AF703" s="69"/>
      <c r="AG703" s="69"/>
    </row>
    <row r="704" spans="2:33" ht="12.75">
      <c r="B704" s="283"/>
      <c r="C704" s="5"/>
      <c r="D704" s="5"/>
      <c r="E704" s="5"/>
      <c r="F704" s="5"/>
      <c r="G704" s="5"/>
      <c r="H704" s="5"/>
      <c r="I704" s="3"/>
      <c r="J704" s="6"/>
      <c r="K704" s="69"/>
      <c r="L704" s="69"/>
      <c r="M704" s="69"/>
      <c r="N704" s="69"/>
      <c r="O704" s="69"/>
      <c r="P704" s="69"/>
      <c r="Q704" s="69"/>
      <c r="R704" s="69"/>
      <c r="S704" s="69"/>
      <c r="T704" s="69"/>
      <c r="U704" s="69"/>
      <c r="V704" s="69"/>
      <c r="W704" s="69"/>
      <c r="X704" s="69"/>
      <c r="Y704" s="69"/>
      <c r="Z704" s="69"/>
      <c r="AA704" s="69"/>
      <c r="AB704" s="69"/>
      <c r="AC704" s="69"/>
      <c r="AD704" s="69"/>
      <c r="AE704" s="69"/>
      <c r="AF704" s="69"/>
      <c r="AG704" s="69"/>
    </row>
    <row r="705" spans="2:33" ht="12.75">
      <c r="B705" s="283"/>
      <c r="C705" s="5"/>
      <c r="D705" s="5"/>
      <c r="E705" s="5"/>
      <c r="F705" s="5"/>
      <c r="G705" s="5"/>
      <c r="H705" s="5"/>
      <c r="I705" s="3"/>
      <c r="J705" s="6"/>
      <c r="K705" s="69"/>
      <c r="L705" s="69"/>
      <c r="M705" s="69"/>
      <c r="N705" s="69"/>
      <c r="O705" s="69"/>
      <c r="P705" s="69"/>
      <c r="Q705" s="69"/>
      <c r="R705" s="69"/>
      <c r="S705" s="69"/>
      <c r="T705" s="69"/>
      <c r="U705" s="69"/>
      <c r="V705" s="69"/>
      <c r="W705" s="69"/>
      <c r="X705" s="69"/>
      <c r="Y705" s="69"/>
      <c r="Z705" s="69"/>
      <c r="AA705" s="69"/>
      <c r="AB705" s="69"/>
      <c r="AC705" s="69"/>
      <c r="AD705" s="69"/>
      <c r="AE705" s="69"/>
      <c r="AF705" s="69"/>
      <c r="AG705" s="69"/>
    </row>
    <row r="706" spans="2:33" ht="12.75">
      <c r="B706" s="283"/>
      <c r="C706" s="5"/>
      <c r="D706" s="5"/>
      <c r="E706" s="5"/>
      <c r="F706" s="5"/>
      <c r="G706" s="5"/>
      <c r="H706" s="5"/>
      <c r="I706" s="3"/>
      <c r="J706" s="6"/>
      <c r="K706" s="69"/>
      <c r="L706" s="69"/>
      <c r="M706" s="69"/>
      <c r="N706" s="69"/>
      <c r="O706" s="69"/>
      <c r="P706" s="69"/>
      <c r="Q706" s="69"/>
      <c r="R706" s="69"/>
      <c r="S706" s="69"/>
      <c r="T706" s="69"/>
      <c r="U706" s="69"/>
      <c r="V706" s="69"/>
      <c r="W706" s="69"/>
      <c r="X706" s="69"/>
      <c r="Y706" s="69"/>
      <c r="Z706" s="69"/>
      <c r="AA706" s="69"/>
      <c r="AB706" s="69"/>
      <c r="AC706" s="69"/>
      <c r="AD706" s="69"/>
      <c r="AE706" s="69"/>
      <c r="AF706" s="69"/>
      <c r="AG706" s="69"/>
    </row>
    <row r="707" spans="2:33" ht="12.75">
      <c r="B707" s="283"/>
      <c r="C707" s="5"/>
      <c r="D707" s="5"/>
      <c r="E707" s="5"/>
      <c r="F707" s="5"/>
      <c r="G707" s="5"/>
      <c r="H707" s="5"/>
      <c r="I707" s="3"/>
      <c r="J707" s="6"/>
      <c r="K707" s="69"/>
      <c r="L707" s="69"/>
      <c r="M707" s="69"/>
      <c r="N707" s="69"/>
      <c r="O707" s="69"/>
      <c r="P707" s="69"/>
      <c r="Q707" s="69"/>
      <c r="R707" s="69"/>
      <c r="S707" s="69"/>
      <c r="T707" s="69"/>
      <c r="U707" s="69"/>
      <c r="V707" s="69"/>
      <c r="W707" s="69"/>
      <c r="X707" s="69"/>
      <c r="Y707" s="69"/>
      <c r="Z707" s="69"/>
      <c r="AA707" s="69"/>
      <c r="AB707" s="69"/>
      <c r="AC707" s="69"/>
      <c r="AD707" s="69"/>
      <c r="AE707" s="69"/>
      <c r="AF707" s="69"/>
      <c r="AG707" s="69"/>
    </row>
    <row r="708" spans="2:33" ht="12.75">
      <c r="B708" s="283"/>
      <c r="C708" s="5"/>
      <c r="D708" s="5"/>
      <c r="E708" s="5"/>
      <c r="F708" s="5"/>
      <c r="G708" s="5"/>
      <c r="H708" s="5"/>
      <c r="I708" s="3"/>
      <c r="J708" s="6"/>
      <c r="K708" s="69"/>
      <c r="L708" s="69"/>
      <c r="M708" s="69"/>
      <c r="N708" s="69"/>
      <c r="O708" s="69"/>
      <c r="P708" s="69"/>
      <c r="Q708" s="69"/>
      <c r="R708" s="69"/>
      <c r="S708" s="69"/>
      <c r="T708" s="69"/>
      <c r="U708" s="69"/>
      <c r="V708" s="69"/>
      <c r="W708" s="69"/>
      <c r="X708" s="69"/>
      <c r="Y708" s="69"/>
      <c r="Z708" s="69"/>
      <c r="AA708" s="69"/>
      <c r="AB708" s="69"/>
      <c r="AC708" s="69"/>
      <c r="AD708" s="69"/>
      <c r="AE708" s="69"/>
      <c r="AF708" s="69"/>
      <c r="AG708" s="69"/>
    </row>
    <row r="709" spans="2:33" ht="12.75">
      <c r="B709" s="283"/>
      <c r="C709" s="5"/>
      <c r="D709" s="5"/>
      <c r="E709" s="5"/>
      <c r="F709" s="5"/>
      <c r="G709" s="5"/>
      <c r="H709" s="5"/>
      <c r="I709" s="3"/>
      <c r="J709" s="6"/>
      <c r="K709" s="69"/>
      <c r="L709" s="69"/>
      <c r="M709" s="69"/>
      <c r="N709" s="69"/>
      <c r="O709" s="69"/>
      <c r="P709" s="69"/>
      <c r="Q709" s="69"/>
      <c r="R709" s="69"/>
      <c r="S709" s="69"/>
      <c r="T709" s="69"/>
      <c r="U709" s="69"/>
      <c r="V709" s="69"/>
      <c r="W709" s="69"/>
      <c r="X709" s="69"/>
      <c r="Y709" s="69"/>
      <c r="Z709" s="69"/>
      <c r="AA709" s="69"/>
      <c r="AB709" s="69"/>
      <c r="AC709" s="69"/>
      <c r="AD709" s="69"/>
      <c r="AE709" s="69"/>
      <c r="AF709" s="69"/>
      <c r="AG709" s="69"/>
    </row>
    <row r="710" spans="2:33" ht="12.75">
      <c r="B710" s="283"/>
      <c r="C710" s="5"/>
      <c r="D710" s="5"/>
      <c r="E710" s="5"/>
      <c r="F710" s="5"/>
      <c r="G710" s="5"/>
      <c r="H710" s="5"/>
      <c r="I710" s="3"/>
      <c r="J710" s="6"/>
      <c r="K710" s="69"/>
      <c r="L710" s="69"/>
      <c r="M710" s="69"/>
      <c r="N710" s="69"/>
      <c r="O710" s="69"/>
      <c r="P710" s="69"/>
      <c r="Q710" s="69"/>
      <c r="R710" s="69"/>
      <c r="S710" s="69"/>
      <c r="T710" s="69"/>
      <c r="U710" s="69"/>
      <c r="V710" s="69"/>
      <c r="W710" s="69"/>
      <c r="X710" s="69"/>
      <c r="Y710" s="69"/>
      <c r="Z710" s="69"/>
      <c r="AA710" s="69"/>
      <c r="AB710" s="69"/>
      <c r="AC710" s="69"/>
      <c r="AD710" s="69"/>
      <c r="AE710" s="69"/>
      <c r="AF710" s="69"/>
      <c r="AG710" s="69"/>
    </row>
    <row r="711" spans="2:33" ht="12.75">
      <c r="B711" s="283"/>
      <c r="C711" s="5"/>
      <c r="D711" s="5"/>
      <c r="E711" s="5"/>
      <c r="F711" s="5"/>
      <c r="G711" s="5"/>
      <c r="H711" s="5"/>
      <c r="I711" s="3"/>
      <c r="J711" s="6"/>
      <c r="K711" s="69"/>
      <c r="L711" s="69"/>
      <c r="M711" s="69"/>
      <c r="N711" s="69"/>
      <c r="O711" s="69"/>
      <c r="P711" s="69"/>
      <c r="Q711" s="69"/>
      <c r="R711" s="69"/>
      <c r="S711" s="69"/>
      <c r="T711" s="69"/>
      <c r="U711" s="69"/>
      <c r="V711" s="69"/>
      <c r="W711" s="69"/>
      <c r="X711" s="69"/>
      <c r="Y711" s="69"/>
      <c r="Z711" s="69"/>
      <c r="AA711" s="69"/>
      <c r="AB711" s="69"/>
      <c r="AC711" s="69"/>
      <c r="AD711" s="69"/>
      <c r="AE711" s="69"/>
      <c r="AF711" s="69"/>
      <c r="AG711" s="69"/>
    </row>
    <row r="712" spans="2:33" ht="12.75">
      <c r="B712" s="283"/>
      <c r="C712" s="5"/>
      <c r="D712" s="5"/>
      <c r="E712" s="5"/>
      <c r="F712" s="5"/>
      <c r="G712" s="5"/>
      <c r="H712" s="5"/>
      <c r="I712" s="3"/>
      <c r="J712" s="6"/>
      <c r="K712" s="69"/>
      <c r="L712" s="69"/>
      <c r="M712" s="69"/>
      <c r="N712" s="69"/>
      <c r="O712" s="69"/>
      <c r="P712" s="69"/>
      <c r="Q712" s="69"/>
      <c r="R712" s="69"/>
      <c r="S712" s="69"/>
      <c r="T712" s="69"/>
      <c r="U712" s="69"/>
      <c r="V712" s="69"/>
      <c r="W712" s="69"/>
      <c r="X712" s="69"/>
      <c r="Y712" s="69"/>
      <c r="Z712" s="69"/>
      <c r="AA712" s="69"/>
      <c r="AB712" s="69"/>
      <c r="AC712" s="69"/>
      <c r="AD712" s="69"/>
      <c r="AE712" s="69"/>
      <c r="AF712" s="69"/>
      <c r="AG712" s="69"/>
    </row>
    <row r="713" spans="2:33" ht="12.75">
      <c r="B713" s="283"/>
      <c r="C713" s="5"/>
      <c r="D713" s="5"/>
      <c r="E713" s="5"/>
      <c r="F713" s="5"/>
      <c r="G713" s="5"/>
      <c r="H713" s="5"/>
      <c r="I713" s="3"/>
      <c r="J713" s="6"/>
      <c r="K713" s="69"/>
      <c r="L713" s="69"/>
      <c r="M713" s="69"/>
      <c r="N713" s="69"/>
      <c r="O713" s="69"/>
      <c r="P713" s="69"/>
      <c r="Q713" s="69"/>
      <c r="R713" s="69"/>
      <c r="S713" s="69"/>
      <c r="T713" s="69"/>
      <c r="U713" s="69"/>
      <c r="V713" s="69"/>
      <c r="W713" s="69"/>
      <c r="X713" s="69"/>
      <c r="Y713" s="69"/>
      <c r="Z713" s="69"/>
      <c r="AA713" s="69"/>
      <c r="AB713" s="69"/>
      <c r="AC713" s="69"/>
      <c r="AD713" s="69"/>
      <c r="AE713" s="69"/>
      <c r="AF713" s="69"/>
      <c r="AG713" s="69"/>
    </row>
    <row r="714" spans="2:33" ht="12.75">
      <c r="B714" s="283"/>
      <c r="C714" s="5"/>
      <c r="D714" s="5"/>
      <c r="E714" s="5"/>
      <c r="F714" s="5"/>
      <c r="G714" s="5"/>
      <c r="H714" s="5"/>
      <c r="I714" s="3"/>
      <c r="J714" s="6"/>
      <c r="K714" s="69"/>
      <c r="L714" s="69"/>
      <c r="M714" s="69"/>
      <c r="N714" s="69"/>
      <c r="O714" s="69"/>
      <c r="P714" s="69"/>
      <c r="Q714" s="69"/>
      <c r="R714" s="69"/>
      <c r="S714" s="69"/>
      <c r="T714" s="69"/>
      <c r="U714" s="69"/>
      <c r="V714" s="69"/>
      <c r="W714" s="69"/>
      <c r="X714" s="69"/>
      <c r="Y714" s="69"/>
      <c r="Z714" s="69"/>
      <c r="AA714" s="69"/>
      <c r="AB714" s="69"/>
      <c r="AC714" s="69"/>
      <c r="AD714" s="69"/>
      <c r="AE714" s="69"/>
      <c r="AF714" s="69"/>
      <c r="AG714" s="69"/>
    </row>
    <row r="715" spans="2:33" ht="12.75">
      <c r="B715" s="283"/>
      <c r="C715" s="5"/>
      <c r="D715" s="5"/>
      <c r="E715" s="5"/>
      <c r="F715" s="5"/>
      <c r="G715" s="5"/>
      <c r="H715" s="5"/>
      <c r="I715" s="3"/>
      <c r="J715" s="6"/>
      <c r="K715" s="69"/>
      <c r="L715" s="69"/>
      <c r="M715" s="69"/>
      <c r="N715" s="69"/>
      <c r="O715" s="69"/>
      <c r="P715" s="69"/>
      <c r="Q715" s="69"/>
      <c r="R715" s="69"/>
      <c r="S715" s="69"/>
      <c r="T715" s="69"/>
      <c r="U715" s="69"/>
      <c r="V715" s="69"/>
      <c r="W715" s="69"/>
      <c r="X715" s="69"/>
      <c r="Y715" s="69"/>
      <c r="Z715" s="69"/>
      <c r="AA715" s="69"/>
      <c r="AB715" s="69"/>
      <c r="AC715" s="69"/>
      <c r="AD715" s="69"/>
      <c r="AE715" s="69"/>
      <c r="AF715" s="69"/>
      <c r="AG715" s="69"/>
    </row>
    <row r="716" spans="2:33" ht="12.75">
      <c r="B716" s="283"/>
      <c r="C716" s="5"/>
      <c r="D716" s="5"/>
      <c r="E716" s="5"/>
      <c r="F716" s="5"/>
      <c r="G716" s="5"/>
      <c r="H716" s="5"/>
      <c r="I716" s="3"/>
      <c r="J716" s="6"/>
      <c r="K716" s="69"/>
      <c r="L716" s="69"/>
      <c r="M716" s="69"/>
      <c r="N716" s="69"/>
      <c r="O716" s="69"/>
      <c r="P716" s="69"/>
      <c r="Q716" s="69"/>
      <c r="R716" s="69"/>
      <c r="S716" s="69"/>
      <c r="T716" s="69"/>
      <c r="U716" s="69"/>
      <c r="V716" s="69"/>
      <c r="W716" s="69"/>
      <c r="X716" s="69"/>
      <c r="Y716" s="69"/>
      <c r="Z716" s="69"/>
      <c r="AA716" s="69"/>
      <c r="AB716" s="69"/>
      <c r="AC716" s="69"/>
      <c r="AD716" s="69"/>
      <c r="AE716" s="69"/>
      <c r="AF716" s="69"/>
      <c r="AG716" s="69"/>
    </row>
    <row r="717" spans="2:33" ht="12.75">
      <c r="B717" s="283"/>
      <c r="C717" s="5"/>
      <c r="D717" s="5"/>
      <c r="E717" s="5"/>
      <c r="F717" s="5"/>
      <c r="G717" s="5"/>
      <c r="H717" s="5"/>
      <c r="I717" s="3"/>
      <c r="J717" s="6"/>
      <c r="K717" s="69"/>
      <c r="L717" s="69"/>
      <c r="M717" s="69"/>
      <c r="N717" s="69"/>
      <c r="O717" s="69"/>
      <c r="P717" s="69"/>
      <c r="Q717" s="69"/>
      <c r="R717" s="69"/>
      <c r="S717" s="69"/>
      <c r="T717" s="69"/>
      <c r="U717" s="69"/>
      <c r="V717" s="69"/>
      <c r="W717" s="69"/>
      <c r="X717" s="69"/>
      <c r="Y717" s="69"/>
      <c r="Z717" s="69"/>
      <c r="AA717" s="69"/>
      <c r="AB717" s="69"/>
      <c r="AC717" s="69"/>
      <c r="AD717" s="69"/>
      <c r="AE717" s="69"/>
      <c r="AF717" s="69"/>
      <c r="AG717" s="69"/>
    </row>
    <row r="718" spans="2:33" ht="12.75">
      <c r="B718" s="283"/>
      <c r="C718" s="5"/>
      <c r="D718" s="5"/>
      <c r="E718" s="5"/>
      <c r="F718" s="5"/>
      <c r="G718" s="5"/>
      <c r="H718" s="5"/>
      <c r="I718" s="3"/>
      <c r="J718" s="6"/>
      <c r="K718" s="69"/>
      <c r="L718" s="69"/>
      <c r="M718" s="69"/>
      <c r="N718" s="69"/>
      <c r="O718" s="69"/>
      <c r="P718" s="69"/>
      <c r="Q718" s="69"/>
      <c r="R718" s="69"/>
      <c r="S718" s="69"/>
      <c r="T718" s="69"/>
      <c r="U718" s="69"/>
      <c r="V718" s="69"/>
      <c r="W718" s="69"/>
      <c r="X718" s="69"/>
      <c r="Y718" s="69"/>
      <c r="Z718" s="69"/>
      <c r="AA718" s="69"/>
      <c r="AB718" s="69"/>
      <c r="AC718" s="69"/>
      <c r="AD718" s="69"/>
      <c r="AE718" s="69"/>
      <c r="AF718" s="69"/>
      <c r="AG718" s="69"/>
    </row>
    <row r="719" spans="2:33" ht="12.75">
      <c r="B719" s="283"/>
      <c r="C719" s="5"/>
      <c r="D719" s="5"/>
      <c r="E719" s="5"/>
      <c r="F719" s="5"/>
      <c r="G719" s="5"/>
      <c r="H719" s="5"/>
      <c r="I719" s="3"/>
      <c r="J719" s="6"/>
      <c r="K719" s="69"/>
      <c r="L719" s="69"/>
      <c r="M719" s="69"/>
      <c r="N719" s="69"/>
      <c r="O719" s="69"/>
      <c r="P719" s="69"/>
      <c r="Q719" s="69"/>
      <c r="R719" s="69"/>
      <c r="S719" s="69"/>
      <c r="T719" s="69"/>
      <c r="U719" s="69"/>
      <c r="V719" s="69"/>
      <c r="W719" s="69"/>
      <c r="X719" s="69"/>
      <c r="Y719" s="69"/>
      <c r="Z719" s="69"/>
      <c r="AA719" s="69"/>
      <c r="AB719" s="69"/>
      <c r="AC719" s="69"/>
      <c r="AD719" s="69"/>
      <c r="AE719" s="69"/>
      <c r="AF719" s="69"/>
      <c r="AG719" s="69"/>
    </row>
    <row r="720" spans="2:33" ht="12.75">
      <c r="B720" s="283"/>
      <c r="C720" s="5"/>
      <c r="D720" s="5"/>
      <c r="E720" s="5"/>
      <c r="F720" s="5"/>
      <c r="G720" s="5"/>
      <c r="H720" s="5"/>
      <c r="I720" s="3"/>
      <c r="J720" s="6"/>
      <c r="K720" s="69"/>
      <c r="L720" s="69"/>
      <c r="M720" s="69"/>
      <c r="N720" s="69"/>
      <c r="O720" s="69"/>
      <c r="P720" s="69"/>
      <c r="Q720" s="69"/>
      <c r="R720" s="69"/>
      <c r="S720" s="69"/>
      <c r="T720" s="69"/>
      <c r="U720" s="69"/>
      <c r="V720" s="69"/>
      <c r="W720" s="69"/>
      <c r="X720" s="69"/>
      <c r="Y720" s="69"/>
      <c r="Z720" s="69"/>
      <c r="AA720" s="69"/>
      <c r="AB720" s="69"/>
      <c r="AC720" s="69"/>
      <c r="AD720" s="69"/>
      <c r="AE720" s="69"/>
      <c r="AF720" s="69"/>
      <c r="AG720" s="69"/>
    </row>
    <row r="721" spans="2:33" ht="12.75">
      <c r="B721" s="283"/>
      <c r="C721" s="5"/>
      <c r="D721" s="5"/>
      <c r="E721" s="5"/>
      <c r="F721" s="5"/>
      <c r="G721" s="5"/>
      <c r="H721" s="5"/>
      <c r="I721" s="3"/>
      <c r="J721" s="6"/>
      <c r="K721" s="69"/>
      <c r="L721" s="69"/>
      <c r="M721" s="69"/>
      <c r="N721" s="69"/>
      <c r="O721" s="69"/>
      <c r="P721" s="69"/>
      <c r="Q721" s="69"/>
      <c r="R721" s="69"/>
      <c r="S721" s="69"/>
      <c r="T721" s="69"/>
      <c r="U721" s="69"/>
      <c r="V721" s="69"/>
      <c r="W721" s="69"/>
      <c r="X721" s="69"/>
      <c r="Y721" s="69"/>
      <c r="Z721" s="69"/>
      <c r="AA721" s="69"/>
      <c r="AB721" s="69"/>
      <c r="AC721" s="69"/>
      <c r="AD721" s="69"/>
      <c r="AE721" s="69"/>
      <c r="AF721" s="69"/>
      <c r="AG721" s="69"/>
    </row>
    <row r="722" spans="2:33" ht="12.75">
      <c r="B722" s="283"/>
      <c r="C722" s="5"/>
      <c r="D722" s="5"/>
      <c r="E722" s="5"/>
      <c r="F722" s="5"/>
      <c r="G722" s="5"/>
      <c r="H722" s="5"/>
      <c r="I722" s="3"/>
      <c r="J722" s="6"/>
      <c r="K722" s="69"/>
      <c r="L722" s="69"/>
      <c r="M722" s="69"/>
      <c r="N722" s="69"/>
      <c r="O722" s="69"/>
      <c r="P722" s="69"/>
      <c r="Q722" s="69"/>
      <c r="R722" s="69"/>
      <c r="S722" s="69"/>
      <c r="T722" s="69"/>
      <c r="U722" s="69"/>
      <c r="V722" s="69"/>
      <c r="W722" s="69"/>
      <c r="X722" s="69"/>
      <c r="Y722" s="69"/>
      <c r="Z722" s="69"/>
      <c r="AA722" s="69"/>
      <c r="AB722" s="69"/>
      <c r="AC722" s="69"/>
      <c r="AD722" s="69"/>
      <c r="AE722" s="69"/>
      <c r="AF722" s="69"/>
      <c r="AG722" s="69"/>
    </row>
    <row r="723" spans="2:33" ht="12.75">
      <c r="B723" s="283"/>
      <c r="C723" s="5"/>
      <c r="D723" s="5"/>
      <c r="E723" s="5"/>
      <c r="F723" s="5"/>
      <c r="G723" s="5"/>
      <c r="H723" s="5"/>
      <c r="I723" s="3"/>
      <c r="J723" s="6"/>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row>
    <row r="724" spans="2:33" ht="12.75">
      <c r="B724" s="283"/>
      <c r="C724" s="5"/>
      <c r="D724" s="5"/>
      <c r="E724" s="5"/>
      <c r="F724" s="5"/>
      <c r="G724" s="5"/>
      <c r="H724" s="5"/>
      <c r="I724" s="3"/>
      <c r="J724" s="6"/>
      <c r="K724" s="69"/>
      <c r="L724" s="69"/>
      <c r="M724" s="69"/>
      <c r="N724" s="69"/>
      <c r="O724" s="69"/>
      <c r="P724" s="69"/>
      <c r="Q724" s="69"/>
      <c r="R724" s="69"/>
      <c r="S724" s="69"/>
      <c r="T724" s="69"/>
      <c r="U724" s="69"/>
      <c r="V724" s="69"/>
      <c r="W724" s="69"/>
      <c r="X724" s="69"/>
      <c r="Y724" s="69"/>
      <c r="Z724" s="69"/>
      <c r="AA724" s="69"/>
      <c r="AB724" s="69"/>
      <c r="AC724" s="69"/>
      <c r="AD724" s="69"/>
      <c r="AE724" s="69"/>
      <c r="AF724" s="69"/>
      <c r="AG724" s="69"/>
    </row>
    <row r="725" spans="2:33" ht="12.75">
      <c r="B725" s="283"/>
      <c r="C725" s="5"/>
      <c r="D725" s="5"/>
      <c r="E725" s="5"/>
      <c r="F725" s="5"/>
      <c r="G725" s="5"/>
      <c r="H725" s="5"/>
      <c r="I725" s="3"/>
      <c r="J725" s="6"/>
      <c r="K725" s="69"/>
      <c r="L725" s="69"/>
      <c r="M725" s="69"/>
      <c r="N725" s="69"/>
      <c r="O725" s="69"/>
      <c r="P725" s="69"/>
      <c r="Q725" s="69"/>
      <c r="R725" s="69"/>
      <c r="S725" s="69"/>
      <c r="T725" s="69"/>
      <c r="U725" s="69"/>
      <c r="V725" s="69"/>
      <c r="W725" s="69"/>
      <c r="X725" s="69"/>
      <c r="Y725" s="69"/>
      <c r="Z725" s="69"/>
      <c r="AA725" s="69"/>
      <c r="AB725" s="69"/>
      <c r="AC725" s="69"/>
      <c r="AD725" s="69"/>
      <c r="AE725" s="69"/>
      <c r="AF725" s="69"/>
      <c r="AG725" s="69"/>
    </row>
    <row r="726" spans="2:33" ht="12.75">
      <c r="B726" s="283"/>
      <c r="C726" s="5"/>
      <c r="D726" s="5"/>
      <c r="E726" s="5"/>
      <c r="F726" s="5"/>
      <c r="G726" s="5"/>
      <c r="H726" s="5"/>
      <c r="I726" s="3"/>
      <c r="J726" s="6"/>
      <c r="K726" s="69"/>
      <c r="L726" s="69"/>
      <c r="M726" s="69"/>
      <c r="N726" s="69"/>
      <c r="O726" s="69"/>
      <c r="P726" s="69"/>
      <c r="Q726" s="69"/>
      <c r="R726" s="69"/>
      <c r="S726" s="69"/>
      <c r="T726" s="69"/>
      <c r="U726" s="69"/>
      <c r="V726" s="69"/>
      <c r="W726" s="69"/>
      <c r="X726" s="69"/>
      <c r="Y726" s="69"/>
      <c r="Z726" s="69"/>
      <c r="AA726" s="69"/>
      <c r="AB726" s="69"/>
      <c r="AC726" s="69"/>
      <c r="AD726" s="69"/>
      <c r="AE726" s="69"/>
      <c r="AF726" s="69"/>
      <c r="AG726" s="69"/>
    </row>
    <row r="727" spans="2:33" ht="12.75">
      <c r="B727" s="283"/>
      <c r="C727" s="5"/>
      <c r="D727" s="5"/>
      <c r="E727" s="5"/>
      <c r="F727" s="5"/>
      <c r="G727" s="5"/>
      <c r="H727" s="5"/>
      <c r="I727" s="3"/>
      <c r="J727" s="6"/>
      <c r="K727" s="69"/>
      <c r="L727" s="69"/>
      <c r="M727" s="69"/>
      <c r="N727" s="69"/>
      <c r="O727" s="69"/>
      <c r="P727" s="69"/>
      <c r="Q727" s="69"/>
      <c r="R727" s="69"/>
      <c r="S727" s="69"/>
      <c r="T727" s="69"/>
      <c r="U727" s="69"/>
      <c r="V727" s="69"/>
      <c r="W727" s="69"/>
      <c r="X727" s="69"/>
      <c r="Y727" s="69"/>
      <c r="Z727" s="69"/>
      <c r="AA727" s="69"/>
      <c r="AB727" s="69"/>
      <c r="AC727" s="69"/>
      <c r="AD727" s="69"/>
      <c r="AE727" s="69"/>
      <c r="AF727" s="69"/>
      <c r="AG727" s="69"/>
    </row>
    <row r="728" spans="2:33" ht="12.75">
      <c r="B728" s="283"/>
      <c r="C728" s="5"/>
      <c r="D728" s="5"/>
      <c r="E728" s="5"/>
      <c r="F728" s="5"/>
      <c r="G728" s="5"/>
      <c r="H728" s="5"/>
      <c r="I728" s="3"/>
      <c r="J728" s="6"/>
      <c r="K728" s="69"/>
      <c r="L728" s="69"/>
      <c r="M728" s="69"/>
      <c r="N728" s="69"/>
      <c r="O728" s="69"/>
      <c r="P728" s="69"/>
      <c r="Q728" s="69"/>
      <c r="R728" s="69"/>
      <c r="S728" s="69"/>
      <c r="T728" s="69"/>
      <c r="U728" s="69"/>
      <c r="V728" s="69"/>
      <c r="W728" s="69"/>
      <c r="X728" s="69"/>
      <c r="Y728" s="69"/>
      <c r="Z728" s="69"/>
      <c r="AA728" s="69"/>
      <c r="AB728" s="69"/>
      <c r="AC728" s="69"/>
      <c r="AD728" s="69"/>
      <c r="AE728" s="69"/>
      <c r="AF728" s="69"/>
      <c r="AG728" s="69"/>
    </row>
    <row r="729" spans="2:33" ht="12.75">
      <c r="B729" s="283"/>
      <c r="C729" s="5"/>
      <c r="D729" s="5"/>
      <c r="E729" s="5"/>
      <c r="F729" s="5"/>
      <c r="G729" s="5"/>
      <c r="H729" s="5"/>
      <c r="I729" s="3"/>
      <c r="J729" s="6"/>
      <c r="K729" s="69"/>
      <c r="L729" s="69"/>
      <c r="M729" s="69"/>
      <c r="N729" s="69"/>
      <c r="O729" s="69"/>
      <c r="P729" s="69"/>
      <c r="Q729" s="69"/>
      <c r="R729" s="69"/>
      <c r="S729" s="69"/>
      <c r="T729" s="69"/>
      <c r="U729" s="69"/>
      <c r="V729" s="69"/>
      <c r="W729" s="69"/>
      <c r="X729" s="69"/>
      <c r="Y729" s="69"/>
      <c r="Z729" s="69"/>
      <c r="AA729" s="69"/>
      <c r="AB729" s="69"/>
      <c r="AC729" s="69"/>
      <c r="AD729" s="69"/>
      <c r="AE729" s="69"/>
      <c r="AF729" s="69"/>
      <c r="AG729" s="69"/>
    </row>
    <row r="730" spans="2:33" ht="12.75">
      <c r="B730" s="283"/>
      <c r="C730" s="5"/>
      <c r="D730" s="5"/>
      <c r="E730" s="5"/>
      <c r="F730" s="5"/>
      <c r="G730" s="5"/>
      <c r="H730" s="5"/>
      <c r="I730" s="3"/>
      <c r="J730" s="6"/>
      <c r="K730" s="69"/>
      <c r="L730" s="69"/>
      <c r="M730" s="69"/>
      <c r="N730" s="69"/>
      <c r="O730" s="69"/>
      <c r="P730" s="69"/>
      <c r="Q730" s="69"/>
      <c r="R730" s="69"/>
      <c r="S730" s="69"/>
      <c r="T730" s="69"/>
      <c r="U730" s="69"/>
      <c r="V730" s="69"/>
      <c r="W730" s="69"/>
      <c r="X730" s="69"/>
      <c r="Y730" s="69"/>
      <c r="Z730" s="69"/>
      <c r="AA730" s="69"/>
      <c r="AB730" s="69"/>
      <c r="AC730" s="69"/>
      <c r="AD730" s="69"/>
      <c r="AE730" s="69"/>
      <c r="AF730" s="69"/>
      <c r="AG730" s="69"/>
    </row>
    <row r="731" spans="2:33" ht="12.75">
      <c r="B731" s="283"/>
      <c r="C731" s="5"/>
      <c r="D731" s="5"/>
      <c r="E731" s="5"/>
      <c r="F731" s="5"/>
      <c r="G731" s="5"/>
      <c r="H731" s="5"/>
      <c r="I731" s="3"/>
      <c r="J731" s="6"/>
      <c r="K731" s="69"/>
      <c r="L731" s="69"/>
      <c r="M731" s="69"/>
      <c r="N731" s="69"/>
      <c r="O731" s="69"/>
      <c r="P731" s="69"/>
      <c r="Q731" s="69"/>
      <c r="R731" s="69"/>
      <c r="S731" s="69"/>
      <c r="T731" s="69"/>
      <c r="U731" s="69"/>
      <c r="V731" s="69"/>
      <c r="W731" s="69"/>
      <c r="X731" s="69"/>
      <c r="Y731" s="69"/>
      <c r="Z731" s="69"/>
      <c r="AA731" s="69"/>
      <c r="AB731" s="69"/>
      <c r="AC731" s="69"/>
      <c r="AD731" s="69"/>
      <c r="AE731" s="69"/>
      <c r="AF731" s="69"/>
      <c r="AG731" s="69"/>
    </row>
    <row r="732" spans="2:33" ht="12.75">
      <c r="B732" s="283"/>
      <c r="C732" s="5"/>
      <c r="D732" s="5"/>
      <c r="E732" s="5"/>
      <c r="F732" s="5"/>
      <c r="G732" s="5"/>
      <c r="H732" s="5"/>
      <c r="I732" s="3"/>
      <c r="J732" s="6"/>
      <c r="K732" s="69"/>
      <c r="L732" s="69"/>
      <c r="M732" s="69"/>
      <c r="N732" s="69"/>
      <c r="O732" s="69"/>
      <c r="P732" s="69"/>
      <c r="Q732" s="69"/>
      <c r="R732" s="69"/>
      <c r="S732" s="69"/>
      <c r="T732" s="69"/>
      <c r="U732" s="69"/>
      <c r="V732" s="69"/>
      <c r="W732" s="69"/>
      <c r="X732" s="69"/>
      <c r="Y732" s="69"/>
      <c r="Z732" s="69"/>
      <c r="AA732" s="69"/>
      <c r="AB732" s="69"/>
      <c r="AC732" s="69"/>
      <c r="AD732" s="69"/>
      <c r="AE732" s="69"/>
      <c r="AF732" s="69"/>
      <c r="AG732" s="69"/>
    </row>
    <row r="733" spans="2:33" ht="12.75">
      <c r="B733" s="283"/>
      <c r="C733" s="5"/>
      <c r="D733" s="5"/>
      <c r="E733" s="5"/>
      <c r="F733" s="5"/>
      <c r="G733" s="5"/>
      <c r="H733" s="5"/>
      <c r="I733" s="3"/>
      <c r="J733" s="6"/>
      <c r="K733" s="69"/>
      <c r="L733" s="69"/>
      <c r="M733" s="69"/>
      <c r="N733" s="69"/>
      <c r="O733" s="69"/>
      <c r="P733" s="69"/>
      <c r="Q733" s="69"/>
      <c r="R733" s="69"/>
      <c r="S733" s="69"/>
      <c r="T733" s="69"/>
      <c r="U733" s="69"/>
      <c r="V733" s="69"/>
      <c r="W733" s="69"/>
      <c r="X733" s="69"/>
      <c r="Y733" s="69"/>
      <c r="Z733" s="69"/>
      <c r="AA733" s="69"/>
      <c r="AB733" s="69"/>
      <c r="AC733" s="69"/>
      <c r="AD733" s="69"/>
      <c r="AE733" s="69"/>
      <c r="AF733" s="69"/>
      <c r="AG733" s="69"/>
    </row>
    <row r="734" spans="2:33" ht="12.75">
      <c r="B734" s="283"/>
      <c r="C734" s="5"/>
      <c r="D734" s="5"/>
      <c r="E734" s="5"/>
      <c r="F734" s="5"/>
      <c r="G734" s="5"/>
      <c r="H734" s="5"/>
      <c r="I734" s="3"/>
      <c r="J734" s="6"/>
      <c r="K734" s="69"/>
      <c r="L734" s="69"/>
      <c r="M734" s="69"/>
      <c r="N734" s="69"/>
      <c r="O734" s="69"/>
      <c r="P734" s="69"/>
      <c r="Q734" s="69"/>
      <c r="R734" s="69"/>
      <c r="S734" s="69"/>
      <c r="T734" s="69"/>
      <c r="U734" s="69"/>
      <c r="V734" s="69"/>
      <c r="W734" s="69"/>
      <c r="X734" s="69"/>
      <c r="Y734" s="69"/>
      <c r="Z734" s="69"/>
      <c r="AA734" s="69"/>
      <c r="AB734" s="69"/>
      <c r="AC734" s="69"/>
      <c r="AD734" s="69"/>
      <c r="AE734" s="69"/>
      <c r="AF734" s="69"/>
      <c r="AG734" s="69"/>
    </row>
    <row r="735" spans="2:33" ht="12.75">
      <c r="B735" s="283"/>
      <c r="C735" s="5"/>
      <c r="D735" s="5"/>
      <c r="E735" s="5"/>
      <c r="F735" s="5"/>
      <c r="G735" s="5"/>
      <c r="H735" s="5"/>
      <c r="I735" s="3"/>
      <c r="J735" s="6"/>
      <c r="K735" s="69"/>
      <c r="L735" s="69"/>
      <c r="M735" s="69"/>
      <c r="N735" s="69"/>
      <c r="O735" s="69"/>
      <c r="P735" s="69"/>
      <c r="Q735" s="69"/>
      <c r="R735" s="69"/>
      <c r="S735" s="69"/>
      <c r="T735" s="69"/>
      <c r="U735" s="69"/>
      <c r="V735" s="69"/>
      <c r="W735" s="69"/>
      <c r="X735" s="69"/>
      <c r="Y735" s="69"/>
      <c r="Z735" s="69"/>
      <c r="AA735" s="69"/>
      <c r="AB735" s="69"/>
      <c r="AC735" s="69"/>
      <c r="AD735" s="69"/>
      <c r="AE735" s="69"/>
      <c r="AF735" s="69"/>
      <c r="AG735" s="69"/>
    </row>
    <row r="736" spans="2:33" ht="12.75">
      <c r="B736" s="283"/>
      <c r="C736" s="5"/>
      <c r="D736" s="5"/>
      <c r="E736" s="5"/>
      <c r="F736" s="5"/>
      <c r="G736" s="5"/>
      <c r="H736" s="5"/>
      <c r="I736" s="3"/>
      <c r="J736" s="6"/>
      <c r="K736" s="69"/>
      <c r="L736" s="69"/>
      <c r="M736" s="69"/>
      <c r="N736" s="69"/>
      <c r="O736" s="69"/>
      <c r="P736" s="69"/>
      <c r="Q736" s="69"/>
      <c r="R736" s="69"/>
      <c r="S736" s="69"/>
      <c r="T736" s="69"/>
      <c r="U736" s="69"/>
      <c r="V736" s="69"/>
      <c r="W736" s="69"/>
      <c r="X736" s="69"/>
      <c r="Y736" s="69"/>
      <c r="Z736" s="69"/>
      <c r="AA736" s="69"/>
      <c r="AB736" s="69"/>
      <c r="AC736" s="69"/>
      <c r="AD736" s="69"/>
      <c r="AE736" s="69"/>
      <c r="AF736" s="69"/>
      <c r="AG736" s="69"/>
    </row>
    <row r="737" spans="2:33" ht="12.75">
      <c r="B737" s="283"/>
      <c r="C737" s="5"/>
      <c r="D737" s="5"/>
      <c r="E737" s="5"/>
      <c r="F737" s="5"/>
      <c r="G737" s="5"/>
      <c r="H737" s="5"/>
      <c r="I737" s="3"/>
      <c r="J737" s="6"/>
      <c r="K737" s="69"/>
      <c r="L737" s="69"/>
      <c r="M737" s="69"/>
      <c r="N737" s="69"/>
      <c r="O737" s="69"/>
      <c r="P737" s="69"/>
      <c r="Q737" s="69"/>
      <c r="R737" s="69"/>
      <c r="S737" s="69"/>
      <c r="T737" s="69"/>
      <c r="U737" s="69"/>
      <c r="V737" s="69"/>
      <c r="W737" s="69"/>
      <c r="X737" s="69"/>
      <c r="Y737" s="69"/>
      <c r="Z737" s="69"/>
      <c r="AA737" s="69"/>
      <c r="AB737" s="69"/>
      <c r="AC737" s="69"/>
      <c r="AD737" s="69"/>
      <c r="AE737" s="69"/>
      <c r="AF737" s="69"/>
      <c r="AG737" s="69"/>
    </row>
    <row r="738" spans="2:33" ht="12.75">
      <c r="B738" s="283"/>
      <c r="C738" s="5"/>
      <c r="D738" s="5"/>
      <c r="E738" s="5"/>
      <c r="F738" s="5"/>
      <c r="G738" s="5"/>
      <c r="H738" s="5"/>
      <c r="I738" s="3"/>
      <c r="J738" s="6"/>
      <c r="K738" s="69"/>
      <c r="L738" s="69"/>
      <c r="M738" s="69"/>
      <c r="N738" s="69"/>
      <c r="O738" s="69"/>
      <c r="P738" s="69"/>
      <c r="Q738" s="69"/>
      <c r="R738" s="69"/>
      <c r="S738" s="69"/>
      <c r="T738" s="69"/>
      <c r="U738" s="69"/>
      <c r="V738" s="69"/>
      <c r="W738" s="69"/>
      <c r="X738" s="69"/>
      <c r="Y738" s="69"/>
      <c r="Z738" s="69"/>
      <c r="AA738" s="69"/>
      <c r="AB738" s="69"/>
      <c r="AC738" s="69"/>
      <c r="AD738" s="69"/>
      <c r="AE738" s="69"/>
      <c r="AF738" s="69"/>
      <c r="AG738" s="69"/>
    </row>
    <row r="739" spans="2:33" ht="12.75">
      <c r="B739" s="283"/>
      <c r="C739" s="5"/>
      <c r="D739" s="5"/>
      <c r="E739" s="5"/>
      <c r="F739" s="5"/>
      <c r="G739" s="5"/>
      <c r="H739" s="5"/>
      <c r="I739" s="3"/>
      <c r="J739" s="6"/>
      <c r="K739" s="69"/>
      <c r="L739" s="69"/>
      <c r="M739" s="69"/>
      <c r="N739" s="69"/>
      <c r="O739" s="69"/>
      <c r="P739" s="69"/>
      <c r="Q739" s="69"/>
      <c r="R739" s="69"/>
      <c r="S739" s="69"/>
      <c r="T739" s="69"/>
      <c r="U739" s="69"/>
      <c r="V739" s="69"/>
      <c r="W739" s="69"/>
      <c r="X739" s="69"/>
      <c r="Y739" s="69"/>
      <c r="Z739" s="69"/>
      <c r="AA739" s="69"/>
      <c r="AB739" s="69"/>
      <c r="AC739" s="69"/>
      <c r="AD739" s="69"/>
      <c r="AE739" s="69"/>
      <c r="AF739" s="69"/>
      <c r="AG739" s="69"/>
    </row>
    <row r="740" spans="2:33" ht="12.75">
      <c r="B740" s="283"/>
      <c r="C740" s="5"/>
      <c r="D740" s="5"/>
      <c r="E740" s="5"/>
      <c r="F740" s="5"/>
      <c r="G740" s="5"/>
      <c r="H740" s="5"/>
      <c r="I740" s="3"/>
      <c r="J740" s="6"/>
      <c r="K740" s="69"/>
      <c r="L740" s="69"/>
      <c r="M740" s="69"/>
      <c r="N740" s="69"/>
      <c r="O740" s="69"/>
      <c r="P740" s="69"/>
      <c r="Q740" s="69"/>
      <c r="R740" s="69"/>
      <c r="S740" s="69"/>
      <c r="T740" s="69"/>
      <c r="U740" s="69"/>
      <c r="V740" s="69"/>
      <c r="W740" s="69"/>
      <c r="X740" s="69"/>
      <c r="Y740" s="69"/>
      <c r="Z740" s="69"/>
      <c r="AA740" s="69"/>
      <c r="AB740" s="69"/>
      <c r="AC740" s="69"/>
      <c r="AD740" s="69"/>
      <c r="AE740" s="69"/>
      <c r="AF740" s="69"/>
      <c r="AG740" s="69"/>
    </row>
    <row r="741" spans="2:33" ht="12.75">
      <c r="B741" s="283"/>
      <c r="C741" s="5"/>
      <c r="D741" s="5"/>
      <c r="E741" s="5"/>
      <c r="F741" s="5"/>
      <c r="G741" s="5"/>
      <c r="H741" s="5"/>
      <c r="I741" s="3"/>
      <c r="J741" s="6"/>
      <c r="K741" s="69"/>
      <c r="L741" s="69"/>
      <c r="M741" s="69"/>
      <c r="N741" s="69"/>
      <c r="O741" s="69"/>
      <c r="P741" s="69"/>
      <c r="Q741" s="69"/>
      <c r="R741" s="69"/>
      <c r="S741" s="69"/>
      <c r="T741" s="69"/>
      <c r="U741" s="69"/>
      <c r="V741" s="69"/>
      <c r="W741" s="69"/>
      <c r="X741" s="69"/>
      <c r="Y741" s="69"/>
      <c r="Z741" s="69"/>
      <c r="AA741" s="69"/>
      <c r="AB741" s="69"/>
      <c r="AC741" s="69"/>
      <c r="AD741" s="69"/>
      <c r="AE741" s="69"/>
      <c r="AF741" s="69"/>
      <c r="AG741" s="69"/>
    </row>
    <row r="742" spans="2:33" ht="12.75">
      <c r="B742" s="283"/>
      <c r="C742" s="5"/>
      <c r="D742" s="5"/>
      <c r="E742" s="5"/>
      <c r="F742" s="5"/>
      <c r="G742" s="5"/>
      <c r="H742" s="5"/>
      <c r="I742" s="3"/>
      <c r="J742" s="6"/>
      <c r="K742" s="69"/>
      <c r="L742" s="69"/>
      <c r="M742" s="69"/>
      <c r="N742" s="69"/>
      <c r="O742" s="69"/>
      <c r="P742" s="69"/>
      <c r="Q742" s="69"/>
      <c r="R742" s="69"/>
      <c r="S742" s="69"/>
      <c r="T742" s="69"/>
      <c r="U742" s="69"/>
      <c r="V742" s="69"/>
      <c r="W742" s="69"/>
      <c r="X742" s="69"/>
      <c r="Y742" s="69"/>
      <c r="Z742" s="69"/>
      <c r="AA742" s="69"/>
      <c r="AB742" s="69"/>
      <c r="AC742" s="69"/>
      <c r="AD742" s="69"/>
      <c r="AE742" s="69"/>
      <c r="AF742" s="69"/>
      <c r="AG742" s="69"/>
    </row>
    <row r="743" spans="2:33" ht="12.75">
      <c r="B743" s="283"/>
      <c r="C743" s="5"/>
      <c r="D743" s="5"/>
      <c r="E743" s="5"/>
      <c r="F743" s="5"/>
      <c r="G743" s="5"/>
      <c r="H743" s="5"/>
      <c r="I743" s="3"/>
      <c r="J743" s="6"/>
      <c r="K743" s="69"/>
      <c r="L743" s="69"/>
      <c r="M743" s="69"/>
      <c r="N743" s="69"/>
      <c r="O743" s="69"/>
      <c r="P743" s="69"/>
      <c r="Q743" s="69"/>
      <c r="R743" s="69"/>
      <c r="S743" s="69"/>
      <c r="T743" s="69"/>
      <c r="U743" s="69"/>
      <c r="V743" s="69"/>
      <c r="W743" s="69"/>
      <c r="X743" s="69"/>
      <c r="Y743" s="69"/>
      <c r="Z743" s="69"/>
      <c r="AA743" s="69"/>
      <c r="AB743" s="69"/>
      <c r="AC743" s="69"/>
      <c r="AD743" s="69"/>
      <c r="AE743" s="69"/>
      <c r="AF743" s="69"/>
      <c r="AG743" s="69"/>
    </row>
    <row r="744" spans="2:33" ht="12.75">
      <c r="B744" s="283"/>
      <c r="C744" s="5"/>
      <c r="D744" s="5"/>
      <c r="E744" s="5"/>
      <c r="F744" s="5"/>
      <c r="G744" s="5"/>
      <c r="H744" s="5"/>
      <c r="I744" s="3"/>
      <c r="J744" s="6"/>
      <c r="K744" s="69"/>
      <c r="L744" s="69"/>
      <c r="M744" s="69"/>
      <c r="N744" s="69"/>
      <c r="O744" s="69"/>
      <c r="P744" s="69"/>
      <c r="Q744" s="69"/>
      <c r="R744" s="69"/>
      <c r="S744" s="69"/>
      <c r="T744" s="69"/>
      <c r="U744" s="69"/>
      <c r="V744" s="69"/>
      <c r="W744" s="69"/>
      <c r="X744" s="69"/>
      <c r="Y744" s="69"/>
      <c r="Z744" s="69"/>
      <c r="AA744" s="69"/>
      <c r="AB744" s="69"/>
      <c r="AC744" s="69"/>
      <c r="AD744" s="69"/>
      <c r="AE744" s="69"/>
      <c r="AF744" s="69"/>
      <c r="AG744" s="69"/>
    </row>
    <row r="745" spans="2:33" ht="12.75">
      <c r="B745" s="283"/>
      <c r="C745" s="5"/>
      <c r="D745" s="5"/>
      <c r="E745" s="5"/>
      <c r="F745" s="5"/>
      <c r="G745" s="5"/>
      <c r="H745" s="5"/>
      <c r="I745" s="3"/>
      <c r="J745" s="6"/>
      <c r="K745" s="69"/>
      <c r="L745" s="69"/>
      <c r="M745" s="69"/>
      <c r="N745" s="69"/>
      <c r="O745" s="69"/>
      <c r="P745" s="69"/>
      <c r="Q745" s="69"/>
      <c r="R745" s="69"/>
      <c r="S745" s="69"/>
      <c r="T745" s="69"/>
      <c r="U745" s="69"/>
      <c r="V745" s="69"/>
      <c r="W745" s="69"/>
      <c r="X745" s="69"/>
      <c r="Y745" s="69"/>
      <c r="Z745" s="69"/>
      <c r="AA745" s="69"/>
      <c r="AB745" s="69"/>
      <c r="AC745" s="69"/>
      <c r="AD745" s="69"/>
      <c r="AE745" s="69"/>
      <c r="AF745" s="69"/>
      <c r="AG745" s="69"/>
    </row>
    <row r="746" spans="2:33" ht="12.75">
      <c r="B746" s="283"/>
      <c r="C746" s="5"/>
      <c r="D746" s="5"/>
      <c r="E746" s="5"/>
      <c r="F746" s="5"/>
      <c r="G746" s="5"/>
      <c r="H746" s="5"/>
      <c r="I746" s="3"/>
      <c r="J746" s="6"/>
      <c r="K746" s="69"/>
      <c r="L746" s="69"/>
      <c r="M746" s="69"/>
      <c r="N746" s="69"/>
      <c r="O746" s="69"/>
      <c r="P746" s="69"/>
      <c r="Q746" s="69"/>
      <c r="R746" s="69"/>
      <c r="S746" s="69"/>
      <c r="T746" s="69"/>
      <c r="U746" s="69"/>
      <c r="V746" s="69"/>
      <c r="W746" s="69"/>
      <c r="X746" s="69"/>
      <c r="Y746" s="69"/>
      <c r="Z746" s="69"/>
      <c r="AA746" s="69"/>
      <c r="AB746" s="69"/>
      <c r="AC746" s="69"/>
      <c r="AD746" s="69"/>
      <c r="AE746" s="69"/>
      <c r="AF746" s="69"/>
      <c r="AG746" s="69"/>
    </row>
    <row r="747" spans="2:33" ht="12.75">
      <c r="B747" s="283"/>
      <c r="C747" s="5"/>
      <c r="D747" s="5"/>
      <c r="E747" s="5"/>
      <c r="F747" s="5"/>
      <c r="G747" s="5"/>
      <c r="H747" s="5"/>
      <c r="I747" s="3"/>
      <c r="J747" s="6"/>
      <c r="K747" s="69"/>
      <c r="L747" s="69"/>
      <c r="M747" s="69"/>
      <c r="N747" s="69"/>
      <c r="O747" s="69"/>
      <c r="P747" s="69"/>
      <c r="Q747" s="69"/>
      <c r="R747" s="69"/>
      <c r="S747" s="69"/>
      <c r="T747" s="69"/>
      <c r="U747" s="69"/>
      <c r="V747" s="69"/>
      <c r="W747" s="69"/>
      <c r="X747" s="69"/>
      <c r="Y747" s="69"/>
      <c r="Z747" s="69"/>
      <c r="AA747" s="69"/>
      <c r="AB747" s="69"/>
      <c r="AC747" s="69"/>
      <c r="AD747" s="69"/>
      <c r="AE747" s="69"/>
      <c r="AF747" s="69"/>
      <c r="AG747" s="69"/>
    </row>
    <row r="748" spans="2:33" ht="12.75">
      <c r="B748" s="283"/>
      <c r="C748" s="5"/>
      <c r="D748" s="5"/>
      <c r="E748" s="5"/>
      <c r="F748" s="5"/>
      <c r="G748" s="5"/>
      <c r="H748" s="5"/>
      <c r="I748" s="3"/>
      <c r="J748" s="6"/>
      <c r="K748" s="69"/>
      <c r="L748" s="69"/>
      <c r="M748" s="69"/>
      <c r="N748" s="69"/>
      <c r="O748" s="69"/>
      <c r="P748" s="69"/>
      <c r="Q748" s="69"/>
      <c r="R748" s="69"/>
      <c r="S748" s="69"/>
      <c r="T748" s="69"/>
      <c r="U748" s="69"/>
      <c r="V748" s="69"/>
      <c r="W748" s="69"/>
      <c r="X748" s="69"/>
      <c r="Y748" s="69"/>
      <c r="Z748" s="69"/>
      <c r="AA748" s="69"/>
      <c r="AB748" s="69"/>
      <c r="AC748" s="69"/>
      <c r="AD748" s="69"/>
      <c r="AE748" s="69"/>
      <c r="AF748" s="69"/>
      <c r="AG748" s="69"/>
    </row>
    <row r="749" spans="2:33" ht="12.75">
      <c r="B749" s="283"/>
      <c r="C749" s="5"/>
      <c r="D749" s="5"/>
      <c r="E749" s="5"/>
      <c r="F749" s="5"/>
      <c r="G749" s="5"/>
      <c r="H749" s="5"/>
      <c r="I749" s="3"/>
      <c r="J749" s="6"/>
      <c r="K749" s="69"/>
      <c r="L749" s="69"/>
      <c r="M749" s="69"/>
      <c r="N749" s="69"/>
      <c r="O749" s="69"/>
      <c r="P749" s="69"/>
      <c r="Q749" s="69"/>
      <c r="R749" s="69"/>
      <c r="S749" s="69"/>
      <c r="T749" s="69"/>
      <c r="U749" s="69"/>
      <c r="V749" s="69"/>
      <c r="W749" s="69"/>
      <c r="X749" s="69"/>
      <c r="Y749" s="69"/>
      <c r="Z749" s="69"/>
      <c r="AA749" s="69"/>
      <c r="AB749" s="69"/>
      <c r="AC749" s="69"/>
      <c r="AD749" s="69"/>
      <c r="AE749" s="69"/>
      <c r="AF749" s="69"/>
      <c r="AG749" s="69"/>
    </row>
    <row r="750" spans="2:33" ht="12.75">
      <c r="B750" s="283"/>
      <c r="C750" s="5"/>
      <c r="D750" s="5"/>
      <c r="E750" s="5"/>
      <c r="F750" s="5"/>
      <c r="G750" s="5"/>
      <c r="H750" s="5"/>
      <c r="I750" s="3"/>
      <c r="J750" s="6"/>
      <c r="K750" s="69"/>
      <c r="L750" s="69"/>
      <c r="M750" s="69"/>
      <c r="N750" s="69"/>
      <c r="O750" s="69"/>
      <c r="P750" s="69"/>
      <c r="Q750" s="69"/>
      <c r="R750" s="69"/>
      <c r="S750" s="69"/>
      <c r="T750" s="69"/>
      <c r="U750" s="69"/>
      <c r="V750" s="69"/>
      <c r="W750" s="69"/>
      <c r="X750" s="69"/>
      <c r="Y750" s="69"/>
      <c r="Z750" s="69"/>
      <c r="AA750" s="69"/>
      <c r="AB750" s="69"/>
      <c r="AC750" s="69"/>
      <c r="AD750" s="69"/>
      <c r="AE750" s="69"/>
      <c r="AF750" s="69"/>
      <c r="AG750" s="69"/>
    </row>
    <row r="751" spans="2:33" ht="12.75">
      <c r="B751" s="283"/>
      <c r="C751" s="5"/>
      <c r="D751" s="5"/>
      <c r="E751" s="5"/>
      <c r="F751" s="5"/>
      <c r="G751" s="5"/>
      <c r="H751" s="5"/>
      <c r="I751" s="3"/>
      <c r="J751" s="6"/>
      <c r="K751" s="69"/>
      <c r="L751" s="69"/>
      <c r="M751" s="69"/>
      <c r="N751" s="69"/>
      <c r="O751" s="69"/>
      <c r="P751" s="69"/>
      <c r="Q751" s="69"/>
      <c r="R751" s="69"/>
      <c r="S751" s="69"/>
      <c r="T751" s="69"/>
      <c r="U751" s="69"/>
      <c r="V751" s="69"/>
      <c r="W751" s="69"/>
      <c r="X751" s="69"/>
      <c r="Y751" s="69"/>
      <c r="Z751" s="69"/>
      <c r="AA751" s="69"/>
      <c r="AB751" s="69"/>
      <c r="AC751" s="69"/>
      <c r="AD751" s="69"/>
      <c r="AE751" s="69"/>
      <c r="AF751" s="69"/>
      <c r="AG751" s="69"/>
    </row>
    <row r="752" spans="2:33" ht="12.75">
      <c r="B752" s="283"/>
      <c r="C752" s="5"/>
      <c r="D752" s="5"/>
      <c r="E752" s="5"/>
      <c r="F752" s="5"/>
      <c r="G752" s="5"/>
      <c r="H752" s="5"/>
      <c r="I752" s="3"/>
      <c r="J752" s="6"/>
      <c r="K752" s="69"/>
      <c r="L752" s="69"/>
      <c r="M752" s="69"/>
      <c r="N752" s="69"/>
      <c r="O752" s="69"/>
      <c r="P752" s="69"/>
      <c r="Q752" s="69"/>
      <c r="R752" s="69"/>
      <c r="S752" s="69"/>
      <c r="T752" s="69"/>
      <c r="U752" s="69"/>
      <c r="V752" s="69"/>
      <c r="W752" s="69"/>
      <c r="X752" s="69"/>
      <c r="Y752" s="69"/>
      <c r="Z752" s="69"/>
      <c r="AA752" s="69"/>
      <c r="AB752" s="69"/>
      <c r="AC752" s="69"/>
      <c r="AD752" s="69"/>
      <c r="AE752" s="69"/>
      <c r="AF752" s="69"/>
      <c r="AG752" s="69"/>
    </row>
    <row r="753" spans="2:33" ht="12.75">
      <c r="B753" s="283"/>
      <c r="C753" s="5"/>
      <c r="D753" s="5"/>
      <c r="E753" s="5"/>
      <c r="F753" s="5"/>
      <c r="G753" s="5"/>
      <c r="H753" s="5"/>
      <c r="I753" s="3"/>
      <c r="J753" s="6"/>
      <c r="K753" s="69"/>
      <c r="L753" s="69"/>
      <c r="M753" s="69"/>
      <c r="N753" s="69"/>
      <c r="O753" s="69"/>
      <c r="P753" s="69"/>
      <c r="Q753" s="69"/>
      <c r="R753" s="69"/>
      <c r="S753" s="69"/>
      <c r="T753" s="69"/>
      <c r="U753" s="69"/>
      <c r="V753" s="69"/>
      <c r="W753" s="69"/>
      <c r="X753" s="69"/>
      <c r="Y753" s="69"/>
      <c r="Z753" s="69"/>
      <c r="AA753" s="69"/>
      <c r="AB753" s="69"/>
      <c r="AC753" s="69"/>
      <c r="AD753" s="69"/>
      <c r="AE753" s="69"/>
      <c r="AF753" s="69"/>
      <c r="AG753" s="69"/>
    </row>
    <row r="754" spans="2:33" ht="12.75">
      <c r="B754" s="283"/>
      <c r="C754" s="5"/>
      <c r="D754" s="5"/>
      <c r="E754" s="5"/>
      <c r="F754" s="5"/>
      <c r="G754" s="5"/>
      <c r="H754" s="5"/>
      <c r="I754" s="3"/>
      <c r="J754" s="6"/>
      <c r="K754" s="69"/>
      <c r="L754" s="69"/>
      <c r="M754" s="69"/>
      <c r="N754" s="69"/>
      <c r="O754" s="69"/>
      <c r="P754" s="69"/>
      <c r="Q754" s="69"/>
      <c r="R754" s="69"/>
      <c r="S754" s="69"/>
      <c r="T754" s="69"/>
      <c r="U754" s="69"/>
      <c r="V754" s="69"/>
      <c r="W754" s="69"/>
      <c r="X754" s="69"/>
      <c r="Y754" s="69"/>
      <c r="Z754" s="69"/>
      <c r="AA754" s="69"/>
      <c r="AB754" s="69"/>
      <c r="AC754" s="69"/>
      <c r="AD754" s="69"/>
      <c r="AE754" s="69"/>
      <c r="AF754" s="69"/>
      <c r="AG754" s="69"/>
    </row>
    <row r="755" spans="2:33" ht="12.75">
      <c r="B755" s="283"/>
      <c r="C755" s="5"/>
      <c r="D755" s="5"/>
      <c r="E755" s="5"/>
      <c r="F755" s="5"/>
      <c r="G755" s="5"/>
      <c r="H755" s="5"/>
      <c r="I755" s="3"/>
      <c r="J755" s="6"/>
      <c r="K755" s="69"/>
      <c r="L755" s="69"/>
      <c r="M755" s="69"/>
      <c r="N755" s="69"/>
      <c r="O755" s="69"/>
      <c r="P755" s="69"/>
      <c r="Q755" s="69"/>
      <c r="R755" s="69"/>
      <c r="S755" s="69"/>
      <c r="T755" s="69"/>
      <c r="U755" s="69"/>
      <c r="V755" s="69"/>
      <c r="W755" s="69"/>
      <c r="X755" s="69"/>
      <c r="Y755" s="69"/>
      <c r="Z755" s="69"/>
      <c r="AA755" s="69"/>
      <c r="AB755" s="69"/>
      <c r="AC755" s="69"/>
      <c r="AD755" s="69"/>
      <c r="AE755" s="69"/>
      <c r="AF755" s="69"/>
      <c r="AG755" s="69"/>
    </row>
    <row r="756" spans="2:33" ht="12.75">
      <c r="B756" s="283"/>
      <c r="C756" s="5"/>
      <c r="D756" s="5"/>
      <c r="E756" s="5"/>
      <c r="F756" s="5"/>
      <c r="G756" s="5"/>
      <c r="H756" s="5"/>
      <c r="I756" s="3"/>
      <c r="J756" s="6"/>
      <c r="K756" s="69"/>
      <c r="L756" s="69"/>
      <c r="M756" s="69"/>
      <c r="N756" s="69"/>
      <c r="O756" s="69"/>
      <c r="P756" s="69"/>
      <c r="Q756" s="69"/>
      <c r="R756" s="69"/>
      <c r="S756" s="69"/>
      <c r="T756" s="69"/>
      <c r="U756" s="69"/>
      <c r="V756" s="69"/>
      <c r="W756" s="69"/>
      <c r="X756" s="69"/>
      <c r="Y756" s="69"/>
      <c r="Z756" s="69"/>
      <c r="AA756" s="69"/>
      <c r="AB756" s="69"/>
      <c r="AC756" s="69"/>
      <c r="AD756" s="69"/>
      <c r="AE756" s="69"/>
      <c r="AF756" s="69"/>
      <c r="AG756" s="69"/>
    </row>
    <row r="757" spans="2:33" ht="12.75">
      <c r="B757" s="283"/>
      <c r="C757" s="5"/>
      <c r="D757" s="5"/>
      <c r="E757" s="5"/>
      <c r="F757" s="5"/>
      <c r="G757" s="5"/>
      <c r="H757" s="5"/>
      <c r="I757" s="3"/>
      <c r="J757" s="6"/>
      <c r="K757" s="69"/>
      <c r="L757" s="69"/>
      <c r="M757" s="69"/>
      <c r="N757" s="69"/>
      <c r="O757" s="69"/>
      <c r="P757" s="69"/>
      <c r="Q757" s="69"/>
      <c r="R757" s="69"/>
      <c r="S757" s="69"/>
      <c r="T757" s="69"/>
      <c r="U757" s="69"/>
      <c r="V757" s="69"/>
      <c r="W757" s="69"/>
      <c r="X757" s="69"/>
      <c r="Y757" s="69"/>
      <c r="Z757" s="69"/>
      <c r="AA757" s="69"/>
      <c r="AB757" s="69"/>
      <c r="AC757" s="69"/>
      <c r="AD757" s="69"/>
      <c r="AE757" s="69"/>
      <c r="AF757" s="69"/>
      <c r="AG757" s="69"/>
    </row>
    <row r="758" spans="2:33" ht="12.75">
      <c r="B758" s="283"/>
      <c r="C758" s="5"/>
      <c r="D758" s="5"/>
      <c r="E758" s="5"/>
      <c r="F758" s="5"/>
      <c r="G758" s="5"/>
      <c r="H758" s="5"/>
      <c r="I758" s="3"/>
      <c r="J758" s="6"/>
      <c r="K758" s="69"/>
      <c r="L758" s="69"/>
      <c r="M758" s="69"/>
      <c r="N758" s="69"/>
      <c r="O758" s="69"/>
      <c r="P758" s="69"/>
      <c r="Q758" s="69"/>
      <c r="R758" s="69"/>
      <c r="S758" s="69"/>
      <c r="T758" s="69"/>
      <c r="U758" s="69"/>
      <c r="V758" s="69"/>
      <c r="W758" s="69"/>
      <c r="X758" s="69"/>
      <c r="Y758" s="69"/>
      <c r="Z758" s="69"/>
      <c r="AA758" s="69"/>
      <c r="AB758" s="69"/>
      <c r="AC758" s="69"/>
      <c r="AD758" s="69"/>
      <c r="AE758" s="69"/>
      <c r="AF758" s="69"/>
      <c r="AG758" s="69"/>
    </row>
    <row r="759" spans="2:33" ht="12.75">
      <c r="B759" s="283"/>
      <c r="C759" s="5"/>
      <c r="D759" s="5"/>
      <c r="E759" s="5"/>
      <c r="F759" s="5"/>
      <c r="G759" s="5"/>
      <c r="H759" s="5"/>
      <c r="I759" s="3"/>
      <c r="J759" s="6"/>
      <c r="K759" s="69"/>
      <c r="L759" s="69"/>
      <c r="M759" s="69"/>
      <c r="N759" s="69"/>
      <c r="O759" s="69"/>
      <c r="P759" s="69"/>
      <c r="Q759" s="69"/>
      <c r="R759" s="69"/>
      <c r="S759" s="69"/>
      <c r="T759" s="69"/>
      <c r="U759" s="69"/>
      <c r="V759" s="69"/>
      <c r="W759" s="69"/>
      <c r="X759" s="69"/>
      <c r="Y759" s="69"/>
      <c r="Z759" s="69"/>
      <c r="AA759" s="69"/>
      <c r="AB759" s="69"/>
      <c r="AC759" s="69"/>
      <c r="AD759" s="69"/>
      <c r="AE759" s="69"/>
      <c r="AF759" s="69"/>
      <c r="AG759" s="69"/>
    </row>
    <row r="760" spans="2:33" ht="12.75">
      <c r="B760" s="283"/>
      <c r="C760" s="5"/>
      <c r="D760" s="5"/>
      <c r="E760" s="5"/>
      <c r="F760" s="5"/>
      <c r="G760" s="5"/>
      <c r="H760" s="5"/>
      <c r="I760" s="3"/>
      <c r="J760" s="6"/>
      <c r="K760" s="69"/>
      <c r="L760" s="69"/>
      <c r="M760" s="69"/>
      <c r="N760" s="69"/>
      <c r="O760" s="69"/>
      <c r="P760" s="69"/>
      <c r="Q760" s="69"/>
      <c r="R760" s="69"/>
      <c r="S760" s="69"/>
      <c r="T760" s="69"/>
      <c r="U760" s="69"/>
      <c r="V760" s="69"/>
      <c r="W760" s="69"/>
      <c r="X760" s="69"/>
      <c r="Y760" s="69"/>
      <c r="Z760" s="69"/>
      <c r="AA760" s="69"/>
      <c r="AB760" s="69"/>
      <c r="AC760" s="69"/>
      <c r="AD760" s="69"/>
      <c r="AE760" s="69"/>
      <c r="AF760" s="69"/>
      <c r="AG760" s="69"/>
    </row>
    <row r="761" spans="2:33" ht="12.75">
      <c r="B761" s="283"/>
      <c r="C761" s="5"/>
      <c r="D761" s="5"/>
      <c r="E761" s="5"/>
      <c r="F761" s="5"/>
      <c r="G761" s="5"/>
      <c r="H761" s="5"/>
      <c r="I761" s="3"/>
      <c r="J761" s="6"/>
      <c r="K761" s="69"/>
      <c r="L761" s="69"/>
      <c r="M761" s="69"/>
      <c r="N761" s="69"/>
      <c r="O761" s="69"/>
      <c r="P761" s="69"/>
      <c r="Q761" s="69"/>
      <c r="R761" s="69"/>
      <c r="S761" s="69"/>
      <c r="T761" s="69"/>
      <c r="U761" s="69"/>
      <c r="V761" s="69"/>
      <c r="W761" s="69"/>
      <c r="X761" s="69"/>
      <c r="Y761" s="69"/>
      <c r="Z761" s="69"/>
      <c r="AA761" s="69"/>
      <c r="AB761" s="69"/>
      <c r="AC761" s="69"/>
      <c r="AD761" s="69"/>
      <c r="AE761" s="69"/>
      <c r="AF761" s="69"/>
      <c r="AG761" s="69"/>
    </row>
    <row r="762" spans="2:33" ht="12.75">
      <c r="B762" s="283"/>
      <c r="C762" s="5"/>
      <c r="D762" s="5"/>
      <c r="E762" s="5"/>
      <c r="F762" s="5"/>
      <c r="G762" s="5"/>
      <c r="H762" s="5"/>
      <c r="I762" s="3"/>
      <c r="J762" s="6"/>
      <c r="K762" s="69"/>
      <c r="L762" s="69"/>
      <c r="M762" s="69"/>
      <c r="N762" s="69"/>
      <c r="O762" s="69"/>
      <c r="P762" s="69"/>
      <c r="Q762" s="69"/>
      <c r="R762" s="69"/>
      <c r="S762" s="69"/>
      <c r="T762" s="69"/>
      <c r="U762" s="69"/>
      <c r="V762" s="69"/>
      <c r="W762" s="69"/>
      <c r="X762" s="69"/>
      <c r="Y762" s="69"/>
      <c r="Z762" s="69"/>
      <c r="AA762" s="69"/>
      <c r="AB762" s="69"/>
      <c r="AC762" s="69"/>
      <c r="AD762" s="69"/>
      <c r="AE762" s="69"/>
      <c r="AF762" s="69"/>
      <c r="AG762" s="69"/>
    </row>
    <row r="763" spans="2:33" ht="12.75">
      <c r="B763" s="283"/>
      <c r="C763" s="5"/>
      <c r="D763" s="5"/>
      <c r="E763" s="5"/>
      <c r="F763" s="5"/>
      <c r="G763" s="5"/>
      <c r="H763" s="5"/>
      <c r="I763" s="3"/>
      <c r="J763" s="6"/>
      <c r="K763" s="69"/>
      <c r="L763" s="69"/>
      <c r="M763" s="69"/>
      <c r="N763" s="69"/>
      <c r="O763" s="69"/>
      <c r="P763" s="69"/>
      <c r="Q763" s="69"/>
      <c r="R763" s="69"/>
      <c r="S763" s="69"/>
      <c r="T763" s="69"/>
      <c r="U763" s="69"/>
      <c r="V763" s="69"/>
      <c r="W763" s="69"/>
      <c r="X763" s="69"/>
      <c r="Y763" s="69"/>
      <c r="Z763" s="69"/>
      <c r="AA763" s="69"/>
      <c r="AB763" s="69"/>
      <c r="AC763" s="69"/>
      <c r="AD763" s="69"/>
      <c r="AE763" s="69"/>
      <c r="AF763" s="69"/>
      <c r="AG763" s="69"/>
    </row>
    <row r="764" spans="2:33" ht="12.75">
      <c r="B764" s="283"/>
      <c r="C764" s="5"/>
      <c r="D764" s="5"/>
      <c r="E764" s="5"/>
      <c r="F764" s="5"/>
      <c r="G764" s="5"/>
      <c r="H764" s="5"/>
      <c r="I764" s="3"/>
      <c r="J764" s="6"/>
      <c r="K764" s="69"/>
      <c r="L764" s="69"/>
      <c r="M764" s="69"/>
      <c r="N764" s="69"/>
      <c r="O764" s="69"/>
      <c r="P764" s="69"/>
      <c r="Q764" s="69"/>
      <c r="R764" s="69"/>
      <c r="S764" s="69"/>
      <c r="T764" s="69"/>
      <c r="U764" s="69"/>
      <c r="V764" s="69"/>
      <c r="W764" s="69"/>
      <c r="X764" s="69"/>
      <c r="Y764" s="69"/>
      <c r="Z764" s="69"/>
      <c r="AA764" s="69"/>
      <c r="AB764" s="69"/>
      <c r="AC764" s="69"/>
      <c r="AD764" s="69"/>
      <c r="AE764" s="69"/>
      <c r="AF764" s="69"/>
      <c r="AG764" s="69"/>
    </row>
    <row r="765" spans="2:33" ht="12.75">
      <c r="B765" s="283"/>
      <c r="C765" s="5"/>
      <c r="D765" s="5"/>
      <c r="E765" s="5"/>
      <c r="F765" s="5"/>
      <c r="G765" s="5"/>
      <c r="H765" s="5"/>
      <c r="I765" s="3"/>
      <c r="J765" s="6"/>
      <c r="K765" s="69"/>
      <c r="L765" s="69"/>
      <c r="M765" s="69"/>
      <c r="N765" s="69"/>
      <c r="O765" s="69"/>
      <c r="P765" s="69"/>
      <c r="Q765" s="69"/>
      <c r="R765" s="69"/>
      <c r="S765" s="69"/>
      <c r="T765" s="69"/>
      <c r="U765" s="69"/>
      <c r="V765" s="69"/>
      <c r="W765" s="69"/>
      <c r="X765" s="69"/>
      <c r="Y765" s="69"/>
      <c r="Z765" s="69"/>
      <c r="AA765" s="69"/>
      <c r="AB765" s="69"/>
      <c r="AC765" s="69"/>
      <c r="AD765" s="69"/>
      <c r="AE765" s="69"/>
      <c r="AF765" s="69"/>
      <c r="AG765" s="69"/>
    </row>
    <row r="766" spans="2:33" ht="12.75">
      <c r="B766" s="283"/>
      <c r="C766" s="5"/>
      <c r="D766" s="5"/>
      <c r="E766" s="5"/>
      <c r="F766" s="5"/>
      <c r="G766" s="5"/>
      <c r="H766" s="5"/>
      <c r="I766" s="3"/>
      <c r="J766" s="6"/>
      <c r="K766" s="69"/>
      <c r="L766" s="69"/>
      <c r="M766" s="69"/>
      <c r="N766" s="69"/>
      <c r="O766" s="69"/>
      <c r="P766" s="69"/>
      <c r="Q766" s="69"/>
      <c r="R766" s="69"/>
      <c r="S766" s="69"/>
      <c r="T766" s="69"/>
      <c r="U766" s="69"/>
      <c r="V766" s="69"/>
      <c r="W766" s="69"/>
      <c r="X766" s="69"/>
      <c r="Y766" s="69"/>
      <c r="Z766" s="69"/>
      <c r="AA766" s="69"/>
      <c r="AB766" s="69"/>
      <c r="AC766" s="69"/>
      <c r="AD766" s="69"/>
      <c r="AE766" s="69"/>
      <c r="AF766" s="69"/>
      <c r="AG766" s="69"/>
    </row>
    <row r="767" spans="2:33" ht="12.75">
      <c r="B767" s="283"/>
      <c r="C767" s="5"/>
      <c r="D767" s="5"/>
      <c r="E767" s="5"/>
      <c r="F767" s="5"/>
      <c r="G767" s="5"/>
      <c r="H767" s="5"/>
      <c r="I767" s="3"/>
      <c r="J767" s="6"/>
      <c r="K767" s="69"/>
      <c r="L767" s="69"/>
      <c r="M767" s="69"/>
      <c r="N767" s="69"/>
      <c r="O767" s="69"/>
      <c r="P767" s="69"/>
      <c r="Q767" s="69"/>
      <c r="R767" s="69"/>
      <c r="S767" s="69"/>
      <c r="T767" s="69"/>
      <c r="U767" s="69"/>
      <c r="V767" s="69"/>
      <c r="W767" s="69"/>
      <c r="X767" s="69"/>
      <c r="Y767" s="69"/>
      <c r="Z767" s="69"/>
      <c r="AA767" s="69"/>
      <c r="AB767" s="69"/>
      <c r="AC767" s="69"/>
      <c r="AD767" s="69"/>
      <c r="AE767" s="69"/>
      <c r="AF767" s="69"/>
      <c r="AG767" s="69"/>
    </row>
    <row r="768" spans="2:33" ht="12.75">
      <c r="B768" s="283"/>
      <c r="C768" s="5"/>
      <c r="D768" s="5"/>
      <c r="E768" s="5"/>
      <c r="F768" s="5"/>
      <c r="G768" s="5"/>
      <c r="H768" s="5"/>
      <c r="I768" s="3"/>
      <c r="J768" s="6"/>
      <c r="K768" s="69"/>
      <c r="L768" s="69"/>
      <c r="M768" s="69"/>
      <c r="N768" s="69"/>
      <c r="O768" s="69"/>
      <c r="P768" s="69"/>
      <c r="Q768" s="69"/>
      <c r="R768" s="69"/>
      <c r="S768" s="69"/>
      <c r="T768" s="69"/>
      <c r="U768" s="69"/>
      <c r="V768" s="69"/>
      <c r="W768" s="69"/>
      <c r="X768" s="69"/>
      <c r="Y768" s="69"/>
      <c r="Z768" s="69"/>
      <c r="AA768" s="69"/>
      <c r="AB768" s="69"/>
      <c r="AC768" s="69"/>
      <c r="AD768" s="69"/>
      <c r="AE768" s="69"/>
      <c r="AF768" s="69"/>
      <c r="AG768" s="69"/>
    </row>
    <row r="769" spans="2:33" ht="12.75">
      <c r="B769" s="283"/>
      <c r="C769" s="5"/>
      <c r="D769" s="5"/>
      <c r="E769" s="5"/>
      <c r="F769" s="5"/>
      <c r="G769" s="5"/>
      <c r="H769" s="5"/>
      <c r="I769" s="3"/>
      <c r="J769" s="6"/>
      <c r="K769" s="69"/>
      <c r="L769" s="69"/>
      <c r="M769" s="69"/>
      <c r="N769" s="69"/>
      <c r="O769" s="69"/>
      <c r="P769" s="69"/>
      <c r="Q769" s="69"/>
      <c r="R769" s="69"/>
      <c r="S769" s="69"/>
      <c r="T769" s="69"/>
      <c r="U769" s="69"/>
      <c r="V769" s="69"/>
      <c r="W769" s="69"/>
      <c r="X769" s="69"/>
      <c r="Y769" s="69"/>
      <c r="Z769" s="69"/>
      <c r="AA769" s="69"/>
      <c r="AB769" s="69"/>
      <c r="AC769" s="69"/>
      <c r="AD769" s="69"/>
      <c r="AE769" s="69"/>
      <c r="AF769" s="69"/>
      <c r="AG769" s="69"/>
    </row>
    <row r="770" spans="2:33" ht="12.75">
      <c r="B770" s="283"/>
      <c r="C770" s="5"/>
      <c r="D770" s="5"/>
      <c r="E770" s="5"/>
      <c r="F770" s="5"/>
      <c r="G770" s="5"/>
      <c r="H770" s="5"/>
      <c r="I770" s="3"/>
      <c r="J770" s="6"/>
      <c r="K770" s="69"/>
      <c r="L770" s="69"/>
      <c r="M770" s="69"/>
      <c r="N770" s="69"/>
      <c r="O770" s="69"/>
      <c r="P770" s="69"/>
      <c r="Q770" s="69"/>
      <c r="R770" s="69"/>
      <c r="S770" s="69"/>
      <c r="T770" s="69"/>
      <c r="U770" s="69"/>
      <c r="V770" s="69"/>
      <c r="W770" s="69"/>
      <c r="X770" s="69"/>
      <c r="Y770" s="69"/>
      <c r="Z770" s="69"/>
      <c r="AA770" s="69"/>
      <c r="AB770" s="69"/>
      <c r="AC770" s="69"/>
      <c r="AD770" s="69"/>
      <c r="AE770" s="69"/>
      <c r="AF770" s="69"/>
      <c r="AG770" s="69"/>
    </row>
    <row r="771" spans="2:33" ht="12.75">
      <c r="B771" s="283"/>
      <c r="C771" s="5"/>
      <c r="D771" s="5"/>
      <c r="E771" s="5"/>
      <c r="F771" s="5"/>
      <c r="G771" s="5"/>
      <c r="H771" s="5"/>
      <c r="I771" s="3"/>
      <c r="J771" s="6"/>
      <c r="K771" s="69"/>
      <c r="L771" s="69"/>
      <c r="M771" s="69"/>
      <c r="N771" s="69"/>
      <c r="O771" s="69"/>
      <c r="P771" s="69"/>
      <c r="Q771" s="69"/>
      <c r="R771" s="69"/>
      <c r="S771" s="69"/>
      <c r="T771" s="69"/>
      <c r="U771" s="69"/>
      <c r="V771" s="69"/>
      <c r="W771" s="69"/>
      <c r="X771" s="69"/>
      <c r="Y771" s="69"/>
      <c r="Z771" s="69"/>
      <c r="AA771" s="69"/>
      <c r="AB771" s="69"/>
      <c r="AC771" s="69"/>
      <c r="AD771" s="69"/>
      <c r="AE771" s="69"/>
      <c r="AF771" s="69"/>
      <c r="AG771" s="69"/>
    </row>
    <row r="772" spans="2:33" ht="12.75">
      <c r="B772" s="283"/>
      <c r="C772" s="5"/>
      <c r="D772" s="5"/>
      <c r="E772" s="5"/>
      <c r="F772" s="5"/>
      <c r="G772" s="5"/>
      <c r="H772" s="5"/>
      <c r="I772" s="3"/>
      <c r="J772" s="6"/>
      <c r="K772" s="69"/>
      <c r="L772" s="69"/>
      <c r="M772" s="69"/>
      <c r="N772" s="69"/>
      <c r="O772" s="69"/>
      <c r="P772" s="69"/>
      <c r="Q772" s="69"/>
      <c r="R772" s="69"/>
      <c r="S772" s="69"/>
      <c r="T772" s="69"/>
      <c r="U772" s="69"/>
      <c r="V772" s="69"/>
      <c r="W772" s="69"/>
      <c r="X772" s="69"/>
      <c r="Y772" s="69"/>
      <c r="Z772" s="69"/>
      <c r="AA772" s="69"/>
      <c r="AB772" s="69"/>
      <c r="AC772" s="69"/>
      <c r="AD772" s="69"/>
      <c r="AE772" s="69"/>
      <c r="AF772" s="69"/>
      <c r="AG772" s="69"/>
    </row>
    <row r="773" spans="2:33" ht="12.75">
      <c r="B773" s="283"/>
      <c r="C773" s="5"/>
      <c r="D773" s="5"/>
      <c r="E773" s="5"/>
      <c r="F773" s="5"/>
      <c r="G773" s="5"/>
      <c r="H773" s="5"/>
      <c r="I773" s="3"/>
      <c r="J773" s="6"/>
      <c r="K773" s="69"/>
      <c r="L773" s="69"/>
      <c r="M773" s="69"/>
      <c r="N773" s="69"/>
      <c r="O773" s="69"/>
      <c r="P773" s="69"/>
      <c r="Q773" s="69"/>
      <c r="R773" s="69"/>
      <c r="S773" s="69"/>
      <c r="T773" s="69"/>
      <c r="U773" s="69"/>
      <c r="V773" s="69"/>
      <c r="W773" s="69"/>
      <c r="X773" s="69"/>
      <c r="Y773" s="69"/>
      <c r="Z773" s="69"/>
      <c r="AA773" s="69"/>
      <c r="AB773" s="69"/>
      <c r="AC773" s="69"/>
      <c r="AD773" s="69"/>
      <c r="AE773" s="69"/>
      <c r="AF773" s="69"/>
      <c r="AG773" s="69"/>
    </row>
    <row r="774" spans="2:33" ht="12.75">
      <c r="B774" s="283"/>
      <c r="C774" s="5"/>
      <c r="D774" s="5"/>
      <c r="E774" s="5"/>
      <c r="F774" s="5"/>
      <c r="G774" s="5"/>
      <c r="H774" s="5"/>
      <c r="I774" s="3"/>
      <c r="J774" s="6"/>
      <c r="K774" s="69"/>
      <c r="L774" s="69"/>
      <c r="M774" s="69"/>
      <c r="N774" s="69"/>
      <c r="O774" s="69"/>
      <c r="P774" s="69"/>
      <c r="Q774" s="69"/>
      <c r="R774" s="69"/>
      <c r="S774" s="69"/>
      <c r="T774" s="69"/>
      <c r="U774" s="69"/>
      <c r="V774" s="69"/>
      <c r="W774" s="69"/>
      <c r="X774" s="69"/>
      <c r="Y774" s="69"/>
      <c r="Z774" s="69"/>
      <c r="AA774" s="69"/>
      <c r="AB774" s="69"/>
      <c r="AC774" s="69"/>
      <c r="AD774" s="69"/>
      <c r="AE774" s="69"/>
      <c r="AF774" s="69"/>
      <c r="AG774" s="69"/>
    </row>
    <row r="775" spans="2:33" ht="12.75">
      <c r="B775" s="283"/>
      <c r="C775" s="5"/>
      <c r="D775" s="5"/>
      <c r="E775" s="5"/>
      <c r="F775" s="5"/>
      <c r="G775" s="5"/>
      <c r="H775" s="5"/>
      <c r="I775" s="3"/>
      <c r="J775" s="6"/>
      <c r="K775" s="69"/>
      <c r="L775" s="69"/>
      <c r="M775" s="69"/>
      <c r="N775" s="69"/>
      <c r="O775" s="69"/>
      <c r="P775" s="69"/>
      <c r="Q775" s="69"/>
      <c r="R775" s="69"/>
      <c r="S775" s="69"/>
      <c r="T775" s="69"/>
      <c r="U775" s="69"/>
      <c r="V775" s="69"/>
      <c r="W775" s="69"/>
      <c r="X775" s="69"/>
      <c r="Y775" s="69"/>
      <c r="Z775" s="69"/>
      <c r="AA775" s="69"/>
      <c r="AB775" s="69"/>
      <c r="AC775" s="69"/>
      <c r="AD775" s="69"/>
      <c r="AE775" s="69"/>
      <c r="AF775" s="69"/>
      <c r="AG775" s="69"/>
    </row>
    <row r="776" spans="2:33" ht="12.75">
      <c r="B776" s="283"/>
      <c r="C776" s="5"/>
      <c r="D776" s="5"/>
      <c r="E776" s="5"/>
      <c r="F776" s="5"/>
      <c r="G776" s="5"/>
      <c r="H776" s="5"/>
      <c r="I776" s="3"/>
      <c r="J776" s="6"/>
      <c r="K776" s="69"/>
      <c r="L776" s="69"/>
      <c r="M776" s="69"/>
      <c r="N776" s="69"/>
      <c r="O776" s="69"/>
      <c r="P776" s="69"/>
      <c r="Q776" s="69"/>
      <c r="R776" s="69"/>
      <c r="S776" s="69"/>
      <c r="T776" s="69"/>
      <c r="U776" s="69"/>
      <c r="V776" s="69"/>
      <c r="W776" s="69"/>
      <c r="X776" s="69"/>
      <c r="Y776" s="69"/>
      <c r="Z776" s="69"/>
      <c r="AA776" s="69"/>
      <c r="AB776" s="69"/>
      <c r="AC776" s="69"/>
      <c r="AD776" s="69"/>
      <c r="AE776" s="69"/>
      <c r="AF776" s="69"/>
      <c r="AG776" s="69"/>
    </row>
    <row r="777" spans="2:33" ht="12.75">
      <c r="B777" s="283"/>
      <c r="C777" s="5"/>
      <c r="D777" s="5"/>
      <c r="E777" s="5"/>
      <c r="F777" s="5"/>
      <c r="G777" s="5"/>
      <c r="H777" s="5"/>
      <c r="I777" s="3"/>
      <c r="J777" s="6"/>
      <c r="K777" s="69"/>
      <c r="L777" s="69"/>
      <c r="M777" s="69"/>
      <c r="N777" s="69"/>
      <c r="O777" s="69"/>
      <c r="P777" s="69"/>
      <c r="Q777" s="69"/>
      <c r="R777" s="69"/>
      <c r="S777" s="69"/>
      <c r="T777" s="69"/>
      <c r="U777" s="69"/>
      <c r="V777" s="69"/>
      <c r="W777" s="69"/>
      <c r="X777" s="69"/>
      <c r="Y777" s="69"/>
      <c r="Z777" s="69"/>
      <c r="AA777" s="69"/>
      <c r="AB777" s="69"/>
      <c r="AC777" s="69"/>
      <c r="AD777" s="69"/>
      <c r="AE777" s="69"/>
      <c r="AF777" s="69"/>
      <c r="AG777" s="69"/>
    </row>
    <row r="778" spans="2:33" ht="12.75">
      <c r="B778" s="283"/>
      <c r="C778" s="5"/>
      <c r="D778" s="5"/>
      <c r="E778" s="5"/>
      <c r="F778" s="5"/>
      <c r="G778" s="5"/>
      <c r="H778" s="5"/>
      <c r="I778" s="3"/>
      <c r="J778" s="6"/>
      <c r="K778" s="69"/>
      <c r="L778" s="69"/>
      <c r="M778" s="69"/>
      <c r="N778" s="69"/>
      <c r="O778" s="69"/>
      <c r="P778" s="69"/>
      <c r="Q778" s="69"/>
      <c r="R778" s="69"/>
      <c r="S778" s="69"/>
      <c r="T778" s="69"/>
      <c r="U778" s="69"/>
      <c r="V778" s="69"/>
      <c r="W778" s="69"/>
      <c r="X778" s="69"/>
      <c r="Y778" s="69"/>
      <c r="Z778" s="69"/>
      <c r="AA778" s="69"/>
      <c r="AB778" s="69"/>
      <c r="AC778" s="69"/>
      <c r="AD778" s="69"/>
      <c r="AE778" s="69"/>
      <c r="AF778" s="69"/>
      <c r="AG778" s="69"/>
    </row>
    <row r="779" spans="2:33" ht="12.75">
      <c r="B779" s="283"/>
      <c r="C779" s="5"/>
      <c r="D779" s="5"/>
      <c r="E779" s="5"/>
      <c r="F779" s="5"/>
      <c r="G779" s="5"/>
      <c r="H779" s="5"/>
      <c r="I779" s="3"/>
      <c r="J779" s="6"/>
      <c r="K779" s="69"/>
      <c r="L779" s="69"/>
      <c r="M779" s="69"/>
      <c r="N779" s="69"/>
      <c r="O779" s="69"/>
      <c r="P779" s="69"/>
      <c r="Q779" s="69"/>
      <c r="R779" s="69"/>
      <c r="S779" s="69"/>
      <c r="T779" s="69"/>
      <c r="U779" s="69"/>
      <c r="V779" s="69"/>
      <c r="W779" s="69"/>
      <c r="X779" s="69"/>
      <c r="Y779" s="69"/>
      <c r="Z779" s="69"/>
      <c r="AA779" s="69"/>
      <c r="AB779" s="69"/>
      <c r="AC779" s="69"/>
      <c r="AD779" s="69"/>
      <c r="AE779" s="69"/>
      <c r="AF779" s="69"/>
      <c r="AG779" s="69"/>
    </row>
    <row r="780" spans="2:33" ht="12.75">
      <c r="B780" s="283"/>
      <c r="C780" s="5"/>
      <c r="D780" s="5"/>
      <c r="E780" s="5"/>
      <c r="F780" s="5"/>
      <c r="G780" s="5"/>
      <c r="H780" s="5"/>
      <c r="I780" s="3"/>
      <c r="J780" s="6"/>
      <c r="K780" s="69"/>
      <c r="L780" s="69"/>
      <c r="M780" s="69"/>
      <c r="N780" s="69"/>
      <c r="O780" s="69"/>
      <c r="P780" s="69"/>
      <c r="Q780" s="69"/>
      <c r="R780" s="69"/>
      <c r="S780" s="69"/>
      <c r="T780" s="69"/>
      <c r="U780" s="69"/>
      <c r="V780" s="69"/>
      <c r="W780" s="69"/>
      <c r="X780" s="69"/>
      <c r="Y780" s="69"/>
      <c r="Z780" s="69"/>
      <c r="AA780" s="69"/>
      <c r="AB780" s="69"/>
      <c r="AC780" s="69"/>
      <c r="AD780" s="69"/>
      <c r="AE780" s="69"/>
      <c r="AF780" s="69"/>
      <c r="AG780" s="69"/>
    </row>
    <row r="781" spans="2:33" ht="12.75">
      <c r="B781" s="283"/>
      <c r="C781" s="5"/>
      <c r="D781" s="5"/>
      <c r="E781" s="5"/>
      <c r="F781" s="5"/>
      <c r="G781" s="5"/>
      <c r="H781" s="5"/>
      <c r="I781" s="3"/>
      <c r="J781" s="6"/>
      <c r="K781" s="69"/>
      <c r="L781" s="69"/>
      <c r="M781" s="69"/>
      <c r="N781" s="69"/>
      <c r="O781" s="69"/>
      <c r="P781" s="69"/>
      <c r="Q781" s="69"/>
      <c r="R781" s="69"/>
      <c r="S781" s="69"/>
      <c r="T781" s="69"/>
      <c r="U781" s="69"/>
      <c r="V781" s="69"/>
      <c r="W781" s="69"/>
      <c r="X781" s="69"/>
      <c r="Y781" s="69"/>
      <c r="Z781" s="69"/>
      <c r="AA781" s="69"/>
      <c r="AB781" s="69"/>
      <c r="AC781" s="69"/>
      <c r="AD781" s="69"/>
      <c r="AE781" s="69"/>
      <c r="AF781" s="69"/>
      <c r="AG781" s="69"/>
    </row>
    <row r="782" spans="2:33" ht="12.75">
      <c r="B782" s="283"/>
      <c r="C782" s="5"/>
      <c r="D782" s="5"/>
      <c r="E782" s="5"/>
      <c r="F782" s="5"/>
      <c r="G782" s="5"/>
      <c r="H782" s="5"/>
      <c r="I782" s="3"/>
      <c r="J782" s="6"/>
      <c r="K782" s="69"/>
      <c r="L782" s="69"/>
      <c r="M782" s="69"/>
      <c r="N782" s="69"/>
      <c r="O782" s="69"/>
      <c r="P782" s="69"/>
      <c r="Q782" s="69"/>
      <c r="R782" s="69"/>
      <c r="S782" s="69"/>
      <c r="T782" s="69"/>
      <c r="U782" s="69"/>
      <c r="V782" s="69"/>
      <c r="W782" s="69"/>
      <c r="X782" s="69"/>
      <c r="Y782" s="69"/>
      <c r="Z782" s="69"/>
      <c r="AA782" s="69"/>
      <c r="AB782" s="69"/>
      <c r="AC782" s="69"/>
      <c r="AD782" s="69"/>
      <c r="AE782" s="69"/>
      <c r="AF782" s="69"/>
      <c r="AG782" s="69"/>
    </row>
    <row r="783" spans="2:33" ht="12.75">
      <c r="B783" s="283"/>
      <c r="C783" s="5"/>
      <c r="D783" s="5"/>
      <c r="E783" s="5"/>
      <c r="F783" s="5"/>
      <c r="G783" s="5"/>
      <c r="H783" s="5"/>
      <c r="I783" s="3"/>
      <c r="J783" s="6"/>
      <c r="K783" s="69"/>
      <c r="L783" s="69"/>
      <c r="M783" s="69"/>
      <c r="N783" s="69"/>
      <c r="O783" s="69"/>
      <c r="P783" s="69"/>
      <c r="Q783" s="69"/>
      <c r="R783" s="69"/>
      <c r="S783" s="69"/>
      <c r="T783" s="69"/>
      <c r="U783" s="69"/>
      <c r="V783" s="69"/>
      <c r="W783" s="69"/>
      <c r="X783" s="69"/>
      <c r="Y783" s="69"/>
      <c r="Z783" s="69"/>
      <c r="AA783" s="69"/>
      <c r="AB783" s="69"/>
      <c r="AC783" s="69"/>
      <c r="AD783" s="69"/>
      <c r="AE783" s="69"/>
      <c r="AF783" s="69"/>
      <c r="AG783" s="69"/>
    </row>
    <row r="784" spans="2:33" ht="12.75">
      <c r="B784" s="283"/>
      <c r="C784" s="5"/>
      <c r="D784" s="5"/>
      <c r="E784" s="5"/>
      <c r="F784" s="5"/>
      <c r="G784" s="5"/>
      <c r="H784" s="5"/>
      <c r="I784" s="3"/>
      <c r="J784" s="6"/>
      <c r="K784" s="69"/>
      <c r="L784" s="69"/>
      <c r="M784" s="69"/>
      <c r="N784" s="69"/>
      <c r="O784" s="69"/>
      <c r="P784" s="69"/>
      <c r="Q784" s="69"/>
      <c r="R784" s="69"/>
      <c r="S784" s="69"/>
      <c r="T784" s="69"/>
      <c r="U784" s="69"/>
      <c r="V784" s="69"/>
      <c r="W784" s="69"/>
      <c r="X784" s="69"/>
      <c r="Y784" s="69"/>
      <c r="Z784" s="69"/>
      <c r="AA784" s="69"/>
      <c r="AB784" s="69"/>
      <c r="AC784" s="69"/>
      <c r="AD784" s="69"/>
      <c r="AE784" s="69"/>
      <c r="AF784" s="69"/>
      <c r="AG784" s="69"/>
    </row>
    <row r="785" spans="2:33" ht="12.75">
      <c r="B785" s="283"/>
      <c r="C785" s="5"/>
      <c r="D785" s="5"/>
      <c r="E785" s="5"/>
      <c r="F785" s="5"/>
      <c r="G785" s="5"/>
      <c r="H785" s="5"/>
      <c r="I785" s="3"/>
      <c r="J785" s="6"/>
      <c r="K785" s="69"/>
      <c r="L785" s="69"/>
      <c r="M785" s="69"/>
      <c r="N785" s="69"/>
      <c r="O785" s="69"/>
      <c r="P785" s="69"/>
      <c r="Q785" s="69"/>
      <c r="R785" s="69"/>
      <c r="S785" s="69"/>
      <c r="T785" s="69"/>
      <c r="U785" s="69"/>
      <c r="V785" s="69"/>
      <c r="W785" s="69"/>
      <c r="X785" s="69"/>
      <c r="Y785" s="69"/>
      <c r="Z785" s="69"/>
      <c r="AA785" s="69"/>
      <c r="AB785" s="69"/>
      <c r="AC785" s="69"/>
      <c r="AD785" s="69"/>
      <c r="AE785" s="69"/>
      <c r="AF785" s="69"/>
      <c r="AG785" s="69"/>
    </row>
    <row r="786" spans="2:33" ht="12.75">
      <c r="B786" s="283"/>
      <c r="C786" s="5"/>
      <c r="D786" s="5"/>
      <c r="E786" s="5"/>
      <c r="F786" s="5"/>
      <c r="G786" s="5"/>
      <c r="H786" s="5"/>
      <c r="I786" s="3"/>
      <c r="J786" s="6"/>
      <c r="K786" s="69"/>
      <c r="L786" s="69"/>
      <c r="M786" s="69"/>
      <c r="N786" s="69"/>
      <c r="O786" s="69"/>
      <c r="P786" s="69"/>
      <c r="Q786" s="69"/>
      <c r="R786" s="69"/>
      <c r="S786" s="69"/>
      <c r="T786" s="69"/>
      <c r="U786" s="69"/>
      <c r="V786" s="69"/>
      <c r="W786" s="69"/>
      <c r="X786" s="69"/>
      <c r="Y786" s="69"/>
      <c r="Z786" s="69"/>
      <c r="AA786" s="69"/>
      <c r="AB786" s="69"/>
      <c r="AC786" s="69"/>
      <c r="AD786" s="69"/>
      <c r="AE786" s="69"/>
      <c r="AF786" s="69"/>
      <c r="AG786" s="69"/>
    </row>
    <row r="787" spans="2:33" ht="12.75">
      <c r="B787" s="283"/>
      <c r="C787" s="5"/>
      <c r="D787" s="5"/>
      <c r="E787" s="5"/>
      <c r="F787" s="5"/>
      <c r="G787" s="5"/>
      <c r="H787" s="5"/>
      <c r="I787" s="3"/>
      <c r="J787" s="6"/>
      <c r="K787" s="69"/>
      <c r="L787" s="69"/>
      <c r="M787" s="69"/>
      <c r="N787" s="69"/>
      <c r="O787" s="69"/>
      <c r="P787" s="69"/>
      <c r="Q787" s="69"/>
      <c r="R787" s="69"/>
      <c r="S787" s="69"/>
      <c r="T787" s="69"/>
      <c r="U787" s="69"/>
      <c r="V787" s="69"/>
      <c r="W787" s="69"/>
      <c r="X787" s="69"/>
      <c r="Y787" s="69"/>
      <c r="Z787" s="69"/>
      <c r="AA787" s="69"/>
      <c r="AB787" s="69"/>
      <c r="AC787" s="69"/>
      <c r="AD787" s="69"/>
      <c r="AE787" s="69"/>
      <c r="AF787" s="69"/>
      <c r="AG787" s="69"/>
    </row>
    <row r="788" spans="2:33" ht="12.75">
      <c r="B788" s="283"/>
      <c r="C788" s="5"/>
      <c r="D788" s="5"/>
      <c r="E788" s="5"/>
      <c r="F788" s="5"/>
      <c r="G788" s="5"/>
      <c r="H788" s="5"/>
      <c r="I788" s="3"/>
      <c r="J788" s="6"/>
      <c r="K788" s="69"/>
      <c r="L788" s="69"/>
      <c r="M788" s="69"/>
      <c r="N788" s="69"/>
      <c r="O788" s="69"/>
      <c r="P788" s="69"/>
      <c r="Q788" s="69"/>
      <c r="R788" s="69"/>
      <c r="S788" s="69"/>
      <c r="T788" s="69"/>
      <c r="U788" s="69"/>
      <c r="V788" s="69"/>
      <c r="W788" s="69"/>
      <c r="X788" s="69"/>
      <c r="Y788" s="69"/>
      <c r="Z788" s="69"/>
      <c r="AA788" s="69"/>
      <c r="AB788" s="69"/>
      <c r="AC788" s="69"/>
      <c r="AD788" s="69"/>
      <c r="AE788" s="69"/>
      <c r="AF788" s="69"/>
      <c r="AG788" s="69"/>
    </row>
    <row r="789" spans="2:33" ht="12.75">
      <c r="B789" s="283"/>
      <c r="C789" s="5"/>
      <c r="D789" s="5"/>
      <c r="E789" s="5"/>
      <c r="F789" s="5"/>
      <c r="G789" s="5"/>
      <c r="H789" s="5"/>
      <c r="I789" s="3"/>
      <c r="J789" s="6"/>
      <c r="K789" s="69"/>
      <c r="L789" s="69"/>
      <c r="M789" s="69"/>
      <c r="N789" s="69"/>
      <c r="O789" s="69"/>
      <c r="P789" s="69"/>
      <c r="Q789" s="69"/>
      <c r="R789" s="69"/>
      <c r="S789" s="69"/>
      <c r="T789" s="69"/>
      <c r="U789" s="69"/>
      <c r="V789" s="69"/>
      <c r="W789" s="69"/>
      <c r="X789" s="69"/>
      <c r="Y789" s="69"/>
      <c r="Z789" s="69"/>
      <c r="AA789" s="69"/>
      <c r="AB789" s="69"/>
      <c r="AC789" s="69"/>
      <c r="AD789" s="69"/>
      <c r="AE789" s="69"/>
      <c r="AF789" s="69"/>
      <c r="AG789" s="69"/>
    </row>
    <row r="790" spans="2:33" ht="12.75">
      <c r="B790" s="283"/>
      <c r="C790" s="5"/>
      <c r="D790" s="5"/>
      <c r="E790" s="5"/>
      <c r="F790" s="5"/>
      <c r="G790" s="5"/>
      <c r="H790" s="5"/>
      <c r="I790" s="3"/>
      <c r="J790" s="6"/>
      <c r="K790" s="69"/>
      <c r="L790" s="69"/>
      <c r="M790" s="69"/>
      <c r="N790" s="69"/>
      <c r="O790" s="69"/>
      <c r="P790" s="69"/>
      <c r="Q790" s="69"/>
      <c r="R790" s="69"/>
      <c r="S790" s="69"/>
      <c r="T790" s="69"/>
      <c r="U790" s="69"/>
      <c r="V790" s="69"/>
      <c r="W790" s="69"/>
      <c r="X790" s="69"/>
      <c r="Y790" s="69"/>
      <c r="Z790" s="69"/>
      <c r="AA790" s="69"/>
      <c r="AB790" s="69"/>
      <c r="AC790" s="69"/>
      <c r="AD790" s="69"/>
      <c r="AE790" s="69"/>
      <c r="AF790" s="69"/>
      <c r="AG790" s="69"/>
    </row>
    <row r="791" spans="2:33" ht="12.75">
      <c r="B791" s="283"/>
      <c r="C791" s="5"/>
      <c r="D791" s="5"/>
      <c r="E791" s="5"/>
      <c r="F791" s="5"/>
      <c r="G791" s="5"/>
      <c r="H791" s="5"/>
      <c r="I791" s="3"/>
      <c r="J791" s="6"/>
      <c r="K791" s="69"/>
      <c r="L791" s="69"/>
      <c r="M791" s="69"/>
      <c r="N791" s="69"/>
      <c r="O791" s="69"/>
      <c r="P791" s="69"/>
      <c r="Q791" s="69"/>
      <c r="R791" s="69"/>
      <c r="S791" s="69"/>
      <c r="T791" s="69"/>
      <c r="U791" s="69"/>
      <c r="V791" s="69"/>
      <c r="W791" s="69"/>
      <c r="X791" s="69"/>
      <c r="Y791" s="69"/>
      <c r="Z791" s="69"/>
      <c r="AA791" s="69"/>
      <c r="AB791" s="69"/>
      <c r="AC791" s="69"/>
      <c r="AD791" s="69"/>
      <c r="AE791" s="69"/>
      <c r="AF791" s="69"/>
      <c r="AG791" s="69"/>
    </row>
    <row r="792" spans="2:33" ht="12.75">
      <c r="B792" s="283"/>
      <c r="C792" s="5"/>
      <c r="D792" s="5"/>
      <c r="E792" s="5"/>
      <c r="F792" s="5"/>
      <c r="G792" s="5"/>
      <c r="H792" s="5"/>
      <c r="I792" s="3"/>
      <c r="J792" s="6"/>
      <c r="K792" s="69"/>
      <c r="L792" s="69"/>
      <c r="M792" s="69"/>
      <c r="N792" s="69"/>
      <c r="O792" s="69"/>
      <c r="P792" s="69"/>
      <c r="Q792" s="69"/>
      <c r="R792" s="69"/>
      <c r="S792" s="69"/>
      <c r="T792" s="69"/>
      <c r="U792" s="69"/>
      <c r="V792" s="69"/>
      <c r="W792" s="69"/>
      <c r="X792" s="69"/>
      <c r="Y792" s="69"/>
      <c r="Z792" s="69"/>
      <c r="AA792" s="69"/>
      <c r="AB792" s="69"/>
      <c r="AC792" s="69"/>
      <c r="AD792" s="69"/>
      <c r="AE792" s="69"/>
      <c r="AF792" s="69"/>
      <c r="AG792" s="69"/>
    </row>
    <row r="793" spans="2:33" ht="12.75">
      <c r="B793" s="283"/>
      <c r="C793" s="5"/>
      <c r="D793" s="5"/>
      <c r="E793" s="5"/>
      <c r="F793" s="5"/>
      <c r="G793" s="5"/>
      <c r="H793" s="5"/>
      <c r="I793" s="3"/>
      <c r="J793" s="6"/>
      <c r="K793" s="69"/>
      <c r="L793" s="69"/>
      <c r="M793" s="69"/>
      <c r="N793" s="69"/>
      <c r="O793" s="69"/>
      <c r="P793" s="69"/>
      <c r="Q793" s="69"/>
      <c r="R793" s="69"/>
      <c r="S793" s="69"/>
      <c r="T793" s="69"/>
      <c r="U793" s="69"/>
      <c r="V793" s="69"/>
      <c r="W793" s="69"/>
      <c r="X793" s="69"/>
      <c r="Y793" s="69"/>
      <c r="Z793" s="69"/>
      <c r="AA793" s="69"/>
      <c r="AB793" s="69"/>
      <c r="AC793" s="69"/>
      <c r="AD793" s="69"/>
      <c r="AE793" s="69"/>
      <c r="AF793" s="69"/>
      <c r="AG793" s="69"/>
    </row>
    <row r="794" spans="2:33" ht="12.75">
      <c r="B794" s="283"/>
      <c r="C794" s="5"/>
      <c r="D794" s="5"/>
      <c r="E794" s="5"/>
      <c r="F794" s="5"/>
      <c r="G794" s="5"/>
      <c r="H794" s="5"/>
      <c r="I794" s="3"/>
      <c r="J794" s="6"/>
      <c r="K794" s="69"/>
      <c r="L794" s="69"/>
      <c r="M794" s="69"/>
      <c r="N794" s="69"/>
      <c r="O794" s="69"/>
      <c r="P794" s="69"/>
      <c r="Q794" s="69"/>
      <c r="R794" s="69"/>
      <c r="S794" s="69"/>
      <c r="T794" s="69"/>
      <c r="U794" s="69"/>
      <c r="V794" s="69"/>
      <c r="W794" s="69"/>
      <c r="X794" s="69"/>
      <c r="Y794" s="69"/>
      <c r="Z794" s="69"/>
      <c r="AA794" s="69"/>
      <c r="AB794" s="69"/>
      <c r="AC794" s="69"/>
      <c r="AD794" s="69"/>
      <c r="AE794" s="69"/>
      <c r="AF794" s="69"/>
      <c r="AG794" s="69"/>
    </row>
    <row r="795" spans="2:33" ht="12.75">
      <c r="B795" s="283"/>
      <c r="C795" s="5"/>
      <c r="D795" s="5"/>
      <c r="E795" s="5"/>
      <c r="F795" s="5"/>
      <c r="G795" s="5"/>
      <c r="H795" s="5"/>
      <c r="I795" s="3"/>
      <c r="J795" s="6"/>
      <c r="K795" s="69"/>
      <c r="L795" s="69"/>
      <c r="M795" s="69"/>
      <c r="N795" s="69"/>
      <c r="O795" s="69"/>
      <c r="P795" s="69"/>
      <c r="Q795" s="69"/>
      <c r="R795" s="69"/>
      <c r="S795" s="69"/>
      <c r="T795" s="69"/>
      <c r="U795" s="69"/>
      <c r="V795" s="69"/>
      <c r="W795" s="69"/>
      <c r="X795" s="69"/>
      <c r="Y795" s="69"/>
      <c r="Z795" s="69"/>
      <c r="AA795" s="69"/>
      <c r="AB795" s="69"/>
      <c r="AC795" s="69"/>
      <c r="AD795" s="69"/>
      <c r="AE795" s="69"/>
      <c r="AF795" s="69"/>
      <c r="AG795" s="69"/>
    </row>
    <row r="796" spans="2:33" ht="12.75">
      <c r="B796" s="283"/>
      <c r="C796" s="5"/>
      <c r="D796" s="5"/>
      <c r="E796" s="5"/>
      <c r="F796" s="5"/>
      <c r="G796" s="5"/>
      <c r="H796" s="5"/>
      <c r="I796" s="3"/>
      <c r="J796" s="6"/>
      <c r="K796" s="69"/>
      <c r="L796" s="69"/>
      <c r="M796" s="69"/>
      <c r="N796" s="69"/>
      <c r="O796" s="69"/>
      <c r="P796" s="69"/>
      <c r="Q796" s="69"/>
      <c r="R796" s="69"/>
      <c r="S796" s="69"/>
      <c r="T796" s="69"/>
      <c r="U796" s="69"/>
      <c r="V796" s="69"/>
      <c r="W796" s="69"/>
      <c r="X796" s="69"/>
      <c r="Y796" s="69"/>
      <c r="Z796" s="69"/>
      <c r="AA796" s="69"/>
      <c r="AB796" s="69"/>
      <c r="AC796" s="69"/>
      <c r="AD796" s="69"/>
      <c r="AE796" s="69"/>
      <c r="AF796" s="69"/>
      <c r="AG796" s="69"/>
    </row>
    <row r="797" spans="2:33" ht="12.75">
      <c r="B797" s="283"/>
      <c r="C797" s="5"/>
      <c r="D797" s="5"/>
      <c r="E797" s="5"/>
      <c r="F797" s="5"/>
      <c r="G797" s="5"/>
      <c r="H797" s="5"/>
      <c r="I797" s="3"/>
      <c r="J797" s="6"/>
      <c r="K797" s="69"/>
      <c r="L797" s="69"/>
      <c r="M797" s="69"/>
      <c r="N797" s="69"/>
      <c r="O797" s="69"/>
      <c r="P797" s="69"/>
      <c r="Q797" s="69"/>
      <c r="R797" s="69"/>
      <c r="S797" s="69"/>
      <c r="T797" s="69"/>
      <c r="U797" s="69"/>
      <c r="V797" s="69"/>
      <c r="W797" s="69"/>
      <c r="X797" s="69"/>
      <c r="Y797" s="69"/>
      <c r="Z797" s="69"/>
      <c r="AA797" s="69"/>
      <c r="AB797" s="69"/>
      <c r="AC797" s="69"/>
      <c r="AD797" s="69"/>
      <c r="AE797" s="69"/>
      <c r="AF797" s="69"/>
      <c r="AG797" s="69"/>
    </row>
    <row r="798" spans="2:33" ht="12.75">
      <c r="B798" s="283"/>
      <c r="C798" s="5"/>
      <c r="D798" s="5"/>
      <c r="E798" s="5"/>
      <c r="F798" s="5"/>
      <c r="G798" s="5"/>
      <c r="H798" s="5"/>
      <c r="I798" s="3"/>
      <c r="J798" s="6"/>
      <c r="K798" s="69"/>
      <c r="L798" s="69"/>
      <c r="M798" s="69"/>
      <c r="N798" s="69"/>
      <c r="O798" s="69"/>
      <c r="P798" s="69"/>
      <c r="Q798" s="69"/>
      <c r="R798" s="69"/>
      <c r="S798" s="69"/>
      <c r="T798" s="69"/>
      <c r="U798" s="69"/>
      <c r="V798" s="69"/>
      <c r="W798" s="69"/>
      <c r="X798" s="69"/>
      <c r="Y798" s="69"/>
      <c r="Z798" s="69"/>
      <c r="AA798" s="69"/>
      <c r="AB798" s="69"/>
      <c r="AC798" s="69"/>
      <c r="AD798" s="69"/>
      <c r="AE798" s="69"/>
      <c r="AF798" s="69"/>
      <c r="AG798" s="69"/>
    </row>
    <row r="799" spans="2:33" ht="12.75">
      <c r="B799" s="283"/>
      <c r="C799" s="5"/>
      <c r="D799" s="5"/>
      <c r="E799" s="5"/>
      <c r="F799" s="5"/>
      <c r="G799" s="5"/>
      <c r="H799" s="5"/>
      <c r="I799" s="3"/>
      <c r="J799" s="6"/>
      <c r="K799" s="69"/>
      <c r="L799" s="69"/>
      <c r="M799" s="69"/>
      <c r="N799" s="69"/>
      <c r="O799" s="69"/>
      <c r="P799" s="69"/>
      <c r="Q799" s="69"/>
      <c r="R799" s="69"/>
      <c r="S799" s="69"/>
      <c r="T799" s="69"/>
      <c r="U799" s="69"/>
      <c r="V799" s="69"/>
      <c r="W799" s="69"/>
      <c r="X799" s="69"/>
      <c r="Y799" s="69"/>
      <c r="Z799" s="69"/>
      <c r="AA799" s="69"/>
      <c r="AB799" s="69"/>
      <c r="AC799" s="69"/>
      <c r="AD799" s="69"/>
      <c r="AE799" s="69"/>
      <c r="AF799" s="69"/>
      <c r="AG799" s="69"/>
    </row>
    <row r="800" spans="2:33" ht="12.75">
      <c r="B800" s="283"/>
      <c r="C800" s="5"/>
      <c r="D800" s="5"/>
      <c r="E800" s="5"/>
      <c r="F800" s="5"/>
      <c r="G800" s="5"/>
      <c r="H800" s="5"/>
      <c r="I800" s="3"/>
      <c r="J800" s="6"/>
      <c r="K800" s="69"/>
      <c r="L800" s="69"/>
      <c r="M800" s="69"/>
      <c r="N800" s="69"/>
      <c r="O800" s="69"/>
      <c r="P800" s="69"/>
      <c r="Q800" s="69"/>
      <c r="R800" s="69"/>
      <c r="S800" s="69"/>
      <c r="T800" s="69"/>
      <c r="U800" s="69"/>
      <c r="V800" s="69"/>
      <c r="W800" s="69"/>
      <c r="X800" s="69"/>
      <c r="Y800" s="69"/>
      <c r="Z800" s="69"/>
      <c r="AA800" s="69"/>
      <c r="AB800" s="69"/>
      <c r="AC800" s="69"/>
      <c r="AD800" s="69"/>
      <c r="AE800" s="69"/>
      <c r="AF800" s="69"/>
      <c r="AG800" s="69"/>
    </row>
    <row r="801" spans="2:33" ht="12.75">
      <c r="B801" s="283"/>
      <c r="C801" s="5"/>
      <c r="D801" s="5"/>
      <c r="E801" s="5"/>
      <c r="F801" s="5"/>
      <c r="G801" s="5"/>
      <c r="H801" s="5"/>
      <c r="I801" s="3"/>
      <c r="J801" s="6"/>
      <c r="K801" s="69"/>
      <c r="L801" s="69"/>
      <c r="M801" s="69"/>
      <c r="N801" s="69"/>
      <c r="O801" s="69"/>
      <c r="P801" s="69"/>
      <c r="Q801" s="69"/>
      <c r="R801" s="69"/>
      <c r="S801" s="69"/>
      <c r="T801" s="69"/>
      <c r="U801" s="69"/>
      <c r="V801" s="69"/>
      <c r="W801" s="69"/>
      <c r="X801" s="69"/>
      <c r="Y801" s="69"/>
      <c r="Z801" s="69"/>
      <c r="AA801" s="69"/>
      <c r="AB801" s="69"/>
      <c r="AC801" s="69"/>
      <c r="AD801" s="69"/>
      <c r="AE801" s="69"/>
      <c r="AF801" s="69"/>
      <c r="AG801" s="69"/>
    </row>
    <row r="802" spans="2:33" ht="12.75">
      <c r="B802" s="283"/>
      <c r="C802" s="5"/>
      <c r="D802" s="5"/>
      <c r="E802" s="5"/>
      <c r="F802" s="5"/>
      <c r="G802" s="5"/>
      <c r="H802" s="5"/>
      <c r="I802" s="3"/>
      <c r="J802" s="6"/>
      <c r="K802" s="69"/>
      <c r="L802" s="69"/>
      <c r="M802" s="69"/>
      <c r="N802" s="69"/>
      <c r="O802" s="69"/>
      <c r="P802" s="69"/>
      <c r="Q802" s="69"/>
      <c r="R802" s="69"/>
      <c r="S802" s="69"/>
      <c r="T802" s="69"/>
      <c r="U802" s="69"/>
      <c r="V802" s="69"/>
      <c r="W802" s="69"/>
      <c r="X802" s="69"/>
      <c r="Y802" s="69"/>
      <c r="Z802" s="69"/>
      <c r="AA802" s="69"/>
      <c r="AB802" s="69"/>
      <c r="AC802" s="69"/>
      <c r="AD802" s="69"/>
      <c r="AE802" s="69"/>
      <c r="AF802" s="69"/>
      <c r="AG802" s="69"/>
    </row>
    <row r="803" spans="2:33" ht="12.75">
      <c r="B803" s="283"/>
      <c r="C803" s="5"/>
      <c r="D803" s="5"/>
      <c r="E803" s="5"/>
      <c r="F803" s="5"/>
      <c r="G803" s="5"/>
      <c r="H803" s="5"/>
      <c r="I803" s="3"/>
      <c r="J803" s="6"/>
      <c r="K803" s="69"/>
      <c r="L803" s="69"/>
      <c r="M803" s="69"/>
      <c r="N803" s="69"/>
      <c r="O803" s="69"/>
      <c r="P803" s="69"/>
      <c r="Q803" s="69"/>
      <c r="R803" s="69"/>
      <c r="S803" s="69"/>
      <c r="T803" s="69"/>
      <c r="U803" s="69"/>
      <c r="V803" s="69"/>
      <c r="W803" s="69"/>
      <c r="X803" s="69"/>
      <c r="Y803" s="69"/>
      <c r="Z803" s="69"/>
      <c r="AA803" s="69"/>
      <c r="AB803" s="69"/>
      <c r="AC803" s="69"/>
      <c r="AD803" s="69"/>
      <c r="AE803" s="69"/>
      <c r="AF803" s="69"/>
      <c r="AG803" s="69"/>
    </row>
    <row r="804" spans="2:33" ht="12.75">
      <c r="B804" s="283"/>
      <c r="C804" s="5"/>
      <c r="D804" s="5"/>
      <c r="E804" s="5"/>
      <c r="F804" s="5"/>
      <c r="G804" s="5"/>
      <c r="H804" s="5"/>
      <c r="I804" s="3"/>
      <c r="J804" s="6"/>
      <c r="K804" s="69"/>
      <c r="L804" s="69"/>
      <c r="M804" s="69"/>
      <c r="N804" s="69"/>
      <c r="O804" s="69"/>
      <c r="P804" s="69"/>
      <c r="Q804" s="69"/>
      <c r="R804" s="69"/>
      <c r="S804" s="69"/>
      <c r="T804" s="69"/>
      <c r="U804" s="69"/>
      <c r="V804" s="69"/>
      <c r="W804" s="69"/>
      <c r="X804" s="69"/>
      <c r="Y804" s="69"/>
      <c r="Z804" s="69"/>
      <c r="AA804" s="69"/>
      <c r="AB804" s="69"/>
      <c r="AC804" s="69"/>
      <c r="AD804" s="69"/>
      <c r="AE804" s="69"/>
      <c r="AF804" s="69"/>
      <c r="AG804" s="69"/>
    </row>
    <row r="805" spans="2:33" ht="12.75">
      <c r="B805" s="283"/>
      <c r="C805" s="5"/>
      <c r="D805" s="5"/>
      <c r="E805" s="5"/>
      <c r="F805" s="5"/>
      <c r="G805" s="5"/>
      <c r="H805" s="5"/>
      <c r="I805" s="3"/>
      <c r="J805" s="6"/>
      <c r="K805" s="69"/>
      <c r="L805" s="69"/>
      <c r="M805" s="69"/>
      <c r="N805" s="69"/>
      <c r="O805" s="69"/>
      <c r="P805" s="69"/>
      <c r="Q805" s="69"/>
      <c r="R805" s="69"/>
      <c r="S805" s="69"/>
      <c r="T805" s="69"/>
      <c r="U805" s="69"/>
      <c r="V805" s="69"/>
      <c r="W805" s="69"/>
      <c r="X805" s="69"/>
      <c r="Y805" s="69"/>
      <c r="Z805" s="69"/>
      <c r="AA805" s="69"/>
      <c r="AB805" s="69"/>
      <c r="AC805" s="69"/>
      <c r="AD805" s="69"/>
      <c r="AE805" s="69"/>
      <c r="AF805" s="69"/>
      <c r="AG805" s="69"/>
    </row>
    <row r="806" spans="2:33" ht="12.75">
      <c r="B806" s="283"/>
      <c r="C806" s="5"/>
      <c r="D806" s="5"/>
      <c r="E806" s="5"/>
      <c r="F806" s="5"/>
      <c r="G806" s="5"/>
      <c r="H806" s="5"/>
      <c r="I806" s="3"/>
      <c r="J806" s="6"/>
      <c r="K806" s="69"/>
      <c r="L806" s="69"/>
      <c r="M806" s="69"/>
      <c r="N806" s="69"/>
      <c r="O806" s="69"/>
      <c r="P806" s="69"/>
      <c r="Q806" s="69"/>
      <c r="R806" s="69"/>
      <c r="S806" s="69"/>
      <c r="T806" s="69"/>
      <c r="U806" s="69"/>
      <c r="V806" s="69"/>
      <c r="W806" s="69"/>
      <c r="X806" s="69"/>
      <c r="Y806" s="69"/>
      <c r="Z806" s="69"/>
      <c r="AA806" s="69"/>
      <c r="AB806" s="69"/>
      <c r="AC806" s="69"/>
      <c r="AD806" s="69"/>
      <c r="AE806" s="69"/>
      <c r="AF806" s="69"/>
      <c r="AG806" s="69"/>
    </row>
    <row r="807" spans="2:33" ht="12.75">
      <c r="B807" s="283"/>
      <c r="C807" s="5"/>
      <c r="D807" s="5"/>
      <c r="E807" s="5"/>
      <c r="F807" s="5"/>
      <c r="G807" s="5"/>
      <c r="H807" s="5"/>
      <c r="I807" s="3"/>
      <c r="J807" s="6"/>
      <c r="K807" s="69"/>
      <c r="L807" s="69"/>
      <c r="M807" s="69"/>
      <c r="N807" s="69"/>
      <c r="O807" s="69"/>
      <c r="P807" s="69"/>
      <c r="Q807" s="69"/>
      <c r="R807" s="69"/>
      <c r="S807" s="69"/>
      <c r="T807" s="69"/>
      <c r="U807" s="69"/>
      <c r="V807" s="69"/>
      <c r="W807" s="69"/>
      <c r="X807" s="69"/>
      <c r="Y807" s="69"/>
      <c r="Z807" s="69"/>
      <c r="AA807" s="69"/>
      <c r="AB807" s="69"/>
      <c r="AC807" s="69"/>
      <c r="AD807" s="69"/>
      <c r="AE807" s="69"/>
      <c r="AF807" s="69"/>
      <c r="AG807" s="69"/>
    </row>
    <row r="808" spans="2:33" ht="12.75">
      <c r="B808" s="283"/>
      <c r="C808" s="5"/>
      <c r="D808" s="5"/>
      <c r="E808" s="5"/>
      <c r="F808" s="5"/>
      <c r="G808" s="5"/>
      <c r="H808" s="5"/>
      <c r="I808" s="3"/>
      <c r="J808" s="6"/>
      <c r="K808" s="69"/>
      <c r="L808" s="69"/>
      <c r="M808" s="69"/>
      <c r="N808" s="69"/>
      <c r="O808" s="69"/>
      <c r="P808" s="69"/>
      <c r="Q808" s="69"/>
      <c r="R808" s="69"/>
      <c r="S808" s="69"/>
      <c r="T808" s="69"/>
      <c r="U808" s="69"/>
      <c r="V808" s="69"/>
      <c r="W808" s="69"/>
      <c r="X808" s="69"/>
      <c r="Y808" s="69"/>
      <c r="Z808" s="69"/>
      <c r="AA808" s="69"/>
      <c r="AB808" s="69"/>
      <c r="AC808" s="69"/>
      <c r="AD808" s="69"/>
      <c r="AE808" s="69"/>
      <c r="AF808" s="69"/>
      <c r="AG808" s="69"/>
    </row>
    <row r="809" spans="2:33" ht="12.75">
      <c r="B809" s="283"/>
      <c r="C809" s="5"/>
      <c r="D809" s="5"/>
      <c r="E809" s="5"/>
      <c r="F809" s="5"/>
      <c r="G809" s="5"/>
      <c r="H809" s="5"/>
      <c r="I809" s="3"/>
      <c r="J809" s="6"/>
      <c r="K809" s="69"/>
      <c r="L809" s="69"/>
      <c r="M809" s="69"/>
      <c r="N809" s="69"/>
      <c r="O809" s="69"/>
      <c r="P809" s="69"/>
      <c r="Q809" s="69"/>
      <c r="R809" s="69"/>
      <c r="S809" s="69"/>
      <c r="T809" s="69"/>
      <c r="U809" s="69"/>
      <c r="V809" s="69"/>
      <c r="W809" s="69"/>
      <c r="X809" s="69"/>
      <c r="Y809" s="69"/>
      <c r="Z809" s="69"/>
      <c r="AA809" s="69"/>
      <c r="AB809" s="69"/>
      <c r="AC809" s="69"/>
      <c r="AD809" s="69"/>
      <c r="AE809" s="69"/>
      <c r="AF809" s="69"/>
      <c r="AG809" s="69"/>
    </row>
    <row r="810" spans="2:33" ht="12.75">
      <c r="B810" s="283"/>
      <c r="C810" s="5"/>
      <c r="D810" s="5"/>
      <c r="E810" s="5"/>
      <c r="F810" s="5"/>
      <c r="G810" s="5"/>
      <c r="H810" s="5"/>
      <c r="I810" s="3"/>
      <c r="J810" s="6"/>
      <c r="K810" s="69"/>
      <c r="L810" s="69"/>
      <c r="M810" s="69"/>
      <c r="N810" s="69"/>
      <c r="O810" s="69"/>
      <c r="P810" s="69"/>
      <c r="Q810" s="69"/>
      <c r="R810" s="69"/>
      <c r="S810" s="69"/>
      <c r="T810" s="69"/>
      <c r="U810" s="69"/>
      <c r="V810" s="69"/>
      <c r="W810" s="69"/>
      <c r="X810" s="69"/>
      <c r="Y810" s="69"/>
      <c r="Z810" s="69"/>
      <c r="AA810" s="69"/>
      <c r="AB810" s="69"/>
      <c r="AC810" s="69"/>
      <c r="AD810" s="69"/>
      <c r="AE810" s="69"/>
      <c r="AF810" s="69"/>
      <c r="AG810" s="69"/>
    </row>
    <row r="811" spans="2:33" ht="12.75">
      <c r="B811" s="283"/>
      <c r="C811" s="5"/>
      <c r="D811" s="5"/>
      <c r="E811" s="5"/>
      <c r="F811" s="5"/>
      <c r="G811" s="5"/>
      <c r="H811" s="5"/>
      <c r="I811" s="3"/>
      <c r="J811" s="6"/>
      <c r="K811" s="69"/>
      <c r="L811" s="69"/>
      <c r="M811" s="69"/>
      <c r="N811" s="69"/>
      <c r="O811" s="69"/>
      <c r="P811" s="69"/>
      <c r="Q811" s="69"/>
      <c r="R811" s="69"/>
      <c r="S811" s="69"/>
      <c r="T811" s="69"/>
      <c r="U811" s="69"/>
      <c r="V811" s="69"/>
      <c r="W811" s="69"/>
      <c r="X811" s="69"/>
      <c r="Y811" s="69"/>
      <c r="Z811" s="69"/>
      <c r="AA811" s="69"/>
      <c r="AB811" s="69"/>
      <c r="AC811" s="69"/>
      <c r="AD811" s="69"/>
      <c r="AE811" s="69"/>
      <c r="AF811" s="69"/>
      <c r="AG811" s="69"/>
    </row>
    <row r="812" spans="2:33" ht="12.75">
      <c r="B812" s="283"/>
      <c r="C812" s="5"/>
      <c r="D812" s="5"/>
      <c r="E812" s="5"/>
      <c r="F812" s="5"/>
      <c r="G812" s="5"/>
      <c r="H812" s="5"/>
      <c r="I812" s="3"/>
      <c r="J812" s="6"/>
      <c r="K812" s="69"/>
      <c r="L812" s="69"/>
      <c r="M812" s="69"/>
      <c r="N812" s="69"/>
      <c r="O812" s="69"/>
      <c r="P812" s="69"/>
      <c r="Q812" s="69"/>
      <c r="R812" s="69"/>
      <c r="S812" s="69"/>
      <c r="T812" s="69"/>
      <c r="U812" s="69"/>
      <c r="V812" s="69"/>
      <c r="W812" s="69"/>
      <c r="X812" s="69"/>
      <c r="Y812" s="69"/>
      <c r="Z812" s="69"/>
      <c r="AA812" s="69"/>
      <c r="AB812" s="69"/>
      <c r="AC812" s="69"/>
      <c r="AD812" s="69"/>
      <c r="AE812" s="69"/>
      <c r="AF812" s="69"/>
      <c r="AG812" s="69"/>
    </row>
    <row r="813" spans="2:33" ht="12.75">
      <c r="B813" s="283"/>
      <c r="C813" s="5"/>
      <c r="D813" s="5"/>
      <c r="E813" s="5"/>
      <c r="F813" s="5"/>
      <c r="G813" s="5"/>
      <c r="H813" s="5"/>
      <c r="I813" s="3"/>
      <c r="J813" s="6"/>
      <c r="K813" s="69"/>
      <c r="L813" s="69"/>
      <c r="M813" s="69"/>
      <c r="N813" s="69"/>
      <c r="O813" s="69"/>
      <c r="P813" s="69"/>
      <c r="Q813" s="69"/>
      <c r="R813" s="69"/>
      <c r="S813" s="69"/>
      <c r="T813" s="69"/>
      <c r="U813" s="69"/>
      <c r="V813" s="69"/>
      <c r="W813" s="69"/>
      <c r="X813" s="69"/>
      <c r="Y813" s="69"/>
      <c r="Z813" s="69"/>
      <c r="AA813" s="69"/>
      <c r="AB813" s="69"/>
      <c r="AC813" s="69"/>
      <c r="AD813" s="69"/>
      <c r="AE813" s="69"/>
      <c r="AF813" s="69"/>
      <c r="AG813" s="69"/>
    </row>
    <row r="814" spans="2:33" ht="12.75">
      <c r="B814" s="283"/>
      <c r="C814" s="5"/>
      <c r="D814" s="5"/>
      <c r="E814" s="5"/>
      <c r="F814" s="5"/>
      <c r="G814" s="5"/>
      <c r="H814" s="5"/>
      <c r="I814" s="3"/>
      <c r="J814" s="6"/>
      <c r="K814" s="69"/>
      <c r="L814" s="69"/>
      <c r="M814" s="69"/>
      <c r="N814" s="69"/>
      <c r="O814" s="69"/>
      <c r="P814" s="69"/>
      <c r="Q814" s="69"/>
      <c r="R814" s="69"/>
      <c r="S814" s="69"/>
      <c r="T814" s="69"/>
      <c r="U814" s="69"/>
      <c r="V814" s="69"/>
      <c r="W814" s="69"/>
      <c r="X814" s="69"/>
      <c r="Y814" s="69"/>
      <c r="Z814" s="69"/>
      <c r="AA814" s="69"/>
      <c r="AB814" s="69"/>
      <c r="AC814" s="69"/>
      <c r="AD814" s="69"/>
      <c r="AE814" s="69"/>
      <c r="AF814" s="69"/>
      <c r="AG814" s="69"/>
    </row>
    <row r="815" spans="2:33" ht="12.75">
      <c r="B815" s="283"/>
      <c r="C815" s="5"/>
      <c r="D815" s="5"/>
      <c r="E815" s="5"/>
      <c r="F815" s="5"/>
      <c r="G815" s="5"/>
      <c r="H815" s="5"/>
      <c r="I815" s="3"/>
      <c r="J815" s="6"/>
      <c r="K815" s="69"/>
      <c r="L815" s="69"/>
      <c r="M815" s="69"/>
      <c r="N815" s="69"/>
      <c r="O815" s="69"/>
      <c r="P815" s="69"/>
      <c r="Q815" s="69"/>
      <c r="R815" s="69"/>
      <c r="S815" s="69"/>
      <c r="T815" s="69"/>
      <c r="U815" s="69"/>
      <c r="V815" s="69"/>
      <c r="W815" s="69"/>
      <c r="X815" s="69"/>
      <c r="Y815" s="69"/>
      <c r="Z815" s="69"/>
      <c r="AA815" s="69"/>
      <c r="AB815" s="69"/>
      <c r="AC815" s="69"/>
      <c r="AD815" s="69"/>
      <c r="AE815" s="69"/>
      <c r="AF815" s="69"/>
      <c r="AG815" s="69"/>
    </row>
    <row r="816" spans="2:33" ht="12.75">
      <c r="B816" s="283"/>
      <c r="C816" s="5"/>
      <c r="D816" s="5"/>
      <c r="E816" s="5"/>
      <c r="F816" s="5"/>
      <c r="G816" s="5"/>
      <c r="H816" s="5"/>
      <c r="I816" s="3"/>
      <c r="J816" s="6"/>
      <c r="K816" s="69"/>
      <c r="L816" s="69"/>
      <c r="M816" s="69"/>
      <c r="N816" s="69"/>
      <c r="O816" s="69"/>
      <c r="P816" s="69"/>
      <c r="Q816" s="69"/>
      <c r="R816" s="69"/>
      <c r="S816" s="69"/>
      <c r="T816" s="69"/>
      <c r="U816" s="69"/>
      <c r="V816" s="69"/>
      <c r="W816" s="69"/>
      <c r="X816" s="69"/>
      <c r="Y816" s="69"/>
      <c r="Z816" s="69"/>
      <c r="AA816" s="69"/>
      <c r="AB816" s="69"/>
      <c r="AC816" s="69"/>
      <c r="AD816" s="69"/>
      <c r="AE816" s="69"/>
      <c r="AF816" s="69"/>
      <c r="AG816" s="69"/>
    </row>
    <row r="817" spans="2:33" ht="12.75">
      <c r="B817" s="283"/>
      <c r="C817" s="5"/>
      <c r="D817" s="5"/>
      <c r="E817" s="5"/>
      <c r="F817" s="5"/>
      <c r="G817" s="5"/>
      <c r="H817" s="5"/>
      <c r="I817" s="3"/>
      <c r="J817" s="6"/>
      <c r="K817" s="69"/>
      <c r="L817" s="69"/>
      <c r="M817" s="69"/>
      <c r="N817" s="69"/>
      <c r="O817" s="69"/>
      <c r="P817" s="69"/>
      <c r="Q817" s="69"/>
      <c r="R817" s="69"/>
      <c r="S817" s="69"/>
      <c r="T817" s="69"/>
      <c r="U817" s="69"/>
      <c r="V817" s="69"/>
      <c r="W817" s="69"/>
      <c r="X817" s="69"/>
      <c r="Y817" s="69"/>
      <c r="Z817" s="69"/>
      <c r="AA817" s="69"/>
      <c r="AB817" s="69"/>
      <c r="AC817" s="69"/>
      <c r="AD817" s="69"/>
      <c r="AE817" s="69"/>
      <c r="AF817" s="69"/>
      <c r="AG817" s="69"/>
    </row>
    <row r="818" spans="2:33" ht="12.75">
      <c r="B818" s="283"/>
      <c r="C818" s="5"/>
      <c r="D818" s="5"/>
      <c r="E818" s="5"/>
      <c r="F818" s="5"/>
      <c r="G818" s="5"/>
      <c r="H818" s="5"/>
      <c r="I818" s="3"/>
      <c r="J818" s="6"/>
      <c r="K818" s="69"/>
      <c r="L818" s="69"/>
      <c r="M818" s="69"/>
      <c r="N818" s="69"/>
      <c r="O818" s="69"/>
      <c r="P818" s="69"/>
      <c r="Q818" s="69"/>
      <c r="R818" s="69"/>
      <c r="S818" s="69"/>
      <c r="T818" s="69"/>
      <c r="U818" s="69"/>
      <c r="V818" s="69"/>
      <c r="W818" s="69"/>
      <c r="X818" s="69"/>
      <c r="Y818" s="69"/>
      <c r="Z818" s="69"/>
      <c r="AA818" s="69"/>
      <c r="AB818" s="69"/>
      <c r="AC818" s="69"/>
      <c r="AD818" s="69"/>
      <c r="AE818" s="69"/>
      <c r="AF818" s="69"/>
      <c r="AG818" s="69"/>
    </row>
    <row r="819" spans="2:33" ht="12.75">
      <c r="B819" s="283"/>
      <c r="C819" s="5"/>
      <c r="D819" s="5"/>
      <c r="E819" s="5"/>
      <c r="F819" s="5"/>
      <c r="G819" s="5"/>
      <c r="H819" s="5"/>
      <c r="I819" s="3"/>
      <c r="J819" s="6"/>
      <c r="K819" s="69"/>
      <c r="L819" s="69"/>
      <c r="M819" s="69"/>
      <c r="N819" s="69"/>
      <c r="O819" s="69"/>
      <c r="P819" s="69"/>
      <c r="Q819" s="69"/>
      <c r="R819" s="69"/>
      <c r="S819" s="69"/>
      <c r="T819" s="69"/>
      <c r="U819" s="69"/>
      <c r="V819" s="69"/>
      <c r="W819" s="69"/>
      <c r="X819" s="69"/>
      <c r="Y819" s="69"/>
      <c r="Z819" s="69"/>
      <c r="AA819" s="69"/>
      <c r="AB819" s="69"/>
      <c r="AC819" s="69"/>
      <c r="AD819" s="69"/>
      <c r="AE819" s="69"/>
      <c r="AF819" s="69"/>
      <c r="AG819" s="69"/>
    </row>
    <row r="820" spans="2:33" ht="12.75">
      <c r="B820" s="283"/>
      <c r="C820" s="5"/>
      <c r="D820" s="5"/>
      <c r="E820" s="5"/>
      <c r="F820" s="5"/>
      <c r="G820" s="5"/>
      <c r="H820" s="5"/>
      <c r="I820" s="3"/>
      <c r="J820" s="6"/>
      <c r="K820" s="69"/>
      <c r="L820" s="69"/>
      <c r="M820" s="69"/>
      <c r="N820" s="69"/>
      <c r="O820" s="69"/>
      <c r="P820" s="69"/>
      <c r="Q820" s="69"/>
      <c r="R820" s="69"/>
      <c r="S820" s="69"/>
      <c r="T820" s="69"/>
      <c r="U820" s="69"/>
      <c r="V820" s="69"/>
      <c r="W820" s="69"/>
      <c r="X820" s="69"/>
      <c r="Y820" s="69"/>
      <c r="Z820" s="69"/>
      <c r="AA820" s="69"/>
      <c r="AB820" s="69"/>
      <c r="AC820" s="69"/>
      <c r="AD820" s="69"/>
      <c r="AE820" s="69"/>
      <c r="AF820" s="69"/>
      <c r="AG820" s="69"/>
    </row>
    <row r="821" spans="2:33" ht="12.75">
      <c r="B821" s="283"/>
      <c r="C821" s="5"/>
      <c r="D821" s="5"/>
      <c r="E821" s="5"/>
      <c r="F821" s="5"/>
      <c r="G821" s="5"/>
      <c r="H821" s="5"/>
      <c r="I821" s="3"/>
      <c r="J821" s="6"/>
      <c r="K821" s="69"/>
      <c r="L821" s="69"/>
      <c r="M821" s="69"/>
      <c r="N821" s="69"/>
      <c r="O821" s="69"/>
      <c r="P821" s="69"/>
      <c r="Q821" s="69"/>
      <c r="R821" s="69"/>
      <c r="S821" s="69"/>
      <c r="T821" s="69"/>
      <c r="U821" s="69"/>
      <c r="V821" s="69"/>
      <c r="W821" s="69"/>
      <c r="X821" s="69"/>
      <c r="Y821" s="69"/>
      <c r="Z821" s="69"/>
      <c r="AA821" s="69"/>
      <c r="AB821" s="69"/>
      <c r="AC821" s="69"/>
      <c r="AD821" s="69"/>
      <c r="AE821" s="69"/>
      <c r="AF821" s="69"/>
      <c r="AG821" s="69"/>
    </row>
    <row r="822" spans="2:33" ht="12.75">
      <c r="B822" s="283"/>
      <c r="C822" s="5"/>
      <c r="D822" s="5"/>
      <c r="E822" s="5"/>
      <c r="F822" s="5"/>
      <c r="G822" s="5"/>
      <c r="H822" s="5"/>
      <c r="I822" s="3"/>
      <c r="J822" s="6"/>
      <c r="K822" s="69"/>
      <c r="L822" s="69"/>
      <c r="M822" s="69"/>
      <c r="N822" s="69"/>
      <c r="O822" s="69"/>
      <c r="P822" s="69"/>
      <c r="Q822" s="69"/>
      <c r="R822" s="69"/>
      <c r="S822" s="69"/>
      <c r="T822" s="69"/>
      <c r="U822" s="69"/>
      <c r="V822" s="69"/>
      <c r="W822" s="69"/>
      <c r="X822" s="69"/>
      <c r="Y822" s="69"/>
      <c r="Z822" s="69"/>
      <c r="AA822" s="69"/>
      <c r="AB822" s="69"/>
      <c r="AC822" s="69"/>
      <c r="AD822" s="69"/>
      <c r="AE822" s="69"/>
      <c r="AF822" s="69"/>
      <c r="AG822" s="69"/>
    </row>
    <row r="823" spans="2:33" ht="12.75">
      <c r="B823" s="283"/>
      <c r="C823" s="5"/>
      <c r="D823" s="5"/>
      <c r="E823" s="5"/>
      <c r="F823" s="5"/>
      <c r="G823" s="5"/>
      <c r="H823" s="5"/>
      <c r="I823" s="3"/>
      <c r="J823" s="6"/>
      <c r="K823" s="69"/>
      <c r="L823" s="69"/>
      <c r="M823" s="69"/>
      <c r="N823" s="69"/>
      <c r="O823" s="69"/>
      <c r="P823" s="69"/>
      <c r="Q823" s="69"/>
      <c r="R823" s="69"/>
      <c r="S823" s="69"/>
      <c r="T823" s="69"/>
      <c r="U823" s="69"/>
      <c r="V823" s="69"/>
      <c r="W823" s="69"/>
      <c r="X823" s="69"/>
      <c r="Y823" s="69"/>
      <c r="Z823" s="69"/>
      <c r="AA823" s="69"/>
      <c r="AB823" s="69"/>
      <c r="AC823" s="69"/>
      <c r="AD823" s="69"/>
      <c r="AE823" s="69"/>
      <c r="AF823" s="69"/>
      <c r="AG823" s="69"/>
    </row>
    <row r="824" spans="2:33" ht="12.75">
      <c r="B824" s="283"/>
      <c r="C824" s="5"/>
      <c r="D824" s="5"/>
      <c r="E824" s="5"/>
      <c r="F824" s="5"/>
      <c r="G824" s="5"/>
      <c r="H824" s="5"/>
      <c r="I824" s="3"/>
      <c r="J824" s="6"/>
      <c r="K824" s="69"/>
      <c r="L824" s="69"/>
      <c r="M824" s="69"/>
      <c r="N824" s="69"/>
      <c r="O824" s="69"/>
      <c r="P824" s="69"/>
      <c r="Q824" s="69"/>
      <c r="R824" s="69"/>
      <c r="S824" s="69"/>
      <c r="T824" s="69"/>
      <c r="U824" s="69"/>
      <c r="V824" s="69"/>
      <c r="W824" s="69"/>
      <c r="X824" s="69"/>
      <c r="Y824" s="69"/>
      <c r="Z824" s="69"/>
      <c r="AA824" s="69"/>
      <c r="AB824" s="69"/>
      <c r="AC824" s="69"/>
      <c r="AD824" s="69"/>
      <c r="AE824" s="69"/>
      <c r="AF824" s="69"/>
      <c r="AG824" s="69"/>
    </row>
    <row r="825" spans="2:33" ht="12.75">
      <c r="B825" s="283"/>
      <c r="C825" s="5"/>
      <c r="D825" s="5"/>
      <c r="E825" s="5"/>
      <c r="F825" s="5"/>
      <c r="G825" s="5"/>
      <c r="H825" s="5"/>
      <c r="I825" s="3"/>
      <c r="J825" s="6"/>
      <c r="K825" s="69"/>
      <c r="L825" s="69"/>
      <c r="M825" s="69"/>
      <c r="N825" s="69"/>
      <c r="O825" s="69"/>
      <c r="P825" s="69"/>
      <c r="Q825" s="69"/>
      <c r="R825" s="69"/>
      <c r="S825" s="69"/>
      <c r="T825" s="69"/>
      <c r="U825" s="69"/>
      <c r="V825" s="69"/>
      <c r="W825" s="69"/>
      <c r="X825" s="69"/>
      <c r="Y825" s="69"/>
      <c r="Z825" s="69"/>
      <c r="AA825" s="69"/>
      <c r="AB825" s="69"/>
      <c r="AC825" s="69"/>
      <c r="AD825" s="69"/>
      <c r="AE825" s="69"/>
      <c r="AF825" s="69"/>
      <c r="AG825" s="69"/>
    </row>
    <row r="826" spans="2:33" ht="12.75">
      <c r="B826" s="283"/>
      <c r="C826" s="5"/>
      <c r="D826" s="5"/>
      <c r="E826" s="5"/>
      <c r="F826" s="5"/>
      <c r="G826" s="5"/>
      <c r="H826" s="5"/>
      <c r="I826" s="3"/>
      <c r="J826" s="6"/>
      <c r="K826" s="69"/>
      <c r="L826" s="69"/>
      <c r="M826" s="69"/>
      <c r="N826" s="69"/>
      <c r="O826" s="69"/>
      <c r="P826" s="69"/>
      <c r="Q826" s="69"/>
      <c r="R826" s="69"/>
      <c r="S826" s="69"/>
      <c r="T826" s="69"/>
      <c r="U826" s="69"/>
      <c r="V826" s="69"/>
      <c r="W826" s="69"/>
      <c r="X826" s="69"/>
      <c r="Y826" s="69"/>
      <c r="Z826" s="69"/>
      <c r="AA826" s="69"/>
      <c r="AB826" s="69"/>
      <c r="AC826" s="69"/>
      <c r="AD826" s="69"/>
      <c r="AE826" s="69"/>
      <c r="AF826" s="69"/>
      <c r="AG826" s="69"/>
    </row>
    <row r="827" spans="2:33" ht="12.75">
      <c r="B827" s="283"/>
      <c r="C827" s="5"/>
      <c r="D827" s="5"/>
      <c r="E827" s="5"/>
      <c r="F827" s="5"/>
      <c r="G827" s="5"/>
      <c r="H827" s="5"/>
      <c r="I827" s="3"/>
      <c r="J827" s="6"/>
      <c r="K827" s="69"/>
      <c r="L827" s="69"/>
      <c r="M827" s="69"/>
      <c r="N827" s="69"/>
      <c r="O827" s="69"/>
      <c r="P827" s="69"/>
      <c r="Q827" s="69"/>
      <c r="R827" s="69"/>
      <c r="S827" s="69"/>
      <c r="T827" s="69"/>
      <c r="U827" s="69"/>
      <c r="V827" s="69"/>
      <c r="W827" s="69"/>
      <c r="X827" s="69"/>
      <c r="Y827" s="69"/>
      <c r="Z827" s="69"/>
      <c r="AA827" s="69"/>
      <c r="AB827" s="69"/>
      <c r="AC827" s="69"/>
      <c r="AD827" s="69"/>
      <c r="AE827" s="69"/>
      <c r="AF827" s="69"/>
      <c r="AG827" s="69"/>
    </row>
    <row r="828" spans="2:33" ht="12.75">
      <c r="B828" s="283"/>
      <c r="C828" s="5"/>
      <c r="D828" s="5"/>
      <c r="E828" s="5"/>
      <c r="F828" s="5"/>
      <c r="G828" s="5"/>
      <c r="H828" s="5"/>
      <c r="I828" s="3"/>
      <c r="J828" s="6"/>
      <c r="K828" s="69"/>
      <c r="L828" s="69"/>
      <c r="M828" s="69"/>
      <c r="N828" s="69"/>
      <c r="O828" s="69"/>
      <c r="P828" s="69"/>
      <c r="Q828" s="69"/>
      <c r="R828" s="69"/>
      <c r="S828" s="69"/>
      <c r="T828" s="69"/>
      <c r="U828" s="69"/>
      <c r="V828" s="69"/>
      <c r="W828" s="69"/>
      <c r="X828" s="69"/>
      <c r="Y828" s="69"/>
      <c r="Z828" s="69"/>
      <c r="AA828" s="69"/>
      <c r="AB828" s="69"/>
      <c r="AC828" s="69"/>
      <c r="AD828" s="69"/>
      <c r="AE828" s="69"/>
      <c r="AF828" s="69"/>
      <c r="AG828" s="69"/>
    </row>
    <row r="829" spans="2:33" ht="12.75">
      <c r="B829" s="283"/>
      <c r="C829" s="5"/>
      <c r="D829" s="5"/>
      <c r="E829" s="5"/>
      <c r="F829" s="5"/>
      <c r="G829" s="5"/>
      <c r="H829" s="5"/>
      <c r="I829" s="3"/>
      <c r="J829" s="6"/>
      <c r="K829" s="69"/>
      <c r="L829" s="69"/>
      <c r="M829" s="69"/>
      <c r="N829" s="69"/>
      <c r="O829" s="69"/>
      <c r="P829" s="69"/>
      <c r="Q829" s="69"/>
      <c r="R829" s="69"/>
      <c r="S829" s="69"/>
      <c r="T829" s="69"/>
      <c r="U829" s="69"/>
      <c r="V829" s="69"/>
      <c r="W829" s="69"/>
      <c r="X829" s="69"/>
      <c r="Y829" s="69"/>
      <c r="Z829" s="69"/>
      <c r="AA829" s="69"/>
      <c r="AB829" s="69"/>
      <c r="AC829" s="69"/>
      <c r="AD829" s="69"/>
      <c r="AE829" s="69"/>
      <c r="AF829" s="69"/>
      <c r="AG829" s="69"/>
    </row>
    <row r="830" spans="2:33" ht="12.75">
      <c r="B830" s="283"/>
      <c r="C830" s="5"/>
      <c r="D830" s="5"/>
      <c r="E830" s="5"/>
      <c r="F830" s="5"/>
      <c r="G830" s="5"/>
      <c r="H830" s="5"/>
      <c r="I830" s="3"/>
      <c r="J830" s="6"/>
      <c r="K830" s="69"/>
      <c r="L830" s="69"/>
      <c r="M830" s="69"/>
      <c r="N830" s="69"/>
      <c r="O830" s="69"/>
      <c r="P830" s="69"/>
      <c r="Q830" s="69"/>
      <c r="R830" s="69"/>
      <c r="S830" s="69"/>
      <c r="T830" s="69"/>
      <c r="U830" s="69"/>
      <c r="V830" s="69"/>
      <c r="W830" s="69"/>
      <c r="X830" s="69"/>
      <c r="Y830" s="69"/>
      <c r="Z830" s="69"/>
      <c r="AA830" s="69"/>
      <c r="AB830" s="69"/>
      <c r="AC830" s="69"/>
      <c r="AD830" s="69"/>
      <c r="AE830" s="69"/>
      <c r="AF830" s="69"/>
      <c r="AG830" s="69"/>
    </row>
    <row r="831" spans="2:33" ht="12.75">
      <c r="B831" s="283"/>
      <c r="C831" s="5"/>
      <c r="D831" s="5"/>
      <c r="E831" s="5"/>
      <c r="F831" s="5"/>
      <c r="G831" s="5"/>
      <c r="H831" s="5"/>
      <c r="I831" s="3"/>
      <c r="J831" s="6"/>
      <c r="K831" s="69"/>
      <c r="L831" s="69"/>
      <c r="M831" s="69"/>
      <c r="N831" s="69"/>
      <c r="O831" s="69"/>
      <c r="P831" s="69"/>
      <c r="Q831" s="69"/>
      <c r="R831" s="69"/>
      <c r="S831" s="69"/>
      <c r="T831" s="69"/>
      <c r="U831" s="69"/>
      <c r="V831" s="69"/>
      <c r="W831" s="69"/>
      <c r="X831" s="69"/>
      <c r="Y831" s="69"/>
      <c r="Z831" s="69"/>
      <c r="AA831" s="69"/>
      <c r="AB831" s="69"/>
      <c r="AC831" s="69"/>
      <c r="AD831" s="69"/>
      <c r="AE831" s="69"/>
      <c r="AF831" s="69"/>
      <c r="AG831" s="69"/>
    </row>
    <row r="832" spans="2:33" ht="12.75">
      <c r="B832" s="283"/>
      <c r="C832" s="5"/>
      <c r="D832" s="5"/>
      <c r="E832" s="5"/>
      <c r="F832" s="5"/>
      <c r="G832" s="5"/>
      <c r="H832" s="5"/>
      <c r="I832" s="3"/>
      <c r="J832" s="6"/>
      <c r="K832" s="69"/>
      <c r="L832" s="69"/>
      <c r="M832" s="69"/>
      <c r="N832" s="69"/>
      <c r="O832" s="69"/>
      <c r="P832" s="69"/>
      <c r="Q832" s="69"/>
      <c r="R832" s="69"/>
      <c r="S832" s="69"/>
      <c r="T832" s="69"/>
      <c r="U832" s="69"/>
      <c r="V832" s="69"/>
      <c r="W832" s="69"/>
      <c r="X832" s="69"/>
      <c r="Y832" s="69"/>
      <c r="Z832" s="69"/>
      <c r="AA832" s="69"/>
      <c r="AB832" s="69"/>
      <c r="AC832" s="69"/>
      <c r="AD832" s="69"/>
      <c r="AE832" s="69"/>
      <c r="AF832" s="69"/>
      <c r="AG832" s="69"/>
    </row>
    <row r="833" spans="2:33" ht="12.75">
      <c r="B833" s="283"/>
      <c r="C833" s="5"/>
      <c r="D833" s="5"/>
      <c r="E833" s="5"/>
      <c r="F833" s="5"/>
      <c r="G833" s="5"/>
      <c r="H833" s="5"/>
      <c r="I833" s="3"/>
      <c r="J833" s="6"/>
      <c r="K833" s="69"/>
      <c r="L833" s="69"/>
      <c r="M833" s="69"/>
      <c r="N833" s="69"/>
      <c r="O833" s="69"/>
      <c r="P833" s="69"/>
      <c r="Q833" s="69"/>
      <c r="R833" s="69"/>
      <c r="S833" s="69"/>
      <c r="T833" s="69"/>
      <c r="U833" s="69"/>
      <c r="V833" s="69"/>
      <c r="W833" s="69"/>
      <c r="X833" s="69"/>
      <c r="Y833" s="69"/>
      <c r="Z833" s="69"/>
      <c r="AA833" s="69"/>
      <c r="AB833" s="69"/>
      <c r="AC833" s="69"/>
      <c r="AD833" s="69"/>
      <c r="AE833" s="69"/>
      <c r="AF833" s="69"/>
      <c r="AG833" s="69"/>
    </row>
    <row r="834" spans="2:33" ht="12.75">
      <c r="B834" s="283"/>
      <c r="C834" s="5"/>
      <c r="D834" s="5"/>
      <c r="E834" s="5"/>
      <c r="F834" s="5"/>
      <c r="G834" s="5"/>
      <c r="H834" s="5"/>
      <c r="I834" s="3"/>
      <c r="J834" s="6"/>
      <c r="K834" s="69"/>
      <c r="L834" s="69"/>
      <c r="M834" s="69"/>
      <c r="N834" s="69"/>
      <c r="O834" s="69"/>
      <c r="P834" s="69"/>
      <c r="Q834" s="69"/>
      <c r="R834" s="69"/>
      <c r="S834" s="69"/>
      <c r="T834" s="69"/>
      <c r="U834" s="69"/>
      <c r="V834" s="69"/>
      <c r="W834" s="69"/>
      <c r="X834" s="69"/>
      <c r="Y834" s="69"/>
      <c r="Z834" s="69"/>
      <c r="AA834" s="69"/>
      <c r="AB834" s="69"/>
      <c r="AC834" s="69"/>
      <c r="AD834" s="69"/>
      <c r="AE834" s="69"/>
      <c r="AF834" s="69"/>
      <c r="AG834" s="69"/>
    </row>
    <row r="835" spans="2:33" ht="12.75">
      <c r="B835" s="283"/>
      <c r="C835" s="5"/>
      <c r="D835" s="5"/>
      <c r="E835" s="5"/>
      <c r="F835" s="5"/>
      <c r="G835" s="5"/>
      <c r="H835" s="5"/>
      <c r="I835" s="3"/>
      <c r="J835" s="6"/>
      <c r="K835" s="69"/>
      <c r="L835" s="69"/>
      <c r="M835" s="69"/>
      <c r="N835" s="69"/>
      <c r="O835" s="69"/>
      <c r="P835" s="69"/>
      <c r="Q835" s="69"/>
      <c r="R835" s="69"/>
      <c r="S835" s="69"/>
      <c r="T835" s="69"/>
      <c r="U835" s="69"/>
      <c r="V835" s="69"/>
      <c r="W835" s="69"/>
      <c r="X835" s="69"/>
      <c r="Y835" s="69"/>
      <c r="Z835" s="69"/>
      <c r="AA835" s="69"/>
      <c r="AB835" s="69"/>
      <c r="AC835" s="69"/>
      <c r="AD835" s="69"/>
      <c r="AE835" s="69"/>
      <c r="AF835" s="69"/>
      <c r="AG835" s="69"/>
    </row>
    <row r="836" spans="2:33" ht="12.75">
      <c r="B836" s="283"/>
      <c r="C836" s="5"/>
      <c r="D836" s="5"/>
      <c r="E836" s="5"/>
      <c r="F836" s="5"/>
      <c r="G836" s="5"/>
      <c r="H836" s="5"/>
      <c r="I836" s="3"/>
      <c r="J836" s="6"/>
      <c r="K836" s="69"/>
      <c r="L836" s="69"/>
      <c r="M836" s="69"/>
      <c r="N836" s="69"/>
      <c r="O836" s="69"/>
      <c r="P836" s="69"/>
      <c r="Q836" s="69"/>
      <c r="R836" s="69"/>
      <c r="S836" s="69"/>
      <c r="T836" s="69"/>
      <c r="U836" s="69"/>
      <c r="V836" s="69"/>
      <c r="W836" s="69"/>
      <c r="X836" s="69"/>
      <c r="Y836" s="69"/>
      <c r="Z836" s="69"/>
      <c r="AA836" s="69"/>
      <c r="AB836" s="69"/>
      <c r="AC836" s="69"/>
      <c r="AD836" s="69"/>
      <c r="AE836" s="69"/>
      <c r="AF836" s="69"/>
      <c r="AG836" s="69"/>
    </row>
    <row r="837" spans="2:33" ht="12.75">
      <c r="B837" s="283"/>
      <c r="C837" s="5"/>
      <c r="D837" s="5"/>
      <c r="E837" s="5"/>
      <c r="F837" s="5"/>
      <c r="G837" s="5"/>
      <c r="H837" s="5"/>
      <c r="I837" s="3"/>
      <c r="J837" s="6"/>
      <c r="K837" s="69"/>
      <c r="L837" s="69"/>
      <c r="M837" s="69"/>
      <c r="N837" s="69"/>
      <c r="O837" s="69"/>
      <c r="P837" s="69"/>
      <c r="Q837" s="69"/>
      <c r="R837" s="69"/>
      <c r="S837" s="69"/>
      <c r="T837" s="69"/>
      <c r="U837" s="69"/>
      <c r="V837" s="69"/>
      <c r="W837" s="69"/>
      <c r="X837" s="69"/>
      <c r="Y837" s="69"/>
      <c r="Z837" s="69"/>
      <c r="AA837" s="69"/>
      <c r="AB837" s="69"/>
      <c r="AC837" s="69"/>
      <c r="AD837" s="69"/>
      <c r="AE837" s="69"/>
      <c r="AF837" s="69"/>
      <c r="AG837" s="69"/>
    </row>
    <row r="838" spans="2:33" ht="12.75">
      <c r="B838" s="283"/>
      <c r="C838" s="5"/>
      <c r="D838" s="5"/>
      <c r="E838" s="5"/>
      <c r="F838" s="5"/>
      <c r="G838" s="5"/>
      <c r="H838" s="5"/>
      <c r="I838" s="3"/>
      <c r="J838" s="6"/>
      <c r="K838" s="69"/>
      <c r="L838" s="69"/>
      <c r="M838" s="69"/>
      <c r="N838" s="69"/>
      <c r="O838" s="69"/>
      <c r="P838" s="69"/>
      <c r="Q838" s="69"/>
      <c r="R838" s="69"/>
      <c r="S838" s="69"/>
      <c r="T838" s="69"/>
      <c r="U838" s="69"/>
      <c r="V838" s="69"/>
      <c r="W838" s="69"/>
      <c r="X838" s="69"/>
      <c r="Y838" s="69"/>
      <c r="Z838" s="69"/>
      <c r="AA838" s="69"/>
      <c r="AB838" s="69"/>
      <c r="AC838" s="69"/>
      <c r="AD838" s="69"/>
      <c r="AE838" s="69"/>
      <c r="AF838" s="69"/>
      <c r="AG838" s="69"/>
    </row>
    <row r="839" spans="2:33" ht="12.75">
      <c r="B839" s="283"/>
      <c r="C839" s="5"/>
      <c r="D839" s="5"/>
      <c r="E839" s="5"/>
      <c r="F839" s="5"/>
      <c r="G839" s="5"/>
      <c r="H839" s="5"/>
      <c r="I839" s="3"/>
      <c r="J839" s="6"/>
      <c r="K839" s="69"/>
      <c r="L839" s="69"/>
      <c r="M839" s="69"/>
      <c r="N839" s="69"/>
      <c r="O839" s="69"/>
      <c r="P839" s="69"/>
      <c r="Q839" s="69"/>
      <c r="R839" s="69"/>
      <c r="S839" s="69"/>
      <c r="T839" s="69"/>
      <c r="U839" s="69"/>
      <c r="V839" s="69"/>
      <c r="W839" s="69"/>
      <c r="X839" s="69"/>
      <c r="Y839" s="69"/>
      <c r="Z839" s="69"/>
      <c r="AA839" s="69"/>
      <c r="AB839" s="69"/>
      <c r="AC839" s="69"/>
      <c r="AD839" s="69"/>
      <c r="AE839" s="69"/>
      <c r="AF839" s="69"/>
      <c r="AG839" s="69"/>
    </row>
    <row r="840" spans="2:33" ht="12.75">
      <c r="B840" s="283"/>
      <c r="C840" s="5"/>
      <c r="D840" s="5"/>
      <c r="E840" s="5"/>
      <c r="F840" s="5"/>
      <c r="G840" s="5"/>
      <c r="H840" s="5"/>
      <c r="I840" s="3"/>
      <c r="J840" s="6"/>
      <c r="K840" s="69"/>
      <c r="L840" s="69"/>
      <c r="M840" s="69"/>
      <c r="N840" s="69"/>
      <c r="O840" s="69"/>
      <c r="P840" s="69"/>
      <c r="Q840" s="69"/>
      <c r="R840" s="69"/>
      <c r="S840" s="69"/>
      <c r="T840" s="69"/>
      <c r="U840" s="69"/>
      <c r="V840" s="69"/>
      <c r="W840" s="69"/>
      <c r="X840" s="69"/>
      <c r="Y840" s="69"/>
      <c r="Z840" s="69"/>
      <c r="AA840" s="69"/>
      <c r="AB840" s="69"/>
      <c r="AC840" s="69"/>
      <c r="AD840" s="69"/>
      <c r="AE840" s="69"/>
      <c r="AF840" s="69"/>
      <c r="AG840" s="69"/>
    </row>
    <row r="841" spans="2:33" ht="12.75">
      <c r="B841" s="283"/>
      <c r="C841" s="5"/>
      <c r="D841" s="5"/>
      <c r="E841" s="5"/>
      <c r="F841" s="5"/>
      <c r="G841" s="5"/>
      <c r="H841" s="5"/>
      <c r="I841" s="3"/>
      <c r="J841" s="6"/>
      <c r="K841" s="69"/>
      <c r="L841" s="69"/>
      <c r="M841" s="69"/>
      <c r="N841" s="69"/>
      <c r="O841" s="69"/>
      <c r="P841" s="69"/>
      <c r="Q841" s="69"/>
      <c r="R841" s="69"/>
      <c r="S841" s="69"/>
      <c r="T841" s="69"/>
      <c r="U841" s="69"/>
      <c r="V841" s="69"/>
      <c r="W841" s="69"/>
      <c r="X841" s="69"/>
      <c r="Y841" s="69"/>
      <c r="Z841" s="69"/>
      <c r="AA841" s="69"/>
      <c r="AB841" s="69"/>
      <c r="AC841" s="69"/>
      <c r="AD841" s="69"/>
      <c r="AE841" s="69"/>
      <c r="AF841" s="69"/>
      <c r="AG841" s="69"/>
    </row>
    <row r="842" spans="2:33" ht="12.75">
      <c r="B842" s="283"/>
      <c r="C842" s="5"/>
      <c r="D842" s="5"/>
      <c r="E842" s="5"/>
      <c r="F842" s="5"/>
      <c r="G842" s="5"/>
      <c r="H842" s="5"/>
      <c r="I842" s="3"/>
      <c r="J842" s="6"/>
      <c r="K842" s="69"/>
      <c r="L842" s="69"/>
      <c r="M842" s="69"/>
      <c r="N842" s="69"/>
      <c r="O842" s="69"/>
      <c r="P842" s="69"/>
      <c r="Q842" s="69"/>
      <c r="R842" s="69"/>
      <c r="S842" s="69"/>
      <c r="T842" s="69"/>
      <c r="U842" s="69"/>
      <c r="V842" s="69"/>
      <c r="W842" s="69"/>
      <c r="X842" s="69"/>
      <c r="Y842" s="69"/>
      <c r="Z842" s="69"/>
      <c r="AA842" s="69"/>
      <c r="AB842" s="69"/>
      <c r="AC842" s="69"/>
      <c r="AD842" s="69"/>
      <c r="AE842" s="69"/>
      <c r="AF842" s="69"/>
      <c r="AG842" s="69"/>
    </row>
    <row r="843" spans="2:33" ht="12.75">
      <c r="B843" s="283"/>
      <c r="C843" s="5"/>
      <c r="D843" s="5"/>
      <c r="E843" s="5"/>
      <c r="F843" s="5"/>
      <c r="G843" s="5"/>
      <c r="H843" s="5"/>
      <c r="I843" s="3"/>
      <c r="J843" s="6"/>
      <c r="K843" s="69"/>
      <c r="L843" s="69"/>
      <c r="M843" s="69"/>
      <c r="N843" s="69"/>
      <c r="O843" s="69"/>
      <c r="P843" s="69"/>
      <c r="Q843" s="69"/>
      <c r="R843" s="69"/>
      <c r="S843" s="69"/>
      <c r="T843" s="69"/>
      <c r="U843" s="69"/>
      <c r="V843" s="69"/>
      <c r="W843" s="69"/>
      <c r="X843" s="69"/>
      <c r="Y843" s="69"/>
      <c r="Z843" s="69"/>
      <c r="AA843" s="69"/>
      <c r="AB843" s="69"/>
      <c r="AC843" s="69"/>
      <c r="AD843" s="69"/>
      <c r="AE843" s="69"/>
      <c r="AF843" s="69"/>
      <c r="AG843" s="69"/>
    </row>
    <row r="844" spans="2:33" ht="12.75">
      <c r="B844" s="283"/>
      <c r="C844" s="5"/>
      <c r="D844" s="5"/>
      <c r="E844" s="5"/>
      <c r="F844" s="5"/>
      <c r="G844" s="5"/>
      <c r="H844" s="5"/>
      <c r="I844" s="3"/>
      <c r="J844" s="6"/>
      <c r="K844" s="69"/>
      <c r="L844" s="69"/>
      <c r="M844" s="69"/>
      <c r="N844" s="69"/>
      <c r="O844" s="69"/>
      <c r="P844" s="69"/>
      <c r="Q844" s="69"/>
      <c r="R844" s="69"/>
      <c r="S844" s="69"/>
      <c r="T844" s="69"/>
      <c r="U844" s="69"/>
      <c r="V844" s="69"/>
      <c r="W844" s="69"/>
      <c r="X844" s="69"/>
      <c r="Y844" s="69"/>
      <c r="Z844" s="69"/>
      <c r="AA844" s="69"/>
      <c r="AB844" s="69"/>
      <c r="AC844" s="69"/>
      <c r="AD844" s="69"/>
      <c r="AE844" s="69"/>
      <c r="AF844" s="69"/>
      <c r="AG844" s="69"/>
    </row>
    <row r="845" spans="2:33" ht="12.75">
      <c r="B845" s="283"/>
      <c r="C845" s="5"/>
      <c r="D845" s="5"/>
      <c r="E845" s="5"/>
      <c r="F845" s="5"/>
      <c r="G845" s="5"/>
      <c r="H845" s="5"/>
      <c r="I845" s="3"/>
      <c r="J845" s="6"/>
      <c r="K845" s="69"/>
      <c r="L845" s="69"/>
      <c r="M845" s="69"/>
      <c r="N845" s="69"/>
      <c r="O845" s="69"/>
      <c r="P845" s="69"/>
      <c r="Q845" s="69"/>
      <c r="R845" s="69"/>
      <c r="S845" s="69"/>
      <c r="T845" s="69"/>
      <c r="U845" s="69"/>
      <c r="V845" s="69"/>
      <c r="W845" s="69"/>
      <c r="X845" s="69"/>
      <c r="Y845" s="69"/>
      <c r="Z845" s="69"/>
      <c r="AA845" s="69"/>
      <c r="AB845" s="69"/>
      <c r="AC845" s="69"/>
      <c r="AD845" s="69"/>
      <c r="AE845" s="69"/>
      <c r="AF845" s="69"/>
      <c r="AG845" s="69"/>
    </row>
    <row r="846" spans="2:33" ht="12.75">
      <c r="B846" s="283"/>
      <c r="C846" s="5"/>
      <c r="D846" s="5"/>
      <c r="E846" s="5"/>
      <c r="F846" s="5"/>
      <c r="G846" s="5"/>
      <c r="H846" s="5"/>
      <c r="I846" s="3"/>
      <c r="J846" s="6"/>
      <c r="K846" s="69"/>
      <c r="L846" s="69"/>
      <c r="M846" s="69"/>
      <c r="N846" s="69"/>
      <c r="O846" s="69"/>
      <c r="P846" s="69"/>
      <c r="Q846" s="69"/>
      <c r="R846" s="69"/>
      <c r="S846" s="69"/>
      <c r="T846" s="69"/>
      <c r="U846" s="69"/>
      <c r="V846" s="69"/>
      <c r="W846" s="69"/>
      <c r="X846" s="69"/>
      <c r="Y846" s="69"/>
      <c r="Z846" s="69"/>
      <c r="AA846" s="69"/>
      <c r="AB846" s="69"/>
      <c r="AC846" s="69"/>
      <c r="AD846" s="69"/>
      <c r="AE846" s="69"/>
      <c r="AF846" s="69"/>
      <c r="AG846" s="69"/>
    </row>
    <row r="847" spans="2:33" ht="12.75">
      <c r="B847" s="283"/>
      <c r="C847" s="5"/>
      <c r="D847" s="5"/>
      <c r="E847" s="5"/>
      <c r="F847" s="5"/>
      <c r="G847" s="5"/>
      <c r="H847" s="5"/>
      <c r="I847" s="3"/>
      <c r="J847" s="6"/>
      <c r="K847" s="69"/>
      <c r="L847" s="69"/>
      <c r="M847" s="69"/>
      <c r="N847" s="69"/>
      <c r="O847" s="69"/>
      <c r="P847" s="69"/>
      <c r="Q847" s="69"/>
      <c r="R847" s="69"/>
      <c r="S847" s="69"/>
      <c r="T847" s="69"/>
      <c r="U847" s="69"/>
      <c r="V847" s="69"/>
      <c r="W847" s="69"/>
      <c r="X847" s="69"/>
      <c r="Y847" s="69"/>
      <c r="Z847" s="69"/>
      <c r="AA847" s="69"/>
      <c r="AB847" s="69"/>
      <c r="AC847" s="69"/>
      <c r="AD847" s="69"/>
      <c r="AE847" s="69"/>
      <c r="AF847" s="69"/>
      <c r="AG847" s="69"/>
    </row>
    <row r="848" spans="2:33" ht="12.75">
      <c r="B848" s="283"/>
      <c r="C848" s="5"/>
      <c r="D848" s="5"/>
      <c r="E848" s="5"/>
      <c r="F848" s="5"/>
      <c r="G848" s="5"/>
      <c r="H848" s="5"/>
      <c r="I848" s="3"/>
      <c r="J848" s="6"/>
      <c r="K848" s="69"/>
      <c r="L848" s="69"/>
      <c r="M848" s="69"/>
      <c r="N848" s="69"/>
      <c r="O848" s="69"/>
      <c r="P848" s="69"/>
      <c r="Q848" s="69"/>
      <c r="R848" s="69"/>
      <c r="S848" s="69"/>
      <c r="T848" s="69"/>
      <c r="U848" s="69"/>
      <c r="V848" s="69"/>
      <c r="W848" s="69"/>
      <c r="X848" s="69"/>
      <c r="Y848" s="69"/>
      <c r="Z848" s="69"/>
      <c r="AA848" s="69"/>
      <c r="AB848" s="69"/>
      <c r="AC848" s="69"/>
      <c r="AD848" s="69"/>
      <c r="AE848" s="69"/>
      <c r="AF848" s="69"/>
      <c r="AG848" s="69"/>
    </row>
    <row r="849" spans="2:33" ht="12.75">
      <c r="B849" s="283"/>
      <c r="C849" s="5"/>
      <c r="D849" s="5"/>
      <c r="E849" s="5"/>
      <c r="F849" s="5"/>
      <c r="G849" s="5"/>
      <c r="H849" s="5"/>
      <c r="I849" s="3"/>
      <c r="J849" s="6"/>
      <c r="K849" s="69"/>
      <c r="L849" s="69"/>
      <c r="M849" s="69"/>
      <c r="N849" s="69"/>
      <c r="O849" s="69"/>
      <c r="P849" s="69"/>
      <c r="Q849" s="69"/>
      <c r="R849" s="69"/>
      <c r="S849" s="69"/>
      <c r="T849" s="69"/>
      <c r="U849" s="69"/>
      <c r="V849" s="69"/>
      <c r="W849" s="69"/>
      <c r="X849" s="69"/>
      <c r="Y849" s="69"/>
      <c r="Z849" s="69"/>
      <c r="AA849" s="69"/>
      <c r="AB849" s="69"/>
      <c r="AC849" s="69"/>
      <c r="AD849" s="69"/>
      <c r="AE849" s="69"/>
      <c r="AF849" s="69"/>
      <c r="AG849" s="69"/>
    </row>
    <row r="850" spans="2:33" ht="12.75">
      <c r="B850" s="283"/>
      <c r="C850" s="5"/>
      <c r="D850" s="5"/>
      <c r="E850" s="5"/>
      <c r="F850" s="5"/>
      <c r="G850" s="5"/>
      <c r="H850" s="5"/>
      <c r="I850" s="3"/>
      <c r="J850" s="6"/>
      <c r="K850" s="69"/>
      <c r="L850" s="69"/>
      <c r="M850" s="69"/>
      <c r="N850" s="69"/>
      <c r="O850" s="69"/>
      <c r="P850" s="69"/>
      <c r="Q850" s="69"/>
      <c r="R850" s="69"/>
      <c r="S850" s="69"/>
      <c r="T850" s="69"/>
      <c r="U850" s="69"/>
      <c r="V850" s="69"/>
      <c r="W850" s="69"/>
      <c r="X850" s="69"/>
      <c r="Y850" s="69"/>
      <c r="Z850" s="69"/>
      <c r="AA850" s="69"/>
      <c r="AB850" s="69"/>
      <c r="AC850" s="69"/>
      <c r="AD850" s="69"/>
      <c r="AE850" s="69"/>
      <c r="AF850" s="69"/>
      <c r="AG850" s="69"/>
    </row>
    <row r="851" spans="2:33" ht="12.75">
      <c r="B851" s="283"/>
      <c r="C851" s="5"/>
      <c r="D851" s="5"/>
      <c r="E851" s="5"/>
      <c r="F851" s="5"/>
      <c r="G851" s="5"/>
      <c r="H851" s="5"/>
      <c r="I851" s="3"/>
      <c r="J851" s="6"/>
      <c r="K851" s="69"/>
      <c r="L851" s="69"/>
      <c r="M851" s="69"/>
      <c r="N851" s="69"/>
      <c r="O851" s="69"/>
      <c r="P851" s="69"/>
      <c r="Q851" s="69"/>
      <c r="R851" s="69"/>
      <c r="S851" s="69"/>
      <c r="T851" s="69"/>
      <c r="U851" s="69"/>
      <c r="V851" s="69"/>
      <c r="W851" s="69"/>
      <c r="X851" s="69"/>
      <c r="Y851" s="69"/>
      <c r="Z851" s="69"/>
      <c r="AA851" s="69"/>
      <c r="AB851" s="69"/>
      <c r="AC851" s="69"/>
      <c r="AD851" s="69"/>
      <c r="AE851" s="69"/>
      <c r="AF851" s="69"/>
      <c r="AG851" s="69"/>
    </row>
    <row r="852" spans="2:33" ht="12.75">
      <c r="B852" s="283"/>
      <c r="C852" s="5"/>
      <c r="D852" s="5"/>
      <c r="E852" s="5"/>
      <c r="F852" s="5"/>
      <c r="G852" s="5"/>
      <c r="H852" s="5"/>
      <c r="I852" s="3"/>
      <c r="J852" s="6"/>
      <c r="K852" s="69"/>
      <c r="L852" s="69"/>
      <c r="M852" s="69"/>
      <c r="N852" s="69"/>
      <c r="O852" s="69"/>
      <c r="P852" s="69"/>
      <c r="Q852" s="69"/>
      <c r="R852" s="69"/>
      <c r="S852" s="69"/>
      <c r="T852" s="69"/>
      <c r="U852" s="69"/>
      <c r="V852" s="69"/>
      <c r="W852" s="69"/>
      <c r="X852" s="69"/>
      <c r="Y852" s="69"/>
      <c r="Z852" s="69"/>
      <c r="AA852" s="69"/>
      <c r="AB852" s="69"/>
      <c r="AC852" s="69"/>
      <c r="AD852" s="69"/>
      <c r="AE852" s="69"/>
      <c r="AF852" s="69"/>
      <c r="AG852" s="69"/>
    </row>
    <row r="853" spans="2:33" ht="12.75">
      <c r="B853" s="283"/>
      <c r="C853" s="5"/>
      <c r="D853" s="5"/>
      <c r="E853" s="5"/>
      <c r="F853" s="5"/>
      <c r="G853" s="5"/>
      <c r="H853" s="5"/>
      <c r="I853" s="3"/>
      <c r="J853" s="6"/>
      <c r="K853" s="69"/>
      <c r="L853" s="69"/>
      <c r="M853" s="69"/>
      <c r="N853" s="69"/>
      <c r="O853" s="69"/>
      <c r="P853" s="69"/>
      <c r="Q853" s="69"/>
      <c r="R853" s="69"/>
      <c r="S853" s="69"/>
      <c r="T853" s="69"/>
      <c r="U853" s="69"/>
      <c r="V853" s="69"/>
      <c r="W853" s="69"/>
      <c r="X853" s="69"/>
      <c r="Y853" s="69"/>
      <c r="Z853" s="69"/>
      <c r="AA853" s="69"/>
      <c r="AB853" s="69"/>
      <c r="AC853" s="69"/>
      <c r="AD853" s="69"/>
      <c r="AE853" s="69"/>
      <c r="AF853" s="69"/>
      <c r="AG853" s="69"/>
    </row>
    <row r="854" spans="2:33" ht="12.75">
      <c r="B854" s="283"/>
      <c r="C854" s="5"/>
      <c r="D854" s="5"/>
      <c r="E854" s="5"/>
      <c r="F854" s="5"/>
      <c r="G854" s="5"/>
      <c r="H854" s="5"/>
      <c r="I854" s="3"/>
      <c r="J854" s="6"/>
      <c r="K854" s="69"/>
      <c r="L854" s="69"/>
      <c r="M854" s="69"/>
      <c r="N854" s="69"/>
      <c r="O854" s="69"/>
      <c r="P854" s="69"/>
      <c r="Q854" s="69"/>
      <c r="R854" s="69"/>
      <c r="S854" s="69"/>
      <c r="T854" s="69"/>
      <c r="U854" s="69"/>
      <c r="V854" s="69"/>
      <c r="W854" s="69"/>
      <c r="X854" s="69"/>
      <c r="Y854" s="69"/>
      <c r="Z854" s="69"/>
      <c r="AA854" s="69"/>
      <c r="AB854" s="69"/>
      <c r="AC854" s="69"/>
      <c r="AD854" s="69"/>
      <c r="AE854" s="69"/>
      <c r="AF854" s="69"/>
      <c r="AG854" s="69"/>
    </row>
    <row r="855" spans="2:33" ht="12.75">
      <c r="B855" s="283"/>
      <c r="C855" s="5"/>
      <c r="D855" s="5"/>
      <c r="E855" s="5"/>
      <c r="F855" s="5"/>
      <c r="G855" s="5"/>
      <c r="H855" s="5"/>
      <c r="I855" s="3"/>
      <c r="J855" s="6"/>
      <c r="K855" s="69"/>
      <c r="L855" s="69"/>
      <c r="M855" s="69"/>
      <c r="N855" s="69"/>
      <c r="O855" s="69"/>
      <c r="P855" s="69"/>
      <c r="Q855" s="69"/>
      <c r="R855" s="69"/>
      <c r="S855" s="69"/>
      <c r="T855" s="69"/>
      <c r="U855" s="69"/>
      <c r="V855" s="69"/>
      <c r="W855" s="69"/>
      <c r="X855" s="69"/>
      <c r="Y855" s="69"/>
      <c r="Z855" s="69"/>
      <c r="AA855" s="69"/>
      <c r="AB855" s="69"/>
      <c r="AC855" s="69"/>
      <c r="AD855" s="69"/>
      <c r="AE855" s="69"/>
      <c r="AF855" s="69"/>
      <c r="AG855" s="69"/>
    </row>
    <row r="856" spans="2:33" ht="12.75">
      <c r="B856" s="283"/>
      <c r="C856" s="5"/>
      <c r="D856" s="5"/>
      <c r="E856" s="5"/>
      <c r="F856" s="5"/>
      <c r="G856" s="5"/>
      <c r="H856" s="5"/>
      <c r="I856" s="3"/>
      <c r="J856" s="6"/>
      <c r="K856" s="69"/>
      <c r="L856" s="69"/>
      <c r="M856" s="69"/>
      <c r="N856" s="69"/>
      <c r="O856" s="69"/>
      <c r="P856" s="69"/>
      <c r="Q856" s="69"/>
      <c r="R856" s="69"/>
      <c r="S856" s="69"/>
      <c r="T856" s="69"/>
      <c r="U856" s="69"/>
      <c r="V856" s="69"/>
      <c r="W856" s="69"/>
      <c r="X856" s="69"/>
      <c r="Y856" s="69"/>
      <c r="Z856" s="69"/>
      <c r="AA856" s="69"/>
      <c r="AB856" s="69"/>
      <c r="AC856" s="69"/>
      <c r="AD856" s="69"/>
      <c r="AE856" s="69"/>
      <c r="AF856" s="69"/>
      <c r="AG856" s="69"/>
    </row>
    <row r="857" spans="2:33" ht="12.75">
      <c r="B857" s="283"/>
      <c r="C857" s="5"/>
      <c r="D857" s="5"/>
      <c r="E857" s="5"/>
      <c r="F857" s="5"/>
      <c r="G857" s="5"/>
      <c r="H857" s="5"/>
      <c r="I857" s="3"/>
      <c r="J857" s="6"/>
      <c r="K857" s="69"/>
      <c r="L857" s="69"/>
      <c r="M857" s="69"/>
      <c r="N857" s="69"/>
      <c r="O857" s="69"/>
      <c r="P857" s="69"/>
      <c r="Q857" s="69"/>
      <c r="R857" s="69"/>
      <c r="S857" s="69"/>
      <c r="T857" s="69"/>
      <c r="U857" s="69"/>
      <c r="V857" s="69"/>
      <c r="W857" s="69"/>
      <c r="X857" s="69"/>
      <c r="Y857" s="69"/>
      <c r="Z857" s="69"/>
      <c r="AA857" s="69"/>
      <c r="AB857" s="69"/>
      <c r="AC857" s="69"/>
      <c r="AD857" s="69"/>
      <c r="AE857" s="69"/>
      <c r="AF857" s="69"/>
      <c r="AG857" s="69"/>
    </row>
    <row r="858" spans="2:33" ht="12.75">
      <c r="B858" s="283"/>
      <c r="C858" s="5"/>
      <c r="D858" s="5"/>
      <c r="E858" s="5"/>
      <c r="F858" s="5"/>
      <c r="G858" s="5"/>
      <c r="H858" s="5"/>
      <c r="I858" s="3"/>
      <c r="J858" s="6"/>
      <c r="K858" s="69"/>
      <c r="L858" s="69"/>
      <c r="M858" s="69"/>
      <c r="N858" s="69"/>
      <c r="O858" s="69"/>
      <c r="P858" s="69"/>
      <c r="Q858" s="69"/>
      <c r="R858" s="69"/>
      <c r="S858" s="69"/>
      <c r="T858" s="69"/>
      <c r="U858" s="69"/>
      <c r="V858" s="69"/>
      <c r="W858" s="69"/>
      <c r="X858" s="69"/>
      <c r="Y858" s="69"/>
      <c r="Z858" s="69"/>
      <c r="AA858" s="69"/>
      <c r="AB858" s="69"/>
      <c r="AC858" s="69"/>
      <c r="AD858" s="69"/>
      <c r="AE858" s="69"/>
      <c r="AF858" s="69"/>
      <c r="AG858" s="69"/>
    </row>
    <row r="859" spans="2:33" ht="12.75">
      <c r="B859" s="283"/>
      <c r="C859" s="5"/>
      <c r="D859" s="5"/>
      <c r="E859" s="5"/>
      <c r="F859" s="5"/>
      <c r="G859" s="5"/>
      <c r="H859" s="5"/>
      <c r="I859" s="3"/>
      <c r="J859" s="6"/>
      <c r="K859" s="69"/>
      <c r="L859" s="69"/>
      <c r="M859" s="69"/>
      <c r="N859" s="69"/>
      <c r="O859" s="69"/>
      <c r="P859" s="69"/>
      <c r="Q859" s="69"/>
      <c r="R859" s="69"/>
      <c r="S859" s="69"/>
      <c r="T859" s="69"/>
      <c r="U859" s="69"/>
      <c r="V859" s="69"/>
      <c r="W859" s="69"/>
      <c r="X859" s="69"/>
      <c r="Y859" s="69"/>
      <c r="Z859" s="69"/>
      <c r="AA859" s="69"/>
      <c r="AB859" s="69"/>
      <c r="AC859" s="69"/>
      <c r="AD859" s="69"/>
      <c r="AE859" s="69"/>
      <c r="AF859" s="69"/>
      <c r="AG859" s="69"/>
    </row>
    <row r="860" spans="2:33" ht="12.75">
      <c r="B860" s="283"/>
      <c r="C860" s="5"/>
      <c r="D860" s="5"/>
      <c r="E860" s="5"/>
      <c r="F860" s="5"/>
      <c r="G860" s="5"/>
      <c r="H860" s="5"/>
      <c r="I860" s="3"/>
      <c r="J860" s="6"/>
      <c r="K860" s="69"/>
      <c r="L860" s="69"/>
      <c r="M860" s="69"/>
      <c r="N860" s="69"/>
      <c r="O860" s="69"/>
      <c r="P860" s="69"/>
      <c r="Q860" s="69"/>
      <c r="R860" s="69"/>
      <c r="S860" s="69"/>
      <c r="T860" s="69"/>
      <c r="U860" s="69"/>
      <c r="V860" s="69"/>
      <c r="W860" s="69"/>
      <c r="X860" s="69"/>
      <c r="Y860" s="69"/>
      <c r="Z860" s="69"/>
      <c r="AA860" s="69"/>
      <c r="AB860" s="69"/>
      <c r="AC860" s="69"/>
      <c r="AD860" s="69"/>
      <c r="AE860" s="69"/>
      <c r="AF860" s="69"/>
      <c r="AG860" s="69"/>
    </row>
    <row r="861" spans="2:33" ht="12.75">
      <c r="B861" s="283"/>
      <c r="C861" s="5"/>
      <c r="D861" s="5"/>
      <c r="E861" s="5"/>
      <c r="F861" s="5"/>
      <c r="G861" s="5"/>
      <c r="H861" s="5"/>
      <c r="I861" s="3"/>
      <c r="J861" s="6"/>
      <c r="K861" s="69"/>
      <c r="L861" s="69"/>
      <c r="M861" s="69"/>
      <c r="N861" s="69"/>
      <c r="O861" s="69"/>
      <c r="P861" s="69"/>
      <c r="Q861" s="69"/>
      <c r="R861" s="69"/>
      <c r="S861" s="69"/>
      <c r="T861" s="69"/>
      <c r="U861" s="69"/>
      <c r="V861" s="69"/>
      <c r="W861" s="69"/>
      <c r="X861" s="69"/>
      <c r="Y861" s="69"/>
      <c r="Z861" s="69"/>
      <c r="AA861" s="69"/>
      <c r="AB861" s="69"/>
      <c r="AC861" s="69"/>
      <c r="AD861" s="69"/>
      <c r="AE861" s="69"/>
      <c r="AF861" s="69"/>
      <c r="AG861" s="69"/>
    </row>
    <row r="862" spans="2:33" ht="12.75">
      <c r="B862" s="283"/>
      <c r="C862" s="5"/>
      <c r="D862" s="5"/>
      <c r="E862" s="5"/>
      <c r="F862" s="5"/>
      <c r="G862" s="5"/>
      <c r="H862" s="5"/>
      <c r="I862" s="3"/>
      <c r="J862" s="6"/>
      <c r="K862" s="69"/>
      <c r="L862" s="69"/>
      <c r="M862" s="69"/>
      <c r="N862" s="69"/>
      <c r="O862" s="69"/>
      <c r="P862" s="69"/>
      <c r="Q862" s="69"/>
      <c r="R862" s="69"/>
      <c r="S862" s="69"/>
      <c r="T862" s="69"/>
      <c r="U862" s="69"/>
      <c r="V862" s="69"/>
      <c r="W862" s="69"/>
      <c r="X862" s="69"/>
      <c r="Y862" s="69"/>
      <c r="Z862" s="69"/>
      <c r="AA862" s="69"/>
      <c r="AB862" s="69"/>
      <c r="AC862" s="69"/>
      <c r="AD862" s="69"/>
      <c r="AE862" s="69"/>
      <c r="AF862" s="69"/>
      <c r="AG862" s="69"/>
    </row>
    <row r="863" spans="2:33" ht="12.75">
      <c r="B863" s="283"/>
      <c r="C863" s="5"/>
      <c r="D863" s="5"/>
      <c r="E863" s="5"/>
      <c r="F863" s="5"/>
      <c r="G863" s="5"/>
      <c r="H863" s="5"/>
      <c r="I863" s="3"/>
      <c r="J863" s="6"/>
      <c r="K863" s="69"/>
      <c r="L863" s="69"/>
      <c r="M863" s="69"/>
      <c r="N863" s="69"/>
      <c r="O863" s="69"/>
      <c r="P863" s="69"/>
      <c r="Q863" s="69"/>
      <c r="R863" s="69"/>
      <c r="S863" s="69"/>
      <c r="T863" s="69"/>
      <c r="U863" s="69"/>
      <c r="V863" s="69"/>
      <c r="W863" s="69"/>
      <c r="X863" s="69"/>
      <c r="Y863" s="69"/>
      <c r="Z863" s="69"/>
      <c r="AA863" s="69"/>
      <c r="AB863" s="69"/>
      <c r="AC863" s="69"/>
      <c r="AD863" s="69"/>
      <c r="AE863" s="69"/>
      <c r="AF863" s="69"/>
      <c r="AG863" s="69"/>
    </row>
    <row r="864" spans="2:33" ht="12.75">
      <c r="B864" s="283"/>
      <c r="C864" s="5"/>
      <c r="D864" s="5"/>
      <c r="E864" s="5"/>
      <c r="F864" s="5"/>
      <c r="G864" s="5"/>
      <c r="H864" s="5"/>
      <c r="I864" s="3"/>
      <c r="J864" s="6"/>
      <c r="K864" s="69"/>
      <c r="L864" s="69"/>
      <c r="M864" s="69"/>
      <c r="N864" s="69"/>
      <c r="O864" s="69"/>
      <c r="P864" s="69"/>
      <c r="Q864" s="69"/>
      <c r="R864" s="69"/>
      <c r="S864" s="69"/>
      <c r="T864" s="69"/>
      <c r="U864" s="69"/>
      <c r="V864" s="69"/>
      <c r="W864" s="69"/>
      <c r="X864" s="69"/>
      <c r="Y864" s="69"/>
      <c r="Z864" s="69"/>
      <c r="AA864" s="69"/>
      <c r="AB864" s="69"/>
      <c r="AC864" s="69"/>
      <c r="AD864" s="69"/>
      <c r="AE864" s="69"/>
      <c r="AF864" s="69"/>
      <c r="AG864" s="69"/>
    </row>
    <row r="865" spans="2:33" ht="12.75">
      <c r="B865" s="283"/>
      <c r="C865" s="5"/>
      <c r="D865" s="5"/>
      <c r="E865" s="5"/>
      <c r="F865" s="5"/>
      <c r="G865" s="5"/>
      <c r="H865" s="5"/>
      <c r="I865" s="3"/>
      <c r="J865" s="6"/>
      <c r="K865" s="69"/>
      <c r="L865" s="69"/>
      <c r="M865" s="69"/>
      <c r="N865" s="69"/>
      <c r="O865" s="69"/>
      <c r="P865" s="69"/>
      <c r="Q865" s="69"/>
      <c r="R865" s="69"/>
      <c r="S865" s="69"/>
      <c r="T865" s="69"/>
      <c r="U865" s="69"/>
      <c r="V865" s="69"/>
      <c r="W865" s="69"/>
      <c r="X865" s="69"/>
      <c r="Y865" s="69"/>
      <c r="Z865" s="69"/>
      <c r="AA865" s="69"/>
      <c r="AB865" s="69"/>
      <c r="AC865" s="69"/>
      <c r="AD865" s="69"/>
      <c r="AE865" s="69"/>
      <c r="AF865" s="69"/>
      <c r="AG865" s="69"/>
    </row>
    <row r="866" spans="2:33" ht="12.75">
      <c r="B866" s="283"/>
      <c r="C866" s="5"/>
      <c r="D866" s="5"/>
      <c r="E866" s="5"/>
      <c r="F866" s="5"/>
      <c r="G866" s="5"/>
      <c r="H866" s="5"/>
      <c r="I866" s="3"/>
      <c r="J866" s="6"/>
      <c r="K866" s="69"/>
      <c r="L866" s="69"/>
      <c r="M866" s="69"/>
      <c r="N866" s="69"/>
      <c r="O866" s="69"/>
      <c r="P866" s="69"/>
      <c r="Q866" s="69"/>
      <c r="R866" s="69"/>
      <c r="S866" s="69"/>
      <c r="T866" s="69"/>
      <c r="U866" s="69"/>
      <c r="V866" s="69"/>
      <c r="W866" s="69"/>
      <c r="X866" s="69"/>
      <c r="Y866" s="69"/>
      <c r="Z866" s="69"/>
      <c r="AA866" s="69"/>
      <c r="AB866" s="69"/>
      <c r="AC866" s="69"/>
      <c r="AD866" s="69"/>
      <c r="AE866" s="69"/>
      <c r="AF866" s="69"/>
      <c r="AG866" s="69"/>
    </row>
    <row r="867" spans="2:33" ht="12.75">
      <c r="B867" s="283"/>
      <c r="C867" s="5"/>
      <c r="D867" s="5"/>
      <c r="E867" s="5"/>
      <c r="F867" s="5"/>
      <c r="G867" s="5"/>
      <c r="H867" s="5"/>
      <c r="I867" s="3"/>
      <c r="J867" s="6"/>
      <c r="K867" s="69"/>
      <c r="L867" s="69"/>
      <c r="M867" s="69"/>
      <c r="N867" s="69"/>
      <c r="O867" s="69"/>
      <c r="P867" s="69"/>
      <c r="Q867" s="69"/>
      <c r="R867" s="69"/>
      <c r="S867" s="69"/>
      <c r="T867" s="69"/>
      <c r="U867" s="69"/>
      <c r="V867" s="69"/>
      <c r="W867" s="69"/>
      <c r="X867" s="69"/>
      <c r="Y867" s="69"/>
      <c r="Z867" s="69"/>
      <c r="AA867" s="69"/>
      <c r="AB867" s="69"/>
      <c r="AC867" s="69"/>
      <c r="AD867" s="69"/>
      <c r="AE867" s="69"/>
      <c r="AF867" s="69"/>
      <c r="AG867" s="69"/>
    </row>
    <row r="868" spans="2:33" ht="12.75">
      <c r="B868" s="283"/>
      <c r="C868" s="5"/>
      <c r="D868" s="5"/>
      <c r="E868" s="5"/>
      <c r="F868" s="5"/>
      <c r="G868" s="5"/>
      <c r="H868" s="5"/>
      <c r="I868" s="3"/>
      <c r="J868" s="6"/>
      <c r="K868" s="69"/>
      <c r="L868" s="69"/>
      <c r="M868" s="69"/>
      <c r="N868" s="69"/>
      <c r="O868" s="69"/>
      <c r="P868" s="69"/>
      <c r="Q868" s="69"/>
      <c r="R868" s="69"/>
      <c r="S868" s="69"/>
      <c r="T868" s="69"/>
      <c r="U868" s="69"/>
      <c r="V868" s="69"/>
      <c r="W868" s="69"/>
      <c r="X868" s="69"/>
      <c r="Y868" s="69"/>
      <c r="Z868" s="69"/>
      <c r="AA868" s="69"/>
      <c r="AB868" s="69"/>
      <c r="AC868" s="69"/>
      <c r="AD868" s="69"/>
      <c r="AE868" s="69"/>
      <c r="AF868" s="69"/>
      <c r="AG868" s="69"/>
    </row>
    <row r="869" spans="2:33" ht="12.75">
      <c r="B869" s="283"/>
      <c r="C869" s="5"/>
      <c r="D869" s="5"/>
      <c r="E869" s="5"/>
      <c r="F869" s="5"/>
      <c r="G869" s="5"/>
      <c r="H869" s="5"/>
      <c r="I869" s="3"/>
      <c r="J869" s="6"/>
      <c r="K869" s="69"/>
      <c r="L869" s="69"/>
      <c r="M869" s="69"/>
      <c r="N869" s="69"/>
      <c r="O869" s="69"/>
      <c r="P869" s="69"/>
      <c r="Q869" s="69"/>
      <c r="R869" s="69"/>
      <c r="S869" s="69"/>
      <c r="T869" s="69"/>
      <c r="U869" s="69"/>
      <c r="V869" s="69"/>
      <c r="W869" s="69"/>
      <c r="X869" s="69"/>
      <c r="Y869" s="69"/>
      <c r="Z869" s="69"/>
      <c r="AA869" s="69"/>
      <c r="AB869" s="69"/>
      <c r="AC869" s="69"/>
      <c r="AD869" s="69"/>
      <c r="AE869" s="69"/>
      <c r="AF869" s="69"/>
      <c r="AG869" s="69"/>
    </row>
    <row r="870" spans="2:33" ht="12.75">
      <c r="B870" s="283"/>
      <c r="C870" s="5"/>
      <c r="D870" s="5"/>
      <c r="E870" s="5"/>
      <c r="F870" s="5"/>
      <c r="G870" s="5"/>
      <c r="H870" s="5"/>
      <c r="I870" s="3"/>
      <c r="J870" s="6"/>
      <c r="K870" s="69"/>
      <c r="L870" s="69"/>
      <c r="M870" s="69"/>
      <c r="N870" s="69"/>
      <c r="O870" s="69"/>
      <c r="P870" s="69"/>
      <c r="Q870" s="69"/>
      <c r="R870" s="69"/>
      <c r="S870" s="69"/>
      <c r="T870" s="69"/>
      <c r="U870" s="69"/>
      <c r="V870" s="69"/>
      <c r="W870" s="69"/>
      <c r="X870" s="69"/>
      <c r="Y870" s="69"/>
      <c r="Z870" s="69"/>
      <c r="AA870" s="69"/>
      <c r="AB870" s="69"/>
      <c r="AC870" s="69"/>
      <c r="AD870" s="69"/>
      <c r="AE870" s="69"/>
      <c r="AF870" s="69"/>
      <c r="AG870" s="69"/>
    </row>
    <row r="871" spans="2:33" ht="12.75">
      <c r="B871" s="283"/>
      <c r="C871" s="5"/>
      <c r="D871" s="5"/>
      <c r="E871" s="5"/>
      <c r="F871" s="5"/>
      <c r="G871" s="5"/>
      <c r="H871" s="5"/>
      <c r="I871" s="3"/>
      <c r="J871" s="6"/>
      <c r="K871" s="69"/>
      <c r="L871" s="69"/>
      <c r="M871" s="69"/>
      <c r="N871" s="69"/>
      <c r="O871" s="69"/>
      <c r="P871" s="69"/>
      <c r="Q871" s="69"/>
      <c r="R871" s="69"/>
      <c r="S871" s="69"/>
      <c r="T871" s="69"/>
      <c r="U871" s="69"/>
      <c r="V871" s="69"/>
      <c r="W871" s="69"/>
      <c r="X871" s="69"/>
      <c r="Y871" s="69"/>
      <c r="Z871" s="69"/>
      <c r="AA871" s="69"/>
      <c r="AB871" s="69"/>
      <c r="AC871" s="69"/>
      <c r="AD871" s="69"/>
      <c r="AE871" s="69"/>
      <c r="AF871" s="69"/>
      <c r="AG871" s="69"/>
    </row>
    <row r="872" spans="2:33" ht="12.75">
      <c r="B872" s="283"/>
      <c r="C872" s="5"/>
      <c r="D872" s="5"/>
      <c r="E872" s="5"/>
      <c r="F872" s="5"/>
      <c r="G872" s="5"/>
      <c r="H872" s="5"/>
      <c r="I872" s="3"/>
      <c r="J872" s="6"/>
      <c r="K872" s="69"/>
      <c r="L872" s="69"/>
      <c r="M872" s="69"/>
      <c r="N872" s="69"/>
      <c r="O872" s="69"/>
      <c r="P872" s="69"/>
      <c r="Q872" s="69"/>
      <c r="R872" s="69"/>
      <c r="S872" s="69"/>
      <c r="T872" s="69"/>
      <c r="U872" s="69"/>
      <c r="V872" s="69"/>
      <c r="W872" s="69"/>
      <c r="X872" s="69"/>
      <c r="Y872" s="69"/>
      <c r="Z872" s="69"/>
      <c r="AA872" s="69"/>
      <c r="AB872" s="69"/>
      <c r="AC872" s="69"/>
      <c r="AD872" s="69"/>
      <c r="AE872" s="69"/>
      <c r="AF872" s="69"/>
      <c r="AG872" s="69"/>
    </row>
    <row r="873" spans="2:33" ht="12.75">
      <c r="B873" s="283"/>
      <c r="C873" s="5"/>
      <c r="D873" s="5"/>
      <c r="E873" s="5"/>
      <c r="F873" s="5"/>
      <c r="G873" s="5"/>
      <c r="H873" s="5"/>
      <c r="I873" s="3"/>
      <c r="J873" s="6"/>
      <c r="K873" s="69"/>
      <c r="L873" s="69"/>
      <c r="M873" s="69"/>
      <c r="N873" s="69"/>
      <c r="O873" s="69"/>
      <c r="P873" s="69"/>
      <c r="Q873" s="69"/>
      <c r="R873" s="69"/>
      <c r="S873" s="69"/>
      <c r="T873" s="69"/>
      <c r="U873" s="69"/>
      <c r="V873" s="69"/>
      <c r="W873" s="69"/>
      <c r="X873" s="69"/>
      <c r="Y873" s="69"/>
      <c r="Z873" s="69"/>
      <c r="AA873" s="69"/>
      <c r="AB873" s="69"/>
      <c r="AC873" s="69"/>
      <c r="AD873" s="69"/>
      <c r="AE873" s="69"/>
      <c r="AF873" s="69"/>
      <c r="AG873" s="69"/>
    </row>
    <row r="874" spans="2:33" ht="12.75">
      <c r="B874" s="283"/>
      <c r="C874" s="5"/>
      <c r="D874" s="5"/>
      <c r="E874" s="5"/>
      <c r="F874" s="5"/>
      <c r="G874" s="5"/>
      <c r="H874" s="5"/>
      <c r="I874" s="3"/>
      <c r="J874" s="6"/>
      <c r="K874" s="69"/>
      <c r="L874" s="69"/>
      <c r="M874" s="69"/>
      <c r="N874" s="69"/>
      <c r="O874" s="69"/>
      <c r="P874" s="69"/>
      <c r="Q874" s="69"/>
      <c r="R874" s="69"/>
      <c r="S874" s="69"/>
      <c r="T874" s="69"/>
      <c r="U874" s="69"/>
      <c r="V874" s="69"/>
      <c r="W874" s="69"/>
      <c r="X874" s="69"/>
      <c r="Y874" s="69"/>
      <c r="Z874" s="69"/>
      <c r="AA874" s="69"/>
      <c r="AB874" s="69"/>
      <c r="AC874" s="69"/>
      <c r="AD874" s="69"/>
      <c r="AE874" s="69"/>
      <c r="AF874" s="69"/>
      <c r="AG874" s="69"/>
    </row>
    <row r="875" spans="2:33" ht="12.75">
      <c r="B875" s="283"/>
      <c r="C875" s="5"/>
      <c r="D875" s="5"/>
      <c r="E875" s="5"/>
      <c r="F875" s="5"/>
      <c r="G875" s="5"/>
      <c r="H875" s="5"/>
      <c r="I875" s="3"/>
      <c r="J875" s="6"/>
      <c r="K875" s="69"/>
      <c r="L875" s="69"/>
      <c r="M875" s="69"/>
      <c r="N875" s="69"/>
      <c r="O875" s="69"/>
      <c r="P875" s="69"/>
      <c r="Q875" s="69"/>
      <c r="R875" s="69"/>
      <c r="S875" s="69"/>
      <c r="T875" s="69"/>
      <c r="U875" s="69"/>
      <c r="V875" s="69"/>
      <c r="W875" s="69"/>
      <c r="X875" s="69"/>
      <c r="Y875" s="69"/>
      <c r="Z875" s="69"/>
      <c r="AA875" s="69"/>
      <c r="AB875" s="69"/>
      <c r="AC875" s="69"/>
      <c r="AD875" s="69"/>
      <c r="AE875" s="69"/>
      <c r="AF875" s="69"/>
      <c r="AG875" s="69"/>
    </row>
    <row r="876" spans="2:33" ht="12.75">
      <c r="B876" s="283"/>
      <c r="C876" s="5"/>
      <c r="D876" s="5"/>
      <c r="E876" s="5"/>
      <c r="F876" s="5"/>
      <c r="G876" s="5"/>
      <c r="H876" s="5"/>
      <c r="I876" s="3"/>
      <c r="J876" s="6"/>
      <c r="K876" s="69"/>
      <c r="L876" s="69"/>
      <c r="M876" s="69"/>
      <c r="N876" s="69"/>
      <c r="O876" s="69"/>
      <c r="P876" s="69"/>
      <c r="Q876" s="69"/>
      <c r="R876" s="69"/>
      <c r="S876" s="69"/>
      <c r="T876" s="69"/>
      <c r="U876" s="69"/>
      <c r="V876" s="69"/>
      <c r="W876" s="69"/>
      <c r="X876" s="69"/>
      <c r="Y876" s="69"/>
      <c r="Z876" s="69"/>
      <c r="AA876" s="69"/>
      <c r="AB876" s="69"/>
      <c r="AC876" s="69"/>
      <c r="AD876" s="69"/>
      <c r="AE876" s="69"/>
      <c r="AF876" s="69"/>
      <c r="AG876" s="69"/>
    </row>
    <row r="877" spans="2:33" ht="12.75">
      <c r="B877" s="283"/>
      <c r="C877" s="5"/>
      <c r="D877" s="5"/>
      <c r="E877" s="5"/>
      <c r="F877" s="5"/>
      <c r="G877" s="5"/>
      <c r="H877" s="5"/>
      <c r="I877" s="3"/>
      <c r="J877" s="6"/>
      <c r="K877" s="69"/>
      <c r="L877" s="69"/>
      <c r="M877" s="69"/>
      <c r="N877" s="69"/>
      <c r="O877" s="69"/>
      <c r="P877" s="69"/>
      <c r="Q877" s="69"/>
      <c r="R877" s="69"/>
      <c r="S877" s="69"/>
      <c r="T877" s="69"/>
      <c r="U877" s="69"/>
      <c r="V877" s="69"/>
      <c r="W877" s="69"/>
      <c r="X877" s="69"/>
      <c r="Y877" s="69"/>
      <c r="Z877" s="69"/>
      <c r="AA877" s="69"/>
      <c r="AB877" s="69"/>
      <c r="AC877" s="69"/>
      <c r="AD877" s="69"/>
      <c r="AE877" s="69"/>
      <c r="AF877" s="69"/>
      <c r="AG877" s="69"/>
    </row>
    <row r="878" spans="2:33" ht="12.75">
      <c r="B878" s="283"/>
      <c r="C878" s="5"/>
      <c r="D878" s="5"/>
      <c r="E878" s="5"/>
      <c r="F878" s="5"/>
      <c r="G878" s="5"/>
      <c r="H878" s="5"/>
      <c r="I878" s="3"/>
      <c r="J878" s="6"/>
      <c r="K878" s="69"/>
      <c r="L878" s="69"/>
      <c r="M878" s="69"/>
      <c r="N878" s="69"/>
      <c r="O878" s="69"/>
      <c r="P878" s="69"/>
      <c r="Q878" s="69"/>
      <c r="R878" s="69"/>
      <c r="S878" s="69"/>
      <c r="T878" s="69"/>
      <c r="U878" s="69"/>
      <c r="V878" s="69"/>
      <c r="W878" s="69"/>
      <c r="X878" s="69"/>
      <c r="Y878" s="69"/>
      <c r="Z878" s="69"/>
      <c r="AA878" s="69"/>
      <c r="AB878" s="69"/>
      <c r="AC878" s="69"/>
      <c r="AD878" s="69"/>
      <c r="AE878" s="69"/>
      <c r="AF878" s="69"/>
      <c r="AG878" s="69"/>
    </row>
    <row r="879" spans="2:33" ht="12.75">
      <c r="B879" s="283"/>
      <c r="C879" s="5"/>
      <c r="D879" s="5"/>
      <c r="E879" s="5"/>
      <c r="F879" s="5"/>
      <c r="G879" s="5"/>
      <c r="H879" s="5"/>
      <c r="I879" s="3"/>
      <c r="J879" s="6"/>
      <c r="K879" s="69"/>
      <c r="L879" s="69"/>
      <c r="M879" s="69"/>
      <c r="N879" s="69"/>
      <c r="O879" s="69"/>
      <c r="P879" s="69"/>
      <c r="Q879" s="69"/>
      <c r="R879" s="69"/>
      <c r="S879" s="69"/>
      <c r="T879" s="69"/>
      <c r="U879" s="69"/>
      <c r="V879" s="69"/>
      <c r="W879" s="69"/>
      <c r="X879" s="69"/>
      <c r="Y879" s="69"/>
      <c r="Z879" s="69"/>
      <c r="AA879" s="69"/>
      <c r="AB879" s="69"/>
      <c r="AC879" s="69"/>
      <c r="AD879" s="69"/>
      <c r="AE879" s="69"/>
      <c r="AF879" s="69"/>
      <c r="AG879" s="69"/>
    </row>
    <row r="880" spans="2:33" ht="12.75">
      <c r="B880" s="283"/>
      <c r="C880" s="5"/>
      <c r="D880" s="5"/>
      <c r="E880" s="5"/>
      <c r="F880" s="5"/>
      <c r="G880" s="5"/>
      <c r="H880" s="5"/>
      <c r="I880" s="3"/>
      <c r="J880" s="6"/>
      <c r="K880" s="69"/>
      <c r="L880" s="69"/>
      <c r="M880" s="69"/>
      <c r="N880" s="69"/>
      <c r="O880" s="69"/>
      <c r="P880" s="69"/>
      <c r="Q880" s="69"/>
      <c r="R880" s="69"/>
      <c r="S880" s="69"/>
      <c r="T880" s="69"/>
      <c r="U880" s="69"/>
      <c r="V880" s="69"/>
      <c r="W880" s="69"/>
      <c r="X880" s="69"/>
      <c r="Y880" s="69"/>
      <c r="Z880" s="69"/>
      <c r="AA880" s="69"/>
      <c r="AB880" s="69"/>
      <c r="AC880" s="69"/>
      <c r="AD880" s="69"/>
      <c r="AE880" s="69"/>
      <c r="AF880" s="69"/>
      <c r="AG880" s="69"/>
    </row>
    <row r="881" spans="2:33" ht="12.75">
      <c r="B881" s="283"/>
      <c r="C881" s="5"/>
      <c r="D881" s="5"/>
      <c r="E881" s="5"/>
      <c r="F881" s="5"/>
      <c r="G881" s="5"/>
      <c r="H881" s="5"/>
      <c r="I881" s="3"/>
      <c r="J881" s="6"/>
      <c r="K881" s="69"/>
      <c r="L881" s="69"/>
      <c r="M881" s="69"/>
      <c r="N881" s="69"/>
      <c r="O881" s="69"/>
      <c r="P881" s="69"/>
      <c r="Q881" s="69"/>
      <c r="R881" s="69"/>
      <c r="S881" s="69"/>
      <c r="T881" s="69"/>
      <c r="U881" s="69"/>
      <c r="V881" s="69"/>
      <c r="W881" s="69"/>
      <c r="X881" s="69"/>
      <c r="Y881" s="69"/>
      <c r="Z881" s="69"/>
      <c r="AA881" s="69"/>
      <c r="AB881" s="69"/>
      <c r="AC881" s="69"/>
      <c r="AD881" s="69"/>
      <c r="AE881" s="69"/>
      <c r="AF881" s="69"/>
      <c r="AG881" s="69"/>
    </row>
    <row r="882" spans="2:33" ht="12.75">
      <c r="B882" s="283"/>
      <c r="C882" s="5"/>
      <c r="D882" s="5"/>
      <c r="E882" s="5"/>
      <c r="F882" s="5"/>
      <c r="G882" s="5"/>
      <c r="H882" s="5"/>
      <c r="I882" s="3"/>
      <c r="J882" s="6"/>
      <c r="K882" s="69"/>
      <c r="L882" s="69"/>
      <c r="M882" s="69"/>
      <c r="N882" s="69"/>
      <c r="O882" s="69"/>
      <c r="P882" s="69"/>
      <c r="Q882" s="69"/>
      <c r="R882" s="69"/>
      <c r="S882" s="69"/>
      <c r="T882" s="69"/>
      <c r="U882" s="69"/>
      <c r="V882" s="69"/>
      <c r="W882" s="69"/>
      <c r="X882" s="69"/>
      <c r="Y882" s="69"/>
      <c r="Z882" s="69"/>
      <c r="AA882" s="69"/>
      <c r="AB882" s="69"/>
      <c r="AC882" s="69"/>
      <c r="AD882" s="69"/>
      <c r="AE882" s="69"/>
      <c r="AF882" s="69"/>
      <c r="AG882" s="69"/>
    </row>
    <row r="883" spans="2:33" ht="12.75">
      <c r="B883" s="283"/>
      <c r="C883" s="5"/>
      <c r="D883" s="5"/>
      <c r="E883" s="5"/>
      <c r="F883" s="5"/>
      <c r="G883" s="5"/>
      <c r="H883" s="5"/>
      <c r="I883" s="3"/>
      <c r="J883" s="6"/>
      <c r="K883" s="69"/>
      <c r="L883" s="69"/>
      <c r="M883" s="69"/>
      <c r="N883" s="69"/>
      <c r="O883" s="69"/>
      <c r="P883" s="69"/>
      <c r="Q883" s="69"/>
      <c r="R883" s="69"/>
      <c r="S883" s="69"/>
      <c r="T883" s="69"/>
      <c r="U883" s="69"/>
      <c r="V883" s="69"/>
      <c r="W883" s="69"/>
      <c r="X883" s="69"/>
      <c r="Y883" s="69"/>
      <c r="Z883" s="69"/>
      <c r="AA883" s="69"/>
      <c r="AB883" s="69"/>
      <c r="AC883" s="69"/>
      <c r="AD883" s="69"/>
      <c r="AE883" s="69"/>
      <c r="AF883" s="69"/>
      <c r="AG883" s="69"/>
    </row>
    <row r="884" spans="2:33" ht="12.75">
      <c r="B884" s="283"/>
      <c r="C884" s="5"/>
      <c r="D884" s="5"/>
      <c r="E884" s="5"/>
      <c r="F884" s="5"/>
      <c r="G884" s="5"/>
      <c r="H884" s="5"/>
      <c r="I884" s="3"/>
      <c r="J884" s="6"/>
      <c r="K884" s="69"/>
      <c r="L884" s="69"/>
      <c r="M884" s="69"/>
      <c r="N884" s="69"/>
      <c r="O884" s="69"/>
      <c r="P884" s="69"/>
      <c r="Q884" s="69"/>
      <c r="R884" s="69"/>
      <c r="S884" s="69"/>
      <c r="T884" s="69"/>
      <c r="U884" s="69"/>
      <c r="V884" s="69"/>
      <c r="W884" s="69"/>
      <c r="X884" s="69"/>
      <c r="Y884" s="69"/>
      <c r="Z884" s="69"/>
      <c r="AA884" s="69"/>
      <c r="AB884" s="69"/>
      <c r="AC884" s="69"/>
      <c r="AD884" s="69"/>
      <c r="AE884" s="69"/>
      <c r="AF884" s="69"/>
      <c r="AG884" s="69"/>
    </row>
    <row r="885" spans="2:33" ht="12.75">
      <c r="B885" s="283"/>
      <c r="C885" s="5"/>
      <c r="D885" s="5"/>
      <c r="E885" s="5"/>
      <c r="F885" s="5"/>
      <c r="G885" s="5"/>
      <c r="H885" s="5"/>
      <c r="I885" s="3"/>
      <c r="J885" s="6"/>
      <c r="K885" s="69"/>
      <c r="L885" s="69"/>
      <c r="M885" s="69"/>
      <c r="N885" s="69"/>
      <c r="O885" s="69"/>
      <c r="P885" s="69"/>
      <c r="Q885" s="69"/>
      <c r="R885" s="69"/>
      <c r="S885" s="69"/>
      <c r="T885" s="69"/>
      <c r="U885" s="69"/>
      <c r="V885" s="69"/>
      <c r="W885" s="69"/>
      <c r="X885" s="69"/>
      <c r="Y885" s="69"/>
      <c r="Z885" s="69"/>
      <c r="AA885" s="69"/>
      <c r="AB885" s="69"/>
      <c r="AC885" s="69"/>
      <c r="AD885" s="69"/>
      <c r="AE885" s="69"/>
      <c r="AF885" s="69"/>
      <c r="AG885" s="69"/>
    </row>
    <row r="886" spans="2:33" ht="12.75">
      <c r="B886" s="283"/>
      <c r="C886" s="5"/>
      <c r="D886" s="5"/>
      <c r="E886" s="5"/>
      <c r="F886" s="5"/>
      <c r="G886" s="5"/>
      <c r="H886" s="5"/>
      <c r="I886" s="3"/>
      <c r="J886" s="6"/>
      <c r="K886" s="69"/>
      <c r="L886" s="69"/>
      <c r="M886" s="69"/>
      <c r="N886" s="69"/>
      <c r="O886" s="69"/>
      <c r="P886" s="69"/>
      <c r="Q886" s="69"/>
      <c r="R886" s="69"/>
      <c r="S886" s="69"/>
      <c r="T886" s="69"/>
      <c r="U886" s="69"/>
      <c r="V886" s="69"/>
      <c r="W886" s="69"/>
      <c r="X886" s="69"/>
      <c r="Y886" s="69"/>
      <c r="Z886" s="69"/>
      <c r="AA886" s="69"/>
      <c r="AB886" s="69"/>
      <c r="AC886" s="69"/>
      <c r="AD886" s="69"/>
      <c r="AE886" s="69"/>
      <c r="AF886" s="69"/>
      <c r="AG886" s="69"/>
    </row>
    <row r="887" spans="2:33" ht="12.75">
      <c r="B887" s="283"/>
      <c r="C887" s="5"/>
      <c r="D887" s="5"/>
      <c r="E887" s="5"/>
      <c r="F887" s="5"/>
      <c r="G887" s="5"/>
      <c r="H887" s="5"/>
      <c r="I887" s="3"/>
      <c r="J887" s="6"/>
      <c r="K887" s="69"/>
      <c r="L887" s="69"/>
      <c r="M887" s="69"/>
      <c r="N887" s="69"/>
      <c r="O887" s="69"/>
      <c r="P887" s="69"/>
      <c r="Q887" s="69"/>
      <c r="R887" s="69"/>
      <c r="S887" s="69"/>
      <c r="T887" s="69"/>
      <c r="U887" s="69"/>
      <c r="V887" s="69"/>
      <c r="W887" s="69"/>
      <c r="X887" s="69"/>
      <c r="Y887" s="69"/>
      <c r="Z887" s="69"/>
      <c r="AA887" s="69"/>
      <c r="AB887" s="69"/>
      <c r="AC887" s="69"/>
      <c r="AD887" s="69"/>
      <c r="AE887" s="69"/>
      <c r="AF887" s="69"/>
      <c r="AG887" s="69"/>
    </row>
    <row r="888" spans="2:33" ht="12.75">
      <c r="B888" s="283"/>
      <c r="C888" s="5"/>
      <c r="D888" s="5"/>
      <c r="E888" s="5"/>
      <c r="F888" s="5"/>
      <c r="G888" s="5"/>
      <c r="H888" s="5"/>
      <c r="I888" s="3"/>
      <c r="J888" s="6"/>
      <c r="K888" s="69"/>
      <c r="L888" s="69"/>
      <c r="M888" s="69"/>
      <c r="N888" s="69"/>
      <c r="O888" s="69"/>
      <c r="P888" s="69"/>
      <c r="Q888" s="69"/>
      <c r="R888" s="69"/>
      <c r="S888" s="69"/>
      <c r="T888" s="69"/>
      <c r="U888" s="69"/>
      <c r="V888" s="69"/>
      <c r="W888" s="69"/>
      <c r="X888" s="69"/>
      <c r="Y888" s="69"/>
      <c r="Z888" s="69"/>
      <c r="AA888" s="69"/>
      <c r="AB888" s="69"/>
      <c r="AC888" s="69"/>
      <c r="AD888" s="69"/>
      <c r="AE888" s="69"/>
      <c r="AF888" s="69"/>
      <c r="AG888" s="69"/>
    </row>
    <row r="889" spans="2:33" ht="12.75">
      <c r="B889" s="283"/>
      <c r="C889" s="5"/>
      <c r="D889" s="5"/>
      <c r="E889" s="5"/>
      <c r="F889" s="5"/>
      <c r="G889" s="5"/>
      <c r="H889" s="5"/>
      <c r="I889" s="3"/>
      <c r="J889" s="6"/>
      <c r="K889" s="69"/>
      <c r="L889" s="69"/>
      <c r="M889" s="69"/>
      <c r="N889" s="69"/>
      <c r="O889" s="69"/>
      <c r="P889" s="69"/>
      <c r="Q889" s="69"/>
      <c r="R889" s="69"/>
      <c r="S889" s="69"/>
      <c r="T889" s="69"/>
      <c r="U889" s="69"/>
      <c r="V889" s="69"/>
      <c r="W889" s="69"/>
      <c r="X889" s="69"/>
      <c r="Y889" s="69"/>
      <c r="Z889" s="69"/>
      <c r="AA889" s="69"/>
      <c r="AB889" s="69"/>
      <c r="AC889" s="69"/>
      <c r="AD889" s="69"/>
      <c r="AE889" s="69"/>
      <c r="AF889" s="69"/>
      <c r="AG889" s="69"/>
    </row>
    <row r="890" spans="2:33" ht="12.75">
      <c r="B890" s="283"/>
      <c r="C890" s="5"/>
      <c r="D890" s="5"/>
      <c r="E890" s="5"/>
      <c r="F890" s="5"/>
      <c r="G890" s="5"/>
      <c r="H890" s="5"/>
      <c r="I890" s="3"/>
      <c r="J890" s="6"/>
      <c r="K890" s="69"/>
      <c r="L890" s="69"/>
      <c r="M890" s="69"/>
      <c r="N890" s="69"/>
      <c r="O890" s="69"/>
      <c r="P890" s="69"/>
      <c r="Q890" s="69"/>
      <c r="R890" s="69"/>
      <c r="S890" s="69"/>
      <c r="T890" s="69"/>
      <c r="U890" s="69"/>
      <c r="V890" s="69"/>
      <c r="W890" s="69"/>
      <c r="X890" s="69"/>
      <c r="Y890" s="69"/>
      <c r="Z890" s="69"/>
      <c r="AA890" s="69"/>
      <c r="AB890" s="69"/>
      <c r="AC890" s="69"/>
      <c r="AD890" s="69"/>
      <c r="AE890" s="69"/>
      <c r="AF890" s="69"/>
      <c r="AG890" s="69"/>
    </row>
    <row r="891" spans="2:33" ht="12.75">
      <c r="B891" s="283"/>
      <c r="C891" s="5"/>
      <c r="D891" s="5"/>
      <c r="E891" s="5"/>
      <c r="F891" s="5"/>
      <c r="G891" s="5"/>
      <c r="H891" s="5"/>
      <c r="I891" s="3"/>
      <c r="J891" s="6"/>
      <c r="K891" s="69"/>
      <c r="L891" s="69"/>
      <c r="M891" s="69"/>
      <c r="N891" s="69"/>
      <c r="O891" s="69"/>
      <c r="P891" s="69"/>
      <c r="Q891" s="69"/>
      <c r="R891" s="69"/>
      <c r="S891" s="69"/>
      <c r="T891" s="69"/>
      <c r="U891" s="69"/>
      <c r="V891" s="69"/>
      <c r="W891" s="69"/>
      <c r="X891" s="69"/>
      <c r="Y891" s="69"/>
      <c r="Z891" s="69"/>
      <c r="AA891" s="69"/>
      <c r="AB891" s="69"/>
      <c r="AC891" s="69"/>
      <c r="AD891" s="69"/>
      <c r="AE891" s="69"/>
      <c r="AF891" s="69"/>
      <c r="AG891" s="69"/>
    </row>
    <row r="892" spans="2:33" ht="12.75">
      <c r="B892" s="283"/>
      <c r="C892" s="5"/>
      <c r="D892" s="5"/>
      <c r="E892" s="5"/>
      <c r="F892" s="5"/>
      <c r="G892" s="5"/>
      <c r="H892" s="5"/>
      <c r="I892" s="3"/>
      <c r="J892" s="6"/>
      <c r="K892" s="69"/>
      <c r="L892" s="69"/>
      <c r="M892" s="69"/>
      <c r="N892" s="69"/>
      <c r="O892" s="69"/>
      <c r="P892" s="69"/>
      <c r="Q892" s="69"/>
      <c r="R892" s="69"/>
      <c r="S892" s="69"/>
      <c r="T892" s="69"/>
      <c r="U892" s="69"/>
      <c r="V892" s="69"/>
      <c r="W892" s="69"/>
      <c r="X892" s="69"/>
      <c r="Y892" s="69"/>
      <c r="Z892" s="69"/>
      <c r="AA892" s="69"/>
      <c r="AB892" s="69"/>
      <c r="AC892" s="69"/>
      <c r="AD892" s="69"/>
      <c r="AE892" s="69"/>
      <c r="AF892" s="69"/>
      <c r="AG892" s="69"/>
    </row>
    <row r="893" spans="2:33" ht="12.75">
      <c r="B893" s="283"/>
      <c r="C893" s="5"/>
      <c r="D893" s="5"/>
      <c r="E893" s="5"/>
      <c r="F893" s="5"/>
      <c r="G893" s="5"/>
      <c r="H893" s="5"/>
      <c r="I893" s="3"/>
      <c r="J893" s="6"/>
      <c r="K893" s="69"/>
      <c r="L893" s="69"/>
      <c r="M893" s="69"/>
      <c r="N893" s="69"/>
      <c r="O893" s="69"/>
      <c r="P893" s="69"/>
      <c r="Q893" s="69"/>
      <c r="R893" s="69"/>
      <c r="S893" s="69"/>
      <c r="T893" s="69"/>
      <c r="U893" s="69"/>
      <c r="V893" s="69"/>
      <c r="W893" s="69"/>
      <c r="X893" s="69"/>
      <c r="Y893" s="69"/>
      <c r="Z893" s="69"/>
      <c r="AA893" s="69"/>
      <c r="AB893" s="69"/>
      <c r="AC893" s="69"/>
      <c r="AD893" s="69"/>
      <c r="AE893" s="69"/>
      <c r="AF893" s="69"/>
      <c r="AG893" s="69"/>
    </row>
    <row r="894" spans="2:33" ht="12.75">
      <c r="B894" s="283"/>
      <c r="C894" s="5"/>
      <c r="D894" s="5"/>
      <c r="E894" s="5"/>
      <c r="F894" s="5"/>
      <c r="G894" s="5"/>
      <c r="H894" s="5"/>
      <c r="I894" s="3"/>
      <c r="J894" s="6"/>
      <c r="K894" s="69"/>
      <c r="L894" s="69"/>
      <c r="M894" s="69"/>
      <c r="N894" s="69"/>
      <c r="O894" s="69"/>
      <c r="P894" s="69"/>
      <c r="Q894" s="69"/>
      <c r="R894" s="69"/>
      <c r="S894" s="69"/>
      <c r="T894" s="69"/>
      <c r="U894" s="69"/>
      <c r="V894" s="69"/>
      <c r="W894" s="69"/>
      <c r="X894" s="69"/>
      <c r="Y894" s="69"/>
      <c r="Z894" s="69"/>
      <c r="AA894" s="69"/>
      <c r="AB894" s="69"/>
      <c r="AC894" s="69"/>
      <c r="AD894" s="69"/>
      <c r="AE894" s="69"/>
      <c r="AF894" s="69"/>
      <c r="AG894" s="69"/>
    </row>
    <row r="895" spans="2:33" ht="12.75">
      <c r="B895" s="283"/>
      <c r="C895" s="5"/>
      <c r="D895" s="5"/>
      <c r="E895" s="5"/>
      <c r="F895" s="5"/>
      <c r="G895" s="5"/>
      <c r="H895" s="5"/>
      <c r="I895" s="3"/>
      <c r="J895" s="6"/>
      <c r="K895" s="69"/>
      <c r="L895" s="69"/>
      <c r="M895" s="69"/>
      <c r="N895" s="69"/>
      <c r="O895" s="69"/>
      <c r="P895" s="69"/>
      <c r="Q895" s="69"/>
      <c r="R895" s="69"/>
      <c r="S895" s="69"/>
      <c r="T895" s="69"/>
      <c r="U895" s="69"/>
      <c r="V895" s="69"/>
      <c r="W895" s="69"/>
      <c r="X895" s="69"/>
      <c r="Y895" s="69"/>
      <c r="Z895" s="69"/>
      <c r="AA895" s="69"/>
      <c r="AB895" s="69"/>
      <c r="AC895" s="69"/>
      <c r="AD895" s="69"/>
      <c r="AE895" s="69"/>
      <c r="AF895" s="69"/>
      <c r="AG895" s="69"/>
    </row>
    <row r="896" spans="2:33" ht="12.75">
      <c r="B896" s="283"/>
      <c r="C896" s="5"/>
      <c r="D896" s="5"/>
      <c r="E896" s="5"/>
      <c r="F896" s="5"/>
      <c r="G896" s="5"/>
      <c r="H896" s="5"/>
      <c r="I896" s="3"/>
      <c r="J896" s="6"/>
      <c r="K896" s="69"/>
      <c r="L896" s="69"/>
      <c r="M896" s="69"/>
      <c r="N896" s="69"/>
      <c r="O896" s="69"/>
      <c r="P896" s="69"/>
      <c r="Q896" s="69"/>
      <c r="R896" s="69"/>
      <c r="S896" s="69"/>
      <c r="T896" s="69"/>
      <c r="U896" s="69"/>
      <c r="V896" s="69"/>
      <c r="W896" s="69"/>
      <c r="X896" s="69"/>
      <c r="Y896" s="69"/>
      <c r="Z896" s="69"/>
      <c r="AA896" s="69"/>
      <c r="AB896" s="69"/>
      <c r="AC896" s="69"/>
      <c r="AD896" s="69"/>
      <c r="AE896" s="69"/>
      <c r="AF896" s="69"/>
      <c r="AG896" s="69"/>
    </row>
    <row r="897" spans="2:33" ht="12.75">
      <c r="B897" s="283"/>
      <c r="C897" s="5"/>
      <c r="D897" s="5"/>
      <c r="E897" s="5"/>
      <c r="F897" s="5"/>
      <c r="G897" s="5"/>
      <c r="H897" s="5"/>
      <c r="I897" s="3"/>
      <c r="J897" s="6"/>
      <c r="K897" s="69"/>
      <c r="L897" s="69"/>
      <c r="M897" s="69"/>
      <c r="N897" s="69"/>
      <c r="O897" s="69"/>
      <c r="P897" s="69"/>
      <c r="Q897" s="69"/>
      <c r="R897" s="69"/>
      <c r="S897" s="69"/>
      <c r="T897" s="69"/>
      <c r="U897" s="69"/>
      <c r="V897" s="69"/>
      <c r="W897" s="69"/>
      <c r="X897" s="69"/>
      <c r="Y897" s="69"/>
      <c r="Z897" s="69"/>
      <c r="AA897" s="69"/>
      <c r="AB897" s="69"/>
      <c r="AC897" s="69"/>
      <c r="AD897" s="69"/>
      <c r="AE897" s="69"/>
      <c r="AF897" s="69"/>
      <c r="AG897" s="69"/>
    </row>
    <row r="898" spans="2:33" ht="12.75">
      <c r="B898" s="283"/>
      <c r="C898" s="5"/>
      <c r="D898" s="5"/>
      <c r="E898" s="5"/>
      <c r="F898" s="5"/>
      <c r="G898" s="5"/>
      <c r="H898" s="5"/>
      <c r="I898" s="3"/>
      <c r="J898" s="6"/>
      <c r="K898" s="69"/>
      <c r="L898" s="69"/>
      <c r="M898" s="69"/>
      <c r="N898" s="69"/>
      <c r="O898" s="69"/>
      <c r="P898" s="69"/>
      <c r="Q898" s="69"/>
      <c r="R898" s="69"/>
      <c r="S898" s="69"/>
      <c r="T898" s="69"/>
      <c r="U898" s="69"/>
      <c r="V898" s="69"/>
      <c r="W898" s="69"/>
      <c r="X898" s="69"/>
      <c r="Y898" s="69"/>
      <c r="Z898" s="69"/>
      <c r="AA898" s="69"/>
      <c r="AB898" s="69"/>
      <c r="AC898" s="69"/>
      <c r="AD898" s="69"/>
      <c r="AE898" s="69"/>
      <c r="AF898" s="69"/>
      <c r="AG898" s="69"/>
    </row>
    <row r="899" spans="2:33" ht="12.75">
      <c r="B899" s="283"/>
      <c r="C899" s="5"/>
      <c r="D899" s="5"/>
      <c r="E899" s="5"/>
      <c r="F899" s="5"/>
      <c r="G899" s="5"/>
      <c r="H899" s="5"/>
      <c r="I899" s="3"/>
      <c r="J899" s="6"/>
      <c r="K899" s="69"/>
      <c r="L899" s="69"/>
      <c r="M899" s="69"/>
      <c r="N899" s="69"/>
      <c r="O899" s="69"/>
      <c r="P899" s="69"/>
      <c r="Q899" s="69"/>
      <c r="R899" s="69"/>
      <c r="S899" s="69"/>
      <c r="T899" s="69"/>
      <c r="U899" s="69"/>
      <c r="V899" s="69"/>
      <c r="W899" s="69"/>
      <c r="X899" s="69"/>
      <c r="Y899" s="69"/>
      <c r="Z899" s="69"/>
      <c r="AA899" s="69"/>
      <c r="AB899" s="69"/>
      <c r="AC899" s="69"/>
      <c r="AD899" s="69"/>
      <c r="AE899" s="69"/>
      <c r="AF899" s="69"/>
      <c r="AG899" s="69"/>
    </row>
    <row r="900" spans="2:33" ht="12.75">
      <c r="B900" s="283"/>
      <c r="C900" s="5"/>
      <c r="D900" s="5"/>
      <c r="E900" s="5"/>
      <c r="F900" s="5"/>
      <c r="G900" s="5"/>
      <c r="H900" s="5"/>
      <c r="I900" s="3"/>
      <c r="J900" s="6"/>
      <c r="K900" s="69"/>
      <c r="L900" s="69"/>
      <c r="M900" s="69"/>
      <c r="N900" s="69"/>
      <c r="O900" s="69"/>
      <c r="P900" s="69"/>
      <c r="Q900" s="69"/>
      <c r="R900" s="69"/>
      <c r="S900" s="69"/>
      <c r="T900" s="69"/>
      <c r="U900" s="69"/>
      <c r="V900" s="69"/>
      <c r="W900" s="69"/>
      <c r="X900" s="69"/>
      <c r="Y900" s="69"/>
      <c r="Z900" s="69"/>
      <c r="AA900" s="69"/>
      <c r="AB900" s="69"/>
      <c r="AC900" s="69"/>
      <c r="AD900" s="69"/>
      <c r="AE900" s="69"/>
      <c r="AF900" s="69"/>
      <c r="AG900" s="69"/>
    </row>
    <row r="901" spans="2:33" ht="12.75">
      <c r="B901" s="283"/>
      <c r="C901" s="5"/>
      <c r="D901" s="5"/>
      <c r="E901" s="5"/>
      <c r="F901" s="5"/>
      <c r="G901" s="5"/>
      <c r="H901" s="5"/>
      <c r="I901" s="3"/>
      <c r="J901" s="6"/>
      <c r="K901" s="69"/>
      <c r="L901" s="69"/>
      <c r="M901" s="69"/>
      <c r="N901" s="69"/>
      <c r="O901" s="69"/>
      <c r="P901" s="69"/>
      <c r="Q901" s="69"/>
      <c r="R901" s="69"/>
      <c r="S901" s="69"/>
      <c r="T901" s="69"/>
      <c r="U901" s="69"/>
      <c r="V901" s="69"/>
      <c r="W901" s="69"/>
      <c r="X901" s="69"/>
      <c r="Y901" s="69"/>
      <c r="Z901" s="69"/>
      <c r="AA901" s="69"/>
      <c r="AB901" s="69"/>
      <c r="AC901" s="69"/>
      <c r="AD901" s="69"/>
      <c r="AE901" s="69"/>
      <c r="AF901" s="69"/>
      <c r="AG901" s="69"/>
    </row>
    <row r="902" spans="2:33" ht="12.75">
      <c r="B902" s="283"/>
      <c r="C902" s="5"/>
      <c r="D902" s="5"/>
      <c r="E902" s="5"/>
      <c r="F902" s="5"/>
      <c r="G902" s="5"/>
      <c r="H902" s="5"/>
      <c r="I902" s="3"/>
      <c r="J902" s="6"/>
      <c r="K902" s="69"/>
      <c r="L902" s="69"/>
      <c r="M902" s="69"/>
      <c r="N902" s="69"/>
      <c r="O902" s="69"/>
      <c r="P902" s="69"/>
      <c r="Q902" s="69"/>
      <c r="R902" s="69"/>
      <c r="S902" s="69"/>
      <c r="T902" s="69"/>
      <c r="U902" s="69"/>
      <c r="V902" s="69"/>
      <c r="W902" s="69"/>
      <c r="X902" s="69"/>
      <c r="Y902" s="69"/>
      <c r="Z902" s="69"/>
      <c r="AA902" s="69"/>
      <c r="AB902" s="69"/>
      <c r="AC902" s="69"/>
      <c r="AD902" s="69"/>
      <c r="AE902" s="69"/>
      <c r="AF902" s="69"/>
      <c r="AG902" s="69"/>
    </row>
    <row r="903" spans="2:33" ht="12.75">
      <c r="B903" s="283"/>
      <c r="C903" s="5"/>
      <c r="D903" s="5"/>
      <c r="E903" s="5"/>
      <c r="F903" s="5"/>
      <c r="G903" s="5"/>
      <c r="H903" s="5"/>
      <c r="I903" s="3"/>
      <c r="J903" s="6"/>
      <c r="K903" s="69"/>
      <c r="L903" s="69"/>
      <c r="M903" s="69"/>
      <c r="N903" s="69"/>
      <c r="O903" s="69"/>
      <c r="P903" s="69"/>
      <c r="Q903" s="69"/>
      <c r="R903" s="69"/>
      <c r="S903" s="69"/>
      <c r="T903" s="69"/>
      <c r="U903" s="69"/>
      <c r="V903" s="69"/>
      <c r="W903" s="69"/>
      <c r="X903" s="69"/>
      <c r="Y903" s="69"/>
      <c r="Z903" s="69"/>
      <c r="AA903" s="69"/>
      <c r="AB903" s="69"/>
      <c r="AC903" s="69"/>
      <c r="AD903" s="69"/>
      <c r="AE903" s="69"/>
      <c r="AF903" s="69"/>
      <c r="AG903" s="69"/>
    </row>
    <row r="904" spans="2:33" ht="12.75">
      <c r="B904" s="283"/>
      <c r="C904" s="5"/>
      <c r="D904" s="5"/>
      <c r="E904" s="5"/>
      <c r="F904" s="5"/>
      <c r="G904" s="5"/>
      <c r="H904" s="5"/>
      <c r="I904" s="3"/>
      <c r="J904" s="6"/>
      <c r="K904" s="69"/>
      <c r="L904" s="69"/>
      <c r="M904" s="69"/>
      <c r="N904" s="69"/>
      <c r="O904" s="69"/>
      <c r="P904" s="69"/>
      <c r="Q904" s="69"/>
      <c r="R904" s="69"/>
      <c r="S904" s="69"/>
      <c r="T904" s="69"/>
      <c r="U904" s="69"/>
      <c r="V904" s="69"/>
      <c r="W904" s="69"/>
      <c r="X904" s="69"/>
      <c r="Y904" s="69"/>
      <c r="Z904" s="69"/>
      <c r="AA904" s="69"/>
      <c r="AB904" s="69"/>
      <c r="AC904" s="69"/>
      <c r="AD904" s="69"/>
      <c r="AE904" s="69"/>
      <c r="AF904" s="69"/>
      <c r="AG904" s="69"/>
    </row>
    <row r="905" spans="2:33" ht="12.75">
      <c r="B905" s="283"/>
      <c r="C905" s="5"/>
      <c r="D905" s="5"/>
      <c r="E905" s="5"/>
      <c r="F905" s="5"/>
      <c r="G905" s="5"/>
      <c r="H905" s="5"/>
      <c r="I905" s="3"/>
      <c r="J905" s="6"/>
      <c r="K905" s="69"/>
      <c r="L905" s="69"/>
      <c r="M905" s="69"/>
      <c r="N905" s="69"/>
      <c r="O905" s="69"/>
      <c r="P905" s="69"/>
      <c r="Q905" s="69"/>
      <c r="R905" s="69"/>
      <c r="S905" s="69"/>
      <c r="T905" s="69"/>
      <c r="U905" s="69"/>
      <c r="V905" s="69"/>
      <c r="W905" s="69"/>
      <c r="X905" s="69"/>
      <c r="Y905" s="69"/>
      <c r="Z905" s="69"/>
      <c r="AA905" s="69"/>
      <c r="AB905" s="69"/>
      <c r="AC905" s="69"/>
      <c r="AD905" s="69"/>
      <c r="AE905" s="69"/>
      <c r="AF905" s="69"/>
      <c r="AG905" s="69"/>
    </row>
    <row r="906" spans="2:33" ht="12.75">
      <c r="B906" s="283"/>
      <c r="C906" s="5"/>
      <c r="D906" s="5"/>
      <c r="E906" s="5"/>
      <c r="F906" s="5"/>
      <c r="G906" s="5"/>
      <c r="H906" s="5"/>
      <c r="I906" s="3"/>
      <c r="J906" s="6"/>
      <c r="K906" s="69"/>
      <c r="L906" s="69"/>
      <c r="M906" s="69"/>
      <c r="N906" s="69"/>
      <c r="O906" s="69"/>
      <c r="P906" s="69"/>
      <c r="Q906" s="69"/>
      <c r="R906" s="69"/>
      <c r="S906" s="69"/>
      <c r="T906" s="69"/>
      <c r="U906" s="69"/>
      <c r="V906" s="69"/>
      <c r="W906" s="69"/>
      <c r="X906" s="69"/>
      <c r="Y906" s="69"/>
      <c r="Z906" s="69"/>
      <c r="AA906" s="69"/>
      <c r="AB906" s="69"/>
      <c r="AC906" s="69"/>
      <c r="AD906" s="69"/>
      <c r="AE906" s="69"/>
      <c r="AF906" s="69"/>
      <c r="AG906" s="69"/>
    </row>
    <row r="907" spans="2:33" ht="12.75">
      <c r="B907" s="283"/>
      <c r="C907" s="5"/>
      <c r="D907" s="5"/>
      <c r="E907" s="5"/>
      <c r="F907" s="5"/>
      <c r="G907" s="5"/>
      <c r="H907" s="5"/>
      <c r="I907" s="3"/>
      <c r="J907" s="6"/>
      <c r="K907" s="69"/>
      <c r="L907" s="69"/>
      <c r="M907" s="69"/>
      <c r="N907" s="69"/>
      <c r="O907" s="69"/>
      <c r="P907" s="69"/>
      <c r="Q907" s="69"/>
      <c r="R907" s="69"/>
      <c r="S907" s="69"/>
      <c r="T907" s="69"/>
      <c r="U907" s="69"/>
      <c r="V907" s="69"/>
      <c r="W907" s="69"/>
      <c r="X907" s="69"/>
      <c r="Y907" s="69"/>
      <c r="Z907" s="69"/>
      <c r="AA907" s="69"/>
      <c r="AB907" s="69"/>
      <c r="AC907" s="69"/>
      <c r="AD907" s="69"/>
      <c r="AE907" s="69"/>
      <c r="AF907" s="69"/>
      <c r="AG907" s="69"/>
    </row>
    <row r="908" spans="2:33" ht="12.75">
      <c r="B908" s="283"/>
      <c r="C908" s="5"/>
      <c r="D908" s="5"/>
      <c r="E908" s="5"/>
      <c r="F908" s="5"/>
      <c r="G908" s="5"/>
      <c r="H908" s="5"/>
      <c r="I908" s="3"/>
      <c r="J908" s="6"/>
      <c r="K908" s="69"/>
      <c r="L908" s="69"/>
      <c r="M908" s="69"/>
      <c r="N908" s="69"/>
      <c r="O908" s="69"/>
      <c r="P908" s="69"/>
      <c r="Q908" s="69"/>
      <c r="R908" s="69"/>
      <c r="S908" s="69"/>
      <c r="T908" s="69"/>
      <c r="U908" s="69"/>
      <c r="V908" s="69"/>
      <c r="W908" s="69"/>
      <c r="X908" s="69"/>
      <c r="Y908" s="69"/>
      <c r="Z908" s="69"/>
      <c r="AA908" s="69"/>
      <c r="AB908" s="69"/>
      <c r="AC908" s="69"/>
      <c r="AD908" s="69"/>
      <c r="AE908" s="69"/>
      <c r="AF908" s="69"/>
      <c r="AG908" s="69"/>
    </row>
    <row r="909" spans="2:33" ht="12.75">
      <c r="B909" s="283"/>
      <c r="C909" s="5"/>
      <c r="D909" s="5"/>
      <c r="E909" s="5"/>
      <c r="F909" s="5"/>
      <c r="G909" s="5"/>
      <c r="H909" s="5"/>
      <c r="I909" s="3"/>
      <c r="J909" s="6"/>
      <c r="K909" s="69"/>
      <c r="L909" s="69"/>
      <c r="M909" s="69"/>
      <c r="N909" s="69"/>
      <c r="O909" s="69"/>
      <c r="P909" s="69"/>
      <c r="Q909" s="69"/>
      <c r="R909" s="69"/>
      <c r="S909" s="69"/>
      <c r="T909" s="69"/>
      <c r="U909" s="69"/>
      <c r="V909" s="69"/>
      <c r="W909" s="69"/>
      <c r="X909" s="69"/>
      <c r="Y909" s="69"/>
      <c r="Z909" s="69"/>
      <c r="AA909" s="69"/>
      <c r="AB909" s="69"/>
      <c r="AC909" s="69"/>
      <c r="AD909" s="69"/>
      <c r="AE909" s="69"/>
      <c r="AF909" s="69"/>
      <c r="AG909" s="69"/>
    </row>
    <row r="910" spans="2:33" ht="12.75">
      <c r="B910" s="283"/>
      <c r="C910" s="5"/>
      <c r="D910" s="5"/>
      <c r="E910" s="5"/>
      <c r="F910" s="5"/>
      <c r="G910" s="5"/>
      <c r="H910" s="5"/>
      <c r="I910" s="3"/>
      <c r="J910" s="6"/>
      <c r="K910" s="69"/>
      <c r="L910" s="69"/>
      <c r="M910" s="69"/>
      <c r="N910" s="69"/>
      <c r="O910" s="69"/>
      <c r="P910" s="69"/>
      <c r="Q910" s="69"/>
      <c r="R910" s="69"/>
      <c r="S910" s="69"/>
      <c r="T910" s="69"/>
      <c r="U910" s="69"/>
      <c r="V910" s="69"/>
      <c r="W910" s="69"/>
      <c r="X910" s="69"/>
      <c r="Y910" s="69"/>
      <c r="Z910" s="69"/>
      <c r="AA910" s="69"/>
      <c r="AB910" s="69"/>
      <c r="AC910" s="69"/>
      <c r="AD910" s="69"/>
      <c r="AE910" s="69"/>
      <c r="AF910" s="69"/>
      <c r="AG910" s="69"/>
    </row>
    <row r="911" spans="2:33" ht="12.75">
      <c r="B911" s="283"/>
      <c r="C911" s="5"/>
      <c r="D911" s="5"/>
      <c r="E911" s="5"/>
      <c r="F911" s="5"/>
      <c r="G911" s="5"/>
      <c r="H911" s="5"/>
      <c r="I911" s="3"/>
      <c r="J911" s="6"/>
      <c r="K911" s="69"/>
      <c r="L911" s="69"/>
      <c r="M911" s="69"/>
      <c r="N911" s="69"/>
      <c r="O911" s="69"/>
      <c r="P911" s="69"/>
      <c r="Q911" s="69"/>
      <c r="R911" s="69"/>
      <c r="S911" s="69"/>
      <c r="T911" s="69"/>
      <c r="U911" s="69"/>
      <c r="V911" s="69"/>
      <c r="W911" s="69"/>
      <c r="X911" s="69"/>
      <c r="Y911" s="69"/>
      <c r="Z911" s="69"/>
      <c r="AA911" s="69"/>
      <c r="AB911" s="69"/>
      <c r="AC911" s="69"/>
      <c r="AD911" s="69"/>
      <c r="AE911" s="69"/>
      <c r="AF911" s="69"/>
      <c r="AG911" s="69"/>
    </row>
    <row r="912" spans="2:33" ht="12.75">
      <c r="B912" s="283"/>
      <c r="C912" s="5"/>
      <c r="D912" s="5"/>
      <c r="E912" s="5"/>
      <c r="F912" s="5"/>
      <c r="G912" s="5"/>
      <c r="H912" s="5"/>
      <c r="I912" s="3"/>
      <c r="J912" s="6"/>
      <c r="K912" s="69"/>
      <c r="L912" s="69"/>
      <c r="M912" s="69"/>
      <c r="N912" s="69"/>
      <c r="O912" s="69"/>
      <c r="P912" s="69"/>
      <c r="Q912" s="69"/>
      <c r="R912" s="69"/>
      <c r="S912" s="69"/>
      <c r="T912" s="69"/>
      <c r="U912" s="69"/>
      <c r="V912" s="69"/>
      <c r="W912" s="69"/>
      <c r="X912" s="69"/>
      <c r="Y912" s="69"/>
      <c r="Z912" s="69"/>
      <c r="AA912" s="69"/>
      <c r="AB912" s="69"/>
      <c r="AC912" s="69"/>
      <c r="AD912" s="69"/>
      <c r="AE912" s="69"/>
      <c r="AF912" s="69"/>
      <c r="AG912" s="69"/>
    </row>
    <row r="913" spans="2:33" ht="12.75">
      <c r="B913" s="283"/>
      <c r="C913" s="5"/>
      <c r="D913" s="5"/>
      <c r="E913" s="5"/>
      <c r="F913" s="5"/>
      <c r="G913" s="5"/>
      <c r="H913" s="5"/>
      <c r="I913" s="3"/>
      <c r="J913" s="6"/>
      <c r="K913" s="69"/>
      <c r="L913" s="69"/>
      <c r="M913" s="69"/>
      <c r="N913" s="69"/>
      <c r="O913" s="69"/>
      <c r="P913" s="69"/>
      <c r="Q913" s="69"/>
      <c r="R913" s="69"/>
      <c r="S913" s="69"/>
      <c r="T913" s="69"/>
      <c r="U913" s="69"/>
      <c r="V913" s="69"/>
      <c r="W913" s="69"/>
      <c r="X913" s="69"/>
      <c r="Y913" s="69"/>
      <c r="Z913" s="69"/>
      <c r="AA913" s="69"/>
      <c r="AB913" s="69"/>
      <c r="AC913" s="69"/>
      <c r="AD913" s="69"/>
      <c r="AE913" s="69"/>
      <c r="AF913" s="69"/>
      <c r="AG913" s="69"/>
    </row>
    <row r="914" spans="2:33" ht="12.75">
      <c r="B914" s="283"/>
      <c r="C914" s="5"/>
      <c r="D914" s="5"/>
      <c r="E914" s="5"/>
      <c r="F914" s="5"/>
      <c r="G914" s="5"/>
      <c r="H914" s="5"/>
      <c r="I914" s="3"/>
      <c r="J914" s="6"/>
      <c r="K914" s="69"/>
      <c r="L914" s="69"/>
      <c r="M914" s="69"/>
      <c r="N914" s="69"/>
      <c r="O914" s="69"/>
      <c r="P914" s="69"/>
      <c r="Q914" s="69"/>
      <c r="R914" s="69"/>
      <c r="S914" s="69"/>
      <c r="T914" s="69"/>
      <c r="U914" s="69"/>
      <c r="V914" s="69"/>
      <c r="W914" s="69"/>
      <c r="X914" s="69"/>
      <c r="Y914" s="69"/>
      <c r="Z914" s="69"/>
      <c r="AA914" s="69"/>
      <c r="AB914" s="69"/>
      <c r="AC914" s="69"/>
      <c r="AD914" s="69"/>
      <c r="AE914" s="69"/>
      <c r="AF914" s="69"/>
      <c r="AG914" s="69"/>
    </row>
    <row r="915" spans="2:33" ht="12.75">
      <c r="B915" s="283"/>
      <c r="C915" s="5"/>
      <c r="D915" s="5"/>
      <c r="E915" s="5"/>
      <c r="F915" s="5"/>
      <c r="G915" s="5"/>
      <c r="H915" s="5"/>
      <c r="I915" s="3"/>
      <c r="J915" s="6"/>
      <c r="K915" s="69"/>
      <c r="L915" s="69"/>
      <c r="M915" s="69"/>
      <c r="N915" s="69"/>
      <c r="O915" s="69"/>
      <c r="P915" s="69"/>
      <c r="Q915" s="69"/>
      <c r="R915" s="69"/>
      <c r="S915" s="69"/>
      <c r="T915" s="69"/>
      <c r="U915" s="69"/>
      <c r="V915" s="69"/>
      <c r="W915" s="69"/>
      <c r="X915" s="69"/>
      <c r="Y915" s="69"/>
      <c r="Z915" s="69"/>
      <c r="AA915" s="69"/>
      <c r="AB915" s="69"/>
      <c r="AC915" s="69"/>
      <c r="AD915" s="69"/>
      <c r="AE915" s="69"/>
      <c r="AF915" s="69"/>
      <c r="AG915" s="69"/>
    </row>
    <row r="916" spans="2:33" ht="12.75">
      <c r="B916" s="283"/>
      <c r="C916" s="5"/>
      <c r="D916" s="5"/>
      <c r="E916" s="5"/>
      <c r="F916" s="5"/>
      <c r="G916" s="5"/>
      <c r="H916" s="5"/>
      <c r="I916" s="3"/>
      <c r="J916" s="6"/>
      <c r="K916" s="69"/>
      <c r="L916" s="69"/>
      <c r="M916" s="69"/>
      <c r="N916" s="69"/>
      <c r="O916" s="69"/>
      <c r="P916" s="69"/>
      <c r="Q916" s="69"/>
      <c r="R916" s="69"/>
      <c r="S916" s="69"/>
      <c r="T916" s="69"/>
      <c r="U916" s="69"/>
      <c r="V916" s="69"/>
      <c r="W916" s="69"/>
      <c r="X916" s="69"/>
      <c r="Y916" s="69"/>
      <c r="Z916" s="69"/>
      <c r="AA916" s="69"/>
      <c r="AB916" s="69"/>
      <c r="AC916" s="69"/>
      <c r="AD916" s="69"/>
      <c r="AE916" s="69"/>
      <c r="AF916" s="69"/>
      <c r="AG916" s="69"/>
    </row>
    <row r="917" spans="2:33" ht="12.75">
      <c r="B917" s="283"/>
      <c r="C917" s="5"/>
      <c r="D917" s="5"/>
      <c r="E917" s="5"/>
      <c r="F917" s="5"/>
      <c r="G917" s="5"/>
      <c r="H917" s="5"/>
      <c r="I917" s="3"/>
      <c r="J917" s="6"/>
      <c r="K917" s="69"/>
      <c r="L917" s="69"/>
      <c r="M917" s="69"/>
      <c r="N917" s="69"/>
      <c r="O917" s="69"/>
      <c r="P917" s="69"/>
      <c r="Q917" s="69"/>
      <c r="R917" s="69"/>
      <c r="S917" s="69"/>
      <c r="T917" s="69"/>
      <c r="U917" s="69"/>
      <c r="V917" s="69"/>
      <c r="W917" s="69"/>
      <c r="X917" s="69"/>
      <c r="Y917" s="69"/>
      <c r="Z917" s="69"/>
      <c r="AA917" s="69"/>
      <c r="AB917" s="69"/>
      <c r="AC917" s="69"/>
      <c r="AD917" s="69"/>
      <c r="AE917" s="69"/>
      <c r="AF917" s="69"/>
      <c r="AG917" s="69"/>
    </row>
    <row r="918" spans="2:33" ht="12.75">
      <c r="B918" s="283"/>
      <c r="C918" s="5"/>
      <c r="D918" s="5"/>
      <c r="E918" s="5"/>
      <c r="F918" s="5"/>
      <c r="G918" s="5"/>
      <c r="H918" s="5"/>
      <c r="I918" s="3"/>
      <c r="J918" s="6"/>
      <c r="K918" s="69"/>
      <c r="L918" s="69"/>
      <c r="M918" s="69"/>
      <c r="N918" s="69"/>
      <c r="O918" s="69"/>
      <c r="P918" s="69"/>
      <c r="Q918" s="69"/>
      <c r="R918" s="69"/>
      <c r="S918" s="69"/>
      <c r="T918" s="69"/>
      <c r="U918" s="69"/>
      <c r="V918" s="69"/>
      <c r="W918" s="69"/>
      <c r="X918" s="69"/>
      <c r="Y918" s="69"/>
      <c r="Z918" s="69"/>
      <c r="AA918" s="69"/>
      <c r="AB918" s="69"/>
      <c r="AC918" s="69"/>
      <c r="AD918" s="69"/>
      <c r="AE918" s="69"/>
      <c r="AF918" s="69"/>
      <c r="AG918" s="69"/>
    </row>
    <row r="919" spans="2:33" ht="12.75">
      <c r="B919" s="283"/>
      <c r="C919" s="5"/>
      <c r="D919" s="5"/>
      <c r="E919" s="5"/>
      <c r="F919" s="5"/>
      <c r="G919" s="5"/>
      <c r="H919" s="5"/>
      <c r="I919" s="3"/>
      <c r="J919" s="6"/>
      <c r="K919" s="69"/>
      <c r="L919" s="69"/>
      <c r="M919" s="69"/>
      <c r="N919" s="69"/>
      <c r="O919" s="69"/>
      <c r="P919" s="69"/>
      <c r="Q919" s="69"/>
      <c r="R919" s="69"/>
      <c r="S919" s="69"/>
      <c r="T919" s="69"/>
      <c r="U919" s="69"/>
      <c r="V919" s="69"/>
      <c r="W919" s="69"/>
      <c r="X919" s="69"/>
      <c r="Y919" s="69"/>
      <c r="Z919" s="69"/>
      <c r="AA919" s="69"/>
      <c r="AB919" s="69"/>
      <c r="AC919" s="69"/>
      <c r="AD919" s="69"/>
      <c r="AE919" s="69"/>
      <c r="AF919" s="69"/>
      <c r="AG919" s="69"/>
    </row>
    <row r="920" spans="2:33" ht="12.75">
      <c r="B920" s="283"/>
      <c r="C920" s="5"/>
      <c r="D920" s="5"/>
      <c r="E920" s="5"/>
      <c r="F920" s="5"/>
      <c r="G920" s="5"/>
      <c r="H920" s="5"/>
      <c r="I920" s="3"/>
      <c r="J920" s="6"/>
      <c r="K920" s="69"/>
      <c r="L920" s="69"/>
      <c r="M920" s="69"/>
      <c r="N920" s="69"/>
      <c r="O920" s="69"/>
      <c r="P920" s="69"/>
      <c r="Q920" s="69"/>
      <c r="R920" s="69"/>
      <c r="S920" s="69"/>
      <c r="T920" s="69"/>
      <c r="U920" s="69"/>
      <c r="V920" s="69"/>
      <c r="W920" s="69"/>
      <c r="X920" s="69"/>
      <c r="Y920" s="69"/>
      <c r="Z920" s="69"/>
      <c r="AA920" s="69"/>
      <c r="AB920" s="69"/>
      <c r="AC920" s="69"/>
      <c r="AD920" s="69"/>
      <c r="AE920" s="69"/>
      <c r="AF920" s="69"/>
      <c r="AG920" s="69"/>
    </row>
    <row r="921" spans="2:33" ht="12.75">
      <c r="B921" s="283"/>
      <c r="C921" s="5"/>
      <c r="D921" s="5"/>
      <c r="E921" s="5"/>
      <c r="F921" s="5"/>
      <c r="G921" s="5"/>
      <c r="H921" s="5"/>
      <c r="I921" s="3"/>
      <c r="J921" s="6"/>
      <c r="K921" s="69"/>
      <c r="L921" s="69"/>
      <c r="M921" s="69"/>
      <c r="N921" s="69"/>
      <c r="O921" s="69"/>
      <c r="P921" s="69"/>
      <c r="Q921" s="69"/>
      <c r="R921" s="69"/>
      <c r="S921" s="69"/>
      <c r="T921" s="69"/>
      <c r="U921" s="69"/>
      <c r="V921" s="69"/>
      <c r="W921" s="69"/>
      <c r="X921" s="69"/>
      <c r="Y921" s="69"/>
      <c r="Z921" s="69"/>
      <c r="AA921" s="69"/>
      <c r="AB921" s="69"/>
      <c r="AC921" s="69"/>
      <c r="AD921" s="69"/>
      <c r="AE921" s="69"/>
      <c r="AF921" s="69"/>
      <c r="AG921" s="69"/>
    </row>
    <row r="922" spans="2:33" ht="12.75">
      <c r="B922" s="283"/>
      <c r="C922" s="5"/>
      <c r="D922" s="5"/>
      <c r="E922" s="5"/>
      <c r="F922" s="5"/>
      <c r="G922" s="5"/>
      <c r="H922" s="5"/>
      <c r="I922" s="3"/>
      <c r="J922" s="6"/>
      <c r="K922" s="69"/>
      <c r="L922" s="69"/>
      <c r="M922" s="69"/>
      <c r="N922" s="69"/>
      <c r="O922" s="69"/>
      <c r="P922" s="69"/>
      <c r="Q922" s="69"/>
      <c r="R922" s="69"/>
      <c r="S922" s="69"/>
      <c r="T922" s="69"/>
      <c r="U922" s="69"/>
      <c r="V922" s="69"/>
      <c r="W922" s="69"/>
      <c r="X922" s="69"/>
      <c r="Y922" s="69"/>
      <c r="Z922" s="69"/>
      <c r="AA922" s="69"/>
      <c r="AB922" s="69"/>
      <c r="AC922" s="69"/>
      <c r="AD922" s="69"/>
      <c r="AE922" s="69"/>
      <c r="AF922" s="69"/>
      <c r="AG922" s="69"/>
    </row>
    <row r="923" spans="2:33" ht="12.75">
      <c r="B923" s="283"/>
      <c r="C923" s="5"/>
      <c r="D923" s="5"/>
      <c r="E923" s="5"/>
      <c r="F923" s="5"/>
      <c r="G923" s="5"/>
      <c r="H923" s="5"/>
      <c r="I923" s="3"/>
      <c r="J923" s="6"/>
      <c r="K923" s="69"/>
      <c r="L923" s="69"/>
      <c r="M923" s="69"/>
      <c r="N923" s="69"/>
      <c r="O923" s="69"/>
      <c r="P923" s="69"/>
      <c r="Q923" s="69"/>
      <c r="R923" s="69"/>
      <c r="S923" s="69"/>
      <c r="T923" s="69"/>
      <c r="U923" s="69"/>
      <c r="V923" s="69"/>
      <c r="W923" s="69"/>
      <c r="X923" s="69"/>
      <c r="Y923" s="69"/>
      <c r="Z923" s="69"/>
      <c r="AA923" s="69"/>
      <c r="AB923" s="69"/>
      <c r="AC923" s="69"/>
      <c r="AD923" s="69"/>
      <c r="AE923" s="69"/>
      <c r="AF923" s="69"/>
      <c r="AG923" s="69"/>
    </row>
    <row r="924" spans="2:33" ht="12.75">
      <c r="B924" s="283"/>
      <c r="C924" s="5"/>
      <c r="D924" s="5"/>
      <c r="E924" s="5"/>
      <c r="F924" s="5"/>
      <c r="G924" s="5"/>
      <c r="H924" s="5"/>
      <c r="I924" s="3"/>
      <c r="J924" s="6"/>
      <c r="K924" s="69"/>
      <c r="L924" s="69"/>
      <c r="M924" s="69"/>
      <c r="N924" s="69"/>
      <c r="O924" s="69"/>
      <c r="P924" s="69"/>
      <c r="Q924" s="69"/>
      <c r="R924" s="69"/>
      <c r="S924" s="69"/>
      <c r="T924" s="69"/>
      <c r="U924" s="69"/>
      <c r="V924" s="69"/>
      <c r="W924" s="69"/>
      <c r="X924" s="69"/>
      <c r="Y924" s="69"/>
      <c r="Z924" s="69"/>
      <c r="AA924" s="69"/>
      <c r="AB924" s="69"/>
      <c r="AC924" s="69"/>
      <c r="AD924" s="69"/>
      <c r="AE924" s="69"/>
      <c r="AF924" s="69"/>
      <c r="AG924" s="69"/>
    </row>
    <row r="925" spans="2:33" ht="12.75">
      <c r="B925" s="283"/>
      <c r="C925" s="5"/>
      <c r="D925" s="5"/>
      <c r="E925" s="5"/>
      <c r="F925" s="5"/>
      <c r="G925" s="5"/>
      <c r="H925" s="5"/>
      <c r="I925" s="3"/>
      <c r="J925" s="6"/>
      <c r="K925" s="69"/>
      <c r="L925" s="69"/>
      <c r="M925" s="69"/>
      <c r="N925" s="69"/>
      <c r="O925" s="69"/>
      <c r="P925" s="69"/>
      <c r="Q925" s="69"/>
      <c r="R925" s="69"/>
      <c r="S925" s="69"/>
      <c r="T925" s="69"/>
      <c r="U925" s="69"/>
      <c r="V925" s="69"/>
      <c r="W925" s="69"/>
      <c r="X925" s="69"/>
      <c r="Y925" s="69"/>
      <c r="Z925" s="69"/>
      <c r="AA925" s="69"/>
      <c r="AB925" s="69"/>
      <c r="AC925" s="69"/>
      <c r="AD925" s="69"/>
      <c r="AE925" s="69"/>
      <c r="AF925" s="69"/>
      <c r="AG925" s="69"/>
    </row>
    <row r="926" spans="2:33" ht="12.75">
      <c r="B926" s="283"/>
      <c r="C926" s="5"/>
      <c r="D926" s="5"/>
      <c r="E926" s="5"/>
      <c r="F926" s="5"/>
      <c r="G926" s="5"/>
      <c r="H926" s="5"/>
      <c r="I926" s="3"/>
      <c r="J926" s="6"/>
      <c r="K926" s="69"/>
      <c r="L926" s="69"/>
      <c r="M926" s="69"/>
      <c r="N926" s="69"/>
      <c r="O926" s="69"/>
      <c r="P926" s="69"/>
      <c r="Q926" s="69"/>
      <c r="R926" s="69"/>
      <c r="S926" s="69"/>
      <c r="T926" s="69"/>
      <c r="U926" s="69"/>
      <c r="V926" s="69"/>
      <c r="W926" s="69"/>
      <c r="X926" s="69"/>
      <c r="Y926" s="69"/>
      <c r="Z926" s="69"/>
      <c r="AA926" s="69"/>
      <c r="AB926" s="69"/>
      <c r="AC926" s="69"/>
      <c r="AD926" s="69"/>
      <c r="AE926" s="69"/>
      <c r="AF926" s="69"/>
      <c r="AG926" s="69"/>
    </row>
    <row r="927" spans="2:33" ht="12.75">
      <c r="B927" s="283"/>
      <c r="C927" s="5"/>
      <c r="D927" s="5"/>
      <c r="E927" s="5"/>
      <c r="F927" s="5"/>
      <c r="G927" s="5"/>
      <c r="H927" s="5"/>
      <c r="I927" s="3"/>
      <c r="J927" s="6"/>
      <c r="K927" s="69"/>
      <c r="L927" s="69"/>
      <c r="M927" s="69"/>
      <c r="N927" s="69"/>
      <c r="O927" s="69"/>
      <c r="P927" s="69"/>
      <c r="Q927" s="69"/>
      <c r="R927" s="69"/>
      <c r="S927" s="69"/>
      <c r="T927" s="69"/>
      <c r="U927" s="69"/>
      <c r="V927" s="69"/>
      <c r="W927" s="69"/>
      <c r="X927" s="69"/>
      <c r="Y927" s="69"/>
      <c r="Z927" s="69"/>
      <c r="AA927" s="69"/>
      <c r="AB927" s="69"/>
      <c r="AC927" s="69"/>
      <c r="AD927" s="69"/>
      <c r="AE927" s="69"/>
      <c r="AF927" s="69"/>
      <c r="AG927" s="69"/>
    </row>
    <row r="928" spans="2:33" ht="12.75">
      <c r="B928" s="283"/>
      <c r="C928" s="5"/>
      <c r="D928" s="5"/>
      <c r="E928" s="5"/>
      <c r="F928" s="5"/>
      <c r="G928" s="5"/>
      <c r="H928" s="5"/>
      <c r="I928" s="3"/>
      <c r="J928" s="6"/>
      <c r="K928" s="69"/>
      <c r="L928" s="69"/>
      <c r="M928" s="69"/>
      <c r="N928" s="69"/>
      <c r="O928" s="69"/>
      <c r="P928" s="69"/>
      <c r="Q928" s="69"/>
      <c r="R928" s="69"/>
      <c r="S928" s="69"/>
      <c r="T928" s="69"/>
      <c r="U928" s="69"/>
      <c r="V928" s="69"/>
      <c r="W928" s="69"/>
      <c r="X928" s="69"/>
      <c r="Y928" s="69"/>
      <c r="Z928" s="69"/>
      <c r="AA928" s="69"/>
      <c r="AB928" s="69"/>
      <c r="AC928" s="69"/>
      <c r="AD928" s="69"/>
      <c r="AE928" s="69"/>
      <c r="AF928" s="69"/>
      <c r="AG928" s="69"/>
    </row>
    <row r="929" spans="2:33" ht="12.75">
      <c r="B929" s="283"/>
      <c r="C929" s="5"/>
      <c r="D929" s="5"/>
      <c r="E929" s="5"/>
      <c r="F929" s="5"/>
      <c r="G929" s="5"/>
      <c r="H929" s="5"/>
      <c r="I929" s="3"/>
      <c r="J929" s="6"/>
      <c r="K929" s="69"/>
      <c r="L929" s="69"/>
      <c r="M929" s="69"/>
      <c r="N929" s="69"/>
      <c r="O929" s="69"/>
      <c r="P929" s="69"/>
      <c r="Q929" s="69"/>
      <c r="R929" s="69"/>
      <c r="S929" s="69"/>
      <c r="T929" s="69"/>
      <c r="U929" s="69"/>
      <c r="V929" s="69"/>
      <c r="W929" s="69"/>
      <c r="X929" s="69"/>
      <c r="Y929" s="69"/>
      <c r="Z929" s="69"/>
      <c r="AA929" s="69"/>
      <c r="AB929" s="69"/>
      <c r="AC929" s="69"/>
      <c r="AD929" s="69"/>
      <c r="AE929" s="69"/>
      <c r="AF929" s="69"/>
      <c r="AG929" s="69"/>
    </row>
    <row r="930" spans="2:33" ht="12.75">
      <c r="B930" s="283"/>
      <c r="C930" s="5"/>
      <c r="D930" s="5"/>
      <c r="E930" s="5"/>
      <c r="F930" s="5"/>
      <c r="G930" s="5"/>
      <c r="H930" s="5"/>
      <c r="I930" s="3"/>
      <c r="J930" s="6"/>
      <c r="K930" s="69"/>
      <c r="L930" s="69"/>
      <c r="M930" s="69"/>
      <c r="N930" s="69"/>
      <c r="O930" s="69"/>
      <c r="P930" s="69"/>
      <c r="Q930" s="69"/>
      <c r="R930" s="69"/>
      <c r="S930" s="69"/>
      <c r="T930" s="69"/>
      <c r="U930" s="69"/>
      <c r="V930" s="69"/>
      <c r="W930" s="69"/>
      <c r="X930" s="69"/>
      <c r="Y930" s="69"/>
      <c r="Z930" s="69"/>
      <c r="AA930" s="69"/>
      <c r="AB930" s="69"/>
      <c r="AC930" s="69"/>
      <c r="AD930" s="69"/>
      <c r="AE930" s="69"/>
      <c r="AF930" s="69"/>
      <c r="AG930" s="69"/>
    </row>
    <row r="931" spans="2:33" ht="12.75">
      <c r="B931" s="283"/>
      <c r="C931" s="5"/>
      <c r="D931" s="5"/>
      <c r="E931" s="5"/>
      <c r="F931" s="5"/>
      <c r="G931" s="5"/>
      <c r="H931" s="5"/>
      <c r="I931" s="3"/>
      <c r="J931" s="6"/>
      <c r="K931" s="69"/>
      <c r="L931" s="69"/>
      <c r="M931" s="69"/>
      <c r="N931" s="69"/>
      <c r="O931" s="69"/>
      <c r="P931" s="69"/>
      <c r="Q931" s="69"/>
      <c r="R931" s="69"/>
      <c r="S931" s="69"/>
      <c r="T931" s="69"/>
      <c r="U931" s="69"/>
      <c r="V931" s="69"/>
      <c r="W931" s="69"/>
      <c r="X931" s="69"/>
      <c r="Y931" s="69"/>
      <c r="Z931" s="69"/>
      <c r="AA931" s="69"/>
      <c r="AB931" s="69"/>
      <c r="AC931" s="69"/>
      <c r="AD931" s="69"/>
      <c r="AE931" s="69"/>
      <c r="AF931" s="69"/>
      <c r="AG931" s="69"/>
    </row>
    <row r="932" spans="2:33" ht="12.75">
      <c r="B932" s="283"/>
      <c r="C932" s="5"/>
      <c r="D932" s="5"/>
      <c r="E932" s="5"/>
      <c r="F932" s="5"/>
      <c r="G932" s="5"/>
      <c r="H932" s="5"/>
      <c r="I932" s="3"/>
      <c r="J932" s="6"/>
      <c r="K932" s="69"/>
      <c r="L932" s="69"/>
      <c r="M932" s="69"/>
      <c r="N932" s="69"/>
      <c r="O932" s="69"/>
      <c r="P932" s="69"/>
      <c r="Q932" s="69"/>
      <c r="R932" s="69"/>
      <c r="S932" s="69"/>
      <c r="T932" s="69"/>
      <c r="U932" s="69"/>
      <c r="V932" s="69"/>
      <c r="W932" s="69"/>
      <c r="X932" s="69"/>
      <c r="Y932" s="69"/>
      <c r="Z932" s="69"/>
      <c r="AA932" s="69"/>
      <c r="AB932" s="69"/>
      <c r="AC932" s="69"/>
      <c r="AD932" s="69"/>
      <c r="AE932" s="69"/>
      <c r="AF932" s="69"/>
      <c r="AG932" s="69"/>
    </row>
    <row r="933" spans="2:33" ht="12.75">
      <c r="B933" s="283"/>
      <c r="C933" s="5"/>
      <c r="D933" s="5"/>
      <c r="E933" s="5"/>
      <c r="F933" s="5"/>
      <c r="G933" s="5"/>
      <c r="H933" s="5"/>
      <c r="I933" s="3"/>
      <c r="J933" s="6"/>
      <c r="K933" s="69"/>
      <c r="L933" s="69"/>
      <c r="M933" s="69"/>
      <c r="N933" s="69"/>
      <c r="O933" s="69"/>
      <c r="P933" s="69"/>
      <c r="Q933" s="69"/>
      <c r="R933" s="69"/>
      <c r="S933" s="69"/>
      <c r="T933" s="69"/>
      <c r="U933" s="69"/>
      <c r="V933" s="69"/>
      <c r="W933" s="69"/>
      <c r="X933" s="69"/>
      <c r="Y933" s="69"/>
      <c r="Z933" s="69"/>
      <c r="AA933" s="69"/>
      <c r="AB933" s="69"/>
      <c r="AC933" s="69"/>
      <c r="AD933" s="69"/>
      <c r="AE933" s="69"/>
      <c r="AF933" s="69"/>
      <c r="AG933" s="69"/>
    </row>
    <row r="934" spans="2:33" ht="12.75">
      <c r="B934" s="283"/>
      <c r="C934" s="5"/>
      <c r="D934" s="5"/>
      <c r="E934" s="5"/>
      <c r="F934" s="5"/>
      <c r="G934" s="5"/>
      <c r="H934" s="5"/>
      <c r="I934" s="3"/>
      <c r="J934" s="6"/>
      <c r="K934" s="69"/>
      <c r="L934" s="69"/>
      <c r="M934" s="69"/>
      <c r="N934" s="69"/>
      <c r="O934" s="69"/>
      <c r="P934" s="69"/>
      <c r="Q934" s="69"/>
      <c r="R934" s="69"/>
      <c r="S934" s="69"/>
      <c r="T934" s="69"/>
      <c r="U934" s="69"/>
      <c r="V934" s="69"/>
      <c r="W934" s="69"/>
      <c r="X934" s="69"/>
      <c r="Y934" s="69"/>
      <c r="Z934" s="69"/>
      <c r="AA934" s="69"/>
      <c r="AB934" s="69"/>
      <c r="AC934" s="69"/>
      <c r="AD934" s="69"/>
      <c r="AE934" s="69"/>
      <c r="AF934" s="69"/>
      <c r="AG934" s="69"/>
    </row>
    <row r="935" spans="2:33" ht="12.75">
      <c r="B935" s="283"/>
      <c r="C935" s="5"/>
      <c r="D935" s="5"/>
      <c r="E935" s="5"/>
      <c r="F935" s="5"/>
      <c r="G935" s="5"/>
      <c r="H935" s="5"/>
      <c r="I935" s="3"/>
      <c r="J935" s="6"/>
      <c r="K935" s="69"/>
      <c r="L935" s="69"/>
      <c r="M935" s="69"/>
      <c r="N935" s="69"/>
      <c r="O935" s="69"/>
      <c r="P935" s="69"/>
      <c r="Q935" s="69"/>
      <c r="R935" s="69"/>
      <c r="S935" s="69"/>
      <c r="T935" s="69"/>
      <c r="U935" s="69"/>
      <c r="V935" s="69"/>
      <c r="W935" s="69"/>
      <c r="X935" s="69"/>
      <c r="Y935" s="69"/>
      <c r="Z935" s="69"/>
      <c r="AA935" s="69"/>
      <c r="AB935" s="69"/>
      <c r="AC935" s="69"/>
      <c r="AD935" s="69"/>
      <c r="AE935" s="69"/>
      <c r="AF935" s="69"/>
      <c r="AG935" s="69"/>
    </row>
    <row r="936" spans="2:33" ht="12.75">
      <c r="B936" s="283"/>
      <c r="C936" s="5"/>
      <c r="D936" s="5"/>
      <c r="E936" s="5"/>
      <c r="F936" s="5"/>
      <c r="G936" s="5"/>
      <c r="H936" s="5"/>
      <c r="I936" s="3"/>
      <c r="J936" s="6"/>
      <c r="K936" s="69"/>
      <c r="L936" s="69"/>
      <c r="M936" s="69"/>
      <c r="N936" s="69"/>
      <c r="O936" s="69"/>
      <c r="P936" s="69"/>
      <c r="Q936" s="69"/>
      <c r="R936" s="69"/>
      <c r="S936" s="69"/>
      <c r="T936" s="69"/>
      <c r="U936" s="69"/>
      <c r="V936" s="69"/>
      <c r="W936" s="69"/>
      <c r="X936" s="69"/>
      <c r="Y936" s="69"/>
      <c r="Z936" s="69"/>
      <c r="AA936" s="69"/>
      <c r="AB936" s="69"/>
      <c r="AC936" s="69"/>
      <c r="AD936" s="69"/>
      <c r="AE936" s="69"/>
      <c r="AF936" s="69"/>
      <c r="AG936" s="69"/>
    </row>
    <row r="937" spans="2:33" ht="12.75">
      <c r="B937" s="283"/>
      <c r="C937" s="5"/>
      <c r="D937" s="5"/>
      <c r="E937" s="5"/>
      <c r="F937" s="5"/>
      <c r="G937" s="5"/>
      <c r="H937" s="5"/>
      <c r="I937" s="3"/>
      <c r="J937" s="6"/>
      <c r="K937" s="69"/>
      <c r="L937" s="69"/>
      <c r="M937" s="69"/>
      <c r="N937" s="69"/>
      <c r="O937" s="69"/>
      <c r="P937" s="69"/>
      <c r="Q937" s="69"/>
      <c r="R937" s="69"/>
      <c r="S937" s="69"/>
      <c r="T937" s="69"/>
      <c r="U937" s="69"/>
      <c r="V937" s="69"/>
      <c r="W937" s="69"/>
      <c r="X937" s="69"/>
      <c r="Y937" s="69"/>
      <c r="Z937" s="69"/>
      <c r="AA937" s="69"/>
      <c r="AB937" s="69"/>
      <c r="AC937" s="69"/>
      <c r="AD937" s="69"/>
      <c r="AE937" s="69"/>
      <c r="AF937" s="69"/>
      <c r="AG937" s="69"/>
    </row>
    <row r="938" spans="2:33" ht="12.75">
      <c r="B938" s="283"/>
      <c r="C938" s="5"/>
      <c r="D938" s="5"/>
      <c r="E938" s="5"/>
      <c r="F938" s="5"/>
      <c r="G938" s="5"/>
      <c r="H938" s="5"/>
      <c r="I938" s="3"/>
      <c r="J938" s="6"/>
      <c r="K938" s="69"/>
      <c r="L938" s="69"/>
      <c r="M938" s="69"/>
      <c r="N938" s="69"/>
      <c r="O938" s="69"/>
      <c r="P938" s="69"/>
      <c r="Q938" s="69"/>
      <c r="R938" s="69"/>
      <c r="S938" s="69"/>
      <c r="T938" s="69"/>
      <c r="U938" s="69"/>
      <c r="V938" s="69"/>
      <c r="W938" s="69"/>
      <c r="X938" s="69"/>
      <c r="Y938" s="69"/>
      <c r="Z938" s="69"/>
      <c r="AA938" s="69"/>
      <c r="AB938" s="69"/>
      <c r="AC938" s="69"/>
      <c r="AD938" s="69"/>
      <c r="AE938" s="69"/>
      <c r="AF938" s="69"/>
      <c r="AG938" s="69"/>
    </row>
    <row r="939" spans="2:33" ht="12.75">
      <c r="B939" s="283"/>
      <c r="C939" s="5"/>
      <c r="D939" s="5"/>
      <c r="E939" s="5"/>
      <c r="F939" s="5"/>
      <c r="G939" s="5"/>
      <c r="H939" s="5"/>
      <c r="I939" s="3"/>
      <c r="J939" s="6"/>
      <c r="K939" s="69"/>
      <c r="L939" s="69"/>
      <c r="M939" s="69"/>
      <c r="N939" s="69"/>
      <c r="O939" s="69"/>
      <c r="P939" s="69"/>
      <c r="Q939" s="69"/>
      <c r="R939" s="69"/>
      <c r="S939" s="69"/>
      <c r="T939" s="69"/>
      <c r="U939" s="69"/>
      <c r="V939" s="69"/>
      <c r="W939" s="69"/>
      <c r="X939" s="69"/>
      <c r="Y939" s="69"/>
      <c r="Z939" s="69"/>
      <c r="AA939" s="69"/>
      <c r="AB939" s="69"/>
      <c r="AC939" s="69"/>
      <c r="AD939" s="69"/>
      <c r="AE939" s="69"/>
      <c r="AF939" s="69"/>
      <c r="AG939" s="69"/>
    </row>
    <row r="940" spans="2:33" ht="12.75">
      <c r="B940" s="283"/>
      <c r="C940" s="5"/>
      <c r="D940" s="5"/>
      <c r="E940" s="5"/>
      <c r="F940" s="5"/>
      <c r="G940" s="5"/>
      <c r="H940" s="5"/>
      <c r="I940" s="3"/>
      <c r="J940" s="6"/>
      <c r="K940" s="69"/>
      <c r="L940" s="69"/>
      <c r="M940" s="69"/>
      <c r="N940" s="69"/>
      <c r="O940" s="69"/>
      <c r="P940" s="69"/>
      <c r="Q940" s="69"/>
      <c r="R940" s="69"/>
      <c r="S940" s="69"/>
      <c r="T940" s="69"/>
      <c r="U940" s="69"/>
      <c r="V940" s="69"/>
      <c r="W940" s="69"/>
      <c r="X940" s="69"/>
      <c r="Y940" s="69"/>
      <c r="Z940" s="69"/>
      <c r="AA940" s="69"/>
      <c r="AB940" s="69"/>
      <c r="AC940" s="69"/>
      <c r="AD940" s="69"/>
      <c r="AE940" s="69"/>
      <c r="AF940" s="69"/>
      <c r="AG940" s="69"/>
    </row>
    <row r="941" spans="2:33" ht="12.75">
      <c r="B941" s="283"/>
      <c r="C941" s="5"/>
      <c r="D941" s="5"/>
      <c r="E941" s="5"/>
      <c r="F941" s="5"/>
      <c r="G941" s="5"/>
      <c r="H941" s="5"/>
      <c r="I941" s="3"/>
      <c r="J941" s="6"/>
      <c r="K941" s="69"/>
      <c r="L941" s="69"/>
      <c r="M941" s="69"/>
      <c r="N941" s="69"/>
      <c r="O941" s="69"/>
      <c r="P941" s="69"/>
      <c r="Q941" s="69"/>
      <c r="R941" s="69"/>
      <c r="S941" s="69"/>
      <c r="T941" s="69"/>
      <c r="U941" s="69"/>
      <c r="V941" s="69"/>
      <c r="W941" s="69"/>
      <c r="X941" s="69"/>
      <c r="Y941" s="69"/>
      <c r="Z941" s="69"/>
      <c r="AA941" s="69"/>
      <c r="AB941" s="69"/>
      <c r="AC941" s="69"/>
      <c r="AD941" s="69"/>
      <c r="AE941" s="69"/>
      <c r="AF941" s="69"/>
      <c r="AG941" s="69"/>
    </row>
    <row r="942" spans="2:33" ht="12.75">
      <c r="B942" s="283"/>
      <c r="C942" s="5"/>
      <c r="D942" s="5"/>
      <c r="E942" s="5"/>
      <c r="F942" s="5"/>
      <c r="G942" s="5"/>
      <c r="H942" s="5"/>
      <c r="I942" s="3"/>
      <c r="J942" s="6"/>
      <c r="K942" s="69"/>
      <c r="L942" s="69"/>
      <c r="M942" s="69"/>
      <c r="N942" s="69"/>
      <c r="O942" s="69"/>
      <c r="P942" s="69"/>
      <c r="Q942" s="69"/>
      <c r="R942" s="69"/>
      <c r="S942" s="69"/>
      <c r="T942" s="69"/>
      <c r="U942" s="69"/>
      <c r="V942" s="69"/>
      <c r="W942" s="69"/>
      <c r="X942" s="69"/>
      <c r="Y942" s="69"/>
      <c r="Z942" s="69"/>
      <c r="AA942" s="69"/>
      <c r="AB942" s="69"/>
      <c r="AC942" s="69"/>
      <c r="AD942" s="69"/>
      <c r="AE942" s="69"/>
      <c r="AF942" s="69"/>
      <c r="AG942" s="69"/>
    </row>
    <row r="943" spans="2:33" ht="12.75">
      <c r="B943" s="283"/>
      <c r="C943" s="5"/>
      <c r="D943" s="5"/>
      <c r="E943" s="5"/>
      <c r="F943" s="5"/>
      <c r="G943" s="5"/>
      <c r="H943" s="5"/>
      <c r="I943" s="3"/>
      <c r="J943" s="6"/>
      <c r="K943" s="69"/>
      <c r="L943" s="69"/>
      <c r="M943" s="69"/>
      <c r="N943" s="69"/>
      <c r="O943" s="69"/>
      <c r="P943" s="69"/>
      <c r="Q943" s="69"/>
      <c r="R943" s="69"/>
      <c r="S943" s="69"/>
      <c r="T943" s="69"/>
      <c r="U943" s="69"/>
      <c r="V943" s="69"/>
      <c r="W943" s="69"/>
      <c r="X943" s="69"/>
      <c r="Y943" s="69"/>
      <c r="Z943" s="69"/>
      <c r="AA943" s="69"/>
      <c r="AB943" s="69"/>
      <c r="AC943" s="69"/>
      <c r="AD943" s="69"/>
      <c r="AE943" s="69"/>
      <c r="AF943" s="69"/>
      <c r="AG943" s="69"/>
    </row>
    <row r="944" spans="2:33" ht="12.75">
      <c r="B944" s="283"/>
      <c r="C944" s="5"/>
      <c r="D944" s="5"/>
      <c r="E944" s="5"/>
      <c r="F944" s="5"/>
      <c r="G944" s="5"/>
      <c r="H944" s="5"/>
      <c r="I944" s="3"/>
      <c r="J944" s="6"/>
      <c r="K944" s="69"/>
      <c r="L944" s="69"/>
      <c r="M944" s="69"/>
      <c r="N944" s="69"/>
      <c r="O944" s="69"/>
      <c r="P944" s="69"/>
      <c r="Q944" s="69"/>
      <c r="R944" s="69"/>
      <c r="S944" s="69"/>
      <c r="T944" s="69"/>
      <c r="U944" s="69"/>
      <c r="V944" s="69"/>
      <c r="W944" s="69"/>
      <c r="X944" s="69"/>
      <c r="Y944" s="69"/>
      <c r="Z944" s="69"/>
      <c r="AA944" s="69"/>
      <c r="AB944" s="69"/>
      <c r="AC944" s="69"/>
      <c r="AD944" s="69"/>
      <c r="AE944" s="69"/>
      <c r="AF944" s="69"/>
      <c r="AG944" s="69"/>
    </row>
    <row r="945" spans="2:33" ht="12.75">
      <c r="B945" s="283"/>
      <c r="C945" s="5"/>
      <c r="D945" s="5"/>
      <c r="E945" s="5"/>
      <c r="F945" s="5"/>
      <c r="G945" s="5"/>
      <c r="H945" s="5"/>
      <c r="I945" s="3"/>
      <c r="J945" s="6"/>
      <c r="K945" s="69"/>
      <c r="L945" s="69"/>
      <c r="M945" s="69"/>
      <c r="N945" s="69"/>
      <c r="O945" s="69"/>
      <c r="P945" s="69"/>
      <c r="Q945" s="69"/>
      <c r="R945" s="69"/>
      <c r="S945" s="69"/>
      <c r="T945" s="69"/>
      <c r="U945" s="69"/>
      <c r="V945" s="69"/>
      <c r="W945" s="69"/>
      <c r="X945" s="69"/>
      <c r="Y945" s="69"/>
      <c r="Z945" s="69"/>
      <c r="AA945" s="69"/>
      <c r="AB945" s="69"/>
      <c r="AC945" s="69"/>
      <c r="AD945" s="69"/>
      <c r="AE945" s="69"/>
      <c r="AF945" s="69"/>
      <c r="AG945" s="69"/>
    </row>
    <row r="946" spans="2:33" ht="12.75">
      <c r="B946" s="283"/>
      <c r="C946" s="5"/>
      <c r="D946" s="5"/>
      <c r="E946" s="5"/>
      <c r="F946" s="5"/>
      <c r="G946" s="5"/>
      <c r="H946" s="5"/>
      <c r="I946" s="3"/>
      <c r="J946" s="6"/>
      <c r="K946" s="69"/>
      <c r="L946" s="69"/>
      <c r="M946" s="69"/>
      <c r="N946" s="69"/>
      <c r="O946" s="69"/>
      <c r="P946" s="69"/>
      <c r="Q946" s="69"/>
      <c r="R946" s="69"/>
      <c r="S946" s="69"/>
      <c r="T946" s="69"/>
      <c r="U946" s="69"/>
      <c r="V946" s="69"/>
      <c r="W946" s="69"/>
      <c r="X946" s="69"/>
      <c r="Y946" s="69"/>
      <c r="Z946" s="69"/>
      <c r="AA946" s="69"/>
      <c r="AB946" s="69"/>
      <c r="AC946" s="69"/>
      <c r="AD946" s="69"/>
      <c r="AE946" s="69"/>
      <c r="AF946" s="69"/>
      <c r="AG946" s="69"/>
    </row>
    <row r="947" spans="2:33" ht="12.75">
      <c r="B947" s="283"/>
      <c r="C947" s="5"/>
      <c r="D947" s="5"/>
      <c r="E947" s="5"/>
      <c r="F947" s="5"/>
      <c r="G947" s="5"/>
      <c r="H947" s="5"/>
      <c r="I947" s="3"/>
      <c r="J947" s="6"/>
      <c r="K947" s="69"/>
      <c r="L947" s="69"/>
      <c r="M947" s="69"/>
      <c r="N947" s="69"/>
      <c r="O947" s="69"/>
      <c r="P947" s="69"/>
      <c r="Q947" s="69"/>
      <c r="R947" s="69"/>
      <c r="S947" s="69"/>
      <c r="T947" s="69"/>
      <c r="U947" s="69"/>
      <c r="V947" s="69"/>
      <c r="W947" s="69"/>
      <c r="X947" s="69"/>
      <c r="Y947" s="69"/>
      <c r="Z947" s="69"/>
      <c r="AA947" s="69"/>
      <c r="AB947" s="69"/>
      <c r="AC947" s="69"/>
      <c r="AD947" s="69"/>
      <c r="AE947" s="69"/>
      <c r="AF947" s="69"/>
      <c r="AG947" s="69"/>
    </row>
    <row r="948" spans="2:33" ht="12.75">
      <c r="B948" s="283"/>
      <c r="C948" s="5"/>
      <c r="D948" s="5"/>
      <c r="E948" s="5"/>
      <c r="F948" s="5"/>
      <c r="G948" s="5"/>
      <c r="H948" s="5"/>
      <c r="I948" s="3"/>
      <c r="J948" s="6"/>
      <c r="K948" s="69"/>
      <c r="L948" s="69"/>
      <c r="M948" s="69"/>
      <c r="N948" s="69"/>
      <c r="O948" s="69"/>
      <c r="P948" s="69"/>
      <c r="Q948" s="69"/>
      <c r="R948" s="69"/>
      <c r="S948" s="69"/>
      <c r="T948" s="69"/>
      <c r="U948" s="69"/>
      <c r="V948" s="69"/>
      <c r="W948" s="69"/>
      <c r="X948" s="69"/>
      <c r="Y948" s="69"/>
      <c r="Z948" s="69"/>
      <c r="AA948" s="69"/>
      <c r="AB948" s="69"/>
      <c r="AC948" s="69"/>
      <c r="AD948" s="69"/>
      <c r="AE948" s="69"/>
      <c r="AF948" s="69"/>
      <c r="AG948" s="69"/>
    </row>
    <row r="949" spans="2:33" ht="12.75">
      <c r="B949" s="283"/>
      <c r="C949" s="5"/>
      <c r="D949" s="5"/>
      <c r="E949" s="5"/>
      <c r="F949" s="5"/>
      <c r="G949" s="5"/>
      <c r="H949" s="5"/>
      <c r="I949" s="3"/>
      <c r="J949" s="6"/>
      <c r="K949" s="69"/>
      <c r="L949" s="69"/>
      <c r="M949" s="69"/>
      <c r="N949" s="69"/>
      <c r="O949" s="69"/>
      <c r="P949" s="69"/>
      <c r="Q949" s="69"/>
      <c r="R949" s="69"/>
      <c r="S949" s="69"/>
      <c r="T949" s="69"/>
      <c r="U949" s="69"/>
      <c r="V949" s="69"/>
      <c r="W949" s="69"/>
      <c r="X949" s="69"/>
      <c r="Y949" s="69"/>
      <c r="Z949" s="69"/>
      <c r="AA949" s="69"/>
      <c r="AB949" s="69"/>
      <c r="AC949" s="69"/>
      <c r="AD949" s="69"/>
      <c r="AE949" s="69"/>
      <c r="AF949" s="69"/>
      <c r="AG949" s="69"/>
    </row>
    <row r="950" spans="2:33" ht="12.75">
      <c r="B950" s="283"/>
      <c r="C950" s="5"/>
      <c r="D950" s="5"/>
      <c r="E950" s="5"/>
      <c r="F950" s="5"/>
      <c r="G950" s="5"/>
      <c r="H950" s="5"/>
      <c r="I950" s="3"/>
      <c r="J950" s="6"/>
      <c r="K950" s="69"/>
      <c r="L950" s="69"/>
      <c r="M950" s="69"/>
      <c r="N950" s="69"/>
      <c r="O950" s="69"/>
      <c r="P950" s="69"/>
      <c r="Q950" s="69"/>
      <c r="R950" s="69"/>
      <c r="S950" s="69"/>
      <c r="T950" s="69"/>
      <c r="U950" s="69"/>
      <c r="V950" s="69"/>
      <c r="W950" s="69"/>
      <c r="X950" s="69"/>
      <c r="Y950" s="69"/>
      <c r="Z950" s="69"/>
      <c r="AA950" s="69"/>
      <c r="AB950" s="69"/>
      <c r="AC950" s="69"/>
      <c r="AD950" s="69"/>
      <c r="AE950" s="69"/>
      <c r="AF950" s="69"/>
      <c r="AG950" s="69"/>
    </row>
    <row r="951" spans="2:33" ht="12.75">
      <c r="B951" s="283"/>
      <c r="C951" s="5"/>
      <c r="D951" s="5"/>
      <c r="E951" s="5"/>
      <c r="F951" s="5"/>
      <c r="G951" s="5"/>
      <c r="H951" s="5"/>
      <c r="I951" s="3"/>
      <c r="J951" s="6"/>
      <c r="K951" s="69"/>
      <c r="L951" s="69"/>
      <c r="M951" s="69"/>
      <c r="N951" s="69"/>
      <c r="O951" s="69"/>
      <c r="P951" s="69"/>
      <c r="Q951" s="69"/>
      <c r="R951" s="69"/>
      <c r="S951" s="69"/>
      <c r="T951" s="69"/>
      <c r="U951" s="69"/>
      <c r="V951" s="69"/>
      <c r="W951" s="69"/>
      <c r="X951" s="69"/>
      <c r="Y951" s="69"/>
      <c r="Z951" s="69"/>
      <c r="AA951" s="69"/>
      <c r="AB951" s="69"/>
      <c r="AC951" s="69"/>
      <c r="AD951" s="69"/>
      <c r="AE951" s="69"/>
      <c r="AF951" s="69"/>
      <c r="AG951" s="69"/>
    </row>
    <row r="952" spans="2:33" ht="12.75">
      <c r="B952" s="283"/>
      <c r="C952" s="5"/>
      <c r="D952" s="5"/>
      <c r="E952" s="5"/>
      <c r="F952" s="5"/>
      <c r="G952" s="5"/>
      <c r="H952" s="5"/>
      <c r="I952" s="3"/>
      <c r="J952" s="6"/>
      <c r="K952" s="69"/>
      <c r="L952" s="69"/>
      <c r="M952" s="69"/>
      <c r="N952" s="69"/>
      <c r="O952" s="69"/>
      <c r="P952" s="69"/>
      <c r="Q952" s="69"/>
      <c r="R952" s="69"/>
      <c r="S952" s="69"/>
      <c r="T952" s="69"/>
      <c r="U952" s="69"/>
      <c r="V952" s="69"/>
      <c r="W952" s="69"/>
      <c r="X952" s="69"/>
      <c r="Y952" s="69"/>
      <c r="Z952" s="69"/>
      <c r="AA952" s="69"/>
      <c r="AB952" s="69"/>
      <c r="AC952" s="69"/>
      <c r="AD952" s="69"/>
      <c r="AE952" s="69"/>
      <c r="AF952" s="69"/>
      <c r="AG952" s="69"/>
    </row>
    <row r="953" spans="2:33" ht="12.75">
      <c r="B953" s="283"/>
      <c r="C953" s="5"/>
      <c r="D953" s="5"/>
      <c r="E953" s="5"/>
      <c r="F953" s="5"/>
      <c r="G953" s="5"/>
      <c r="H953" s="5"/>
      <c r="I953" s="3"/>
      <c r="J953" s="6"/>
      <c r="K953" s="69"/>
      <c r="L953" s="69"/>
      <c r="M953" s="69"/>
      <c r="N953" s="69"/>
      <c r="O953" s="69"/>
      <c r="P953" s="69"/>
      <c r="Q953" s="69"/>
      <c r="R953" s="69"/>
      <c r="S953" s="69"/>
      <c r="T953" s="69"/>
      <c r="U953" s="69"/>
      <c r="V953" s="69"/>
      <c r="W953" s="69"/>
      <c r="X953" s="69"/>
      <c r="Y953" s="69"/>
      <c r="Z953" s="69"/>
      <c r="AA953" s="69"/>
      <c r="AB953" s="69"/>
      <c r="AC953" s="69"/>
      <c r="AD953" s="69"/>
      <c r="AE953" s="69"/>
      <c r="AF953" s="69"/>
      <c r="AG953" s="69"/>
    </row>
    <row r="954" spans="2:33" ht="12.75">
      <c r="B954" s="283"/>
      <c r="C954" s="5"/>
      <c r="D954" s="5"/>
      <c r="E954" s="5"/>
      <c r="F954" s="5"/>
      <c r="G954" s="5"/>
      <c r="H954" s="5"/>
      <c r="I954" s="3"/>
      <c r="J954" s="6"/>
      <c r="K954" s="69"/>
      <c r="L954" s="69"/>
      <c r="M954" s="69"/>
      <c r="N954" s="69"/>
      <c r="O954" s="69"/>
      <c r="P954" s="69"/>
      <c r="Q954" s="69"/>
      <c r="R954" s="69"/>
      <c r="S954" s="69"/>
      <c r="T954" s="69"/>
      <c r="U954" s="69"/>
      <c r="V954" s="69"/>
      <c r="W954" s="69"/>
      <c r="X954" s="69"/>
      <c r="Y954" s="69"/>
      <c r="Z954" s="69"/>
      <c r="AA954" s="69"/>
      <c r="AB954" s="69"/>
      <c r="AC954" s="69"/>
      <c r="AD954" s="69"/>
      <c r="AE954" s="69"/>
      <c r="AF954" s="69"/>
      <c r="AG954" s="69"/>
    </row>
    <row r="955" spans="2:33" ht="12.75">
      <c r="B955" s="283"/>
      <c r="C955" s="5"/>
      <c r="D955" s="5"/>
      <c r="E955" s="5"/>
      <c r="F955" s="5"/>
      <c r="G955" s="5"/>
      <c r="H955" s="5"/>
      <c r="I955" s="3"/>
      <c r="J955" s="6"/>
      <c r="K955" s="69"/>
      <c r="L955" s="69"/>
      <c r="M955" s="69"/>
      <c r="N955" s="69"/>
      <c r="O955" s="69"/>
      <c r="P955" s="69"/>
      <c r="Q955" s="69"/>
      <c r="R955" s="69"/>
      <c r="S955" s="69"/>
      <c r="T955" s="69"/>
      <c r="U955" s="69"/>
      <c r="V955" s="69"/>
      <c r="W955" s="69"/>
      <c r="X955" s="69"/>
      <c r="Y955" s="69"/>
      <c r="Z955" s="69"/>
      <c r="AA955" s="69"/>
      <c r="AB955" s="69"/>
      <c r="AC955" s="69"/>
      <c r="AD955" s="69"/>
      <c r="AE955" s="69"/>
      <c r="AF955" s="69"/>
      <c r="AG955" s="69"/>
    </row>
    <row r="956" spans="2:33" ht="12.75">
      <c r="B956" s="283"/>
      <c r="C956" s="5"/>
      <c r="D956" s="5"/>
      <c r="E956" s="5"/>
      <c r="F956" s="5"/>
      <c r="G956" s="5"/>
      <c r="H956" s="5"/>
      <c r="I956" s="3"/>
      <c r="J956" s="6"/>
      <c r="K956" s="69"/>
      <c r="L956" s="69"/>
      <c r="M956" s="69"/>
      <c r="N956" s="69"/>
      <c r="O956" s="69"/>
      <c r="P956" s="69"/>
      <c r="Q956" s="69"/>
      <c r="R956" s="69"/>
      <c r="S956" s="69"/>
      <c r="T956" s="69"/>
      <c r="U956" s="69"/>
      <c r="V956" s="69"/>
      <c r="W956" s="69"/>
      <c r="X956" s="69"/>
      <c r="Y956" s="69"/>
      <c r="Z956" s="69"/>
      <c r="AA956" s="69"/>
      <c r="AB956" s="69"/>
      <c r="AC956" s="69"/>
      <c r="AD956" s="69"/>
      <c r="AE956" s="69"/>
      <c r="AF956" s="69"/>
      <c r="AG956" s="69"/>
    </row>
    <row r="957" spans="2:33" ht="12.75">
      <c r="B957" s="283"/>
      <c r="C957" s="5"/>
      <c r="D957" s="5"/>
      <c r="E957" s="5"/>
      <c r="F957" s="5"/>
      <c r="G957" s="5"/>
      <c r="H957" s="5"/>
      <c r="I957" s="3"/>
      <c r="J957" s="6"/>
      <c r="K957" s="69"/>
      <c r="L957" s="69"/>
      <c r="M957" s="69"/>
      <c r="N957" s="69"/>
      <c r="O957" s="69"/>
      <c r="P957" s="69"/>
      <c r="Q957" s="69"/>
      <c r="R957" s="69"/>
      <c r="S957" s="69"/>
      <c r="T957" s="69"/>
      <c r="U957" s="69"/>
      <c r="V957" s="69"/>
      <c r="W957" s="69"/>
      <c r="X957" s="69"/>
      <c r="Y957" s="69"/>
      <c r="Z957" s="69"/>
      <c r="AA957" s="69"/>
      <c r="AB957" s="69"/>
      <c r="AC957" s="69"/>
      <c r="AD957" s="69"/>
      <c r="AE957" s="69"/>
      <c r="AF957" s="69"/>
      <c r="AG957" s="69"/>
    </row>
    <row r="958" spans="2:33" ht="12.75">
      <c r="B958" s="283"/>
      <c r="C958" s="5"/>
      <c r="D958" s="5"/>
      <c r="E958" s="5"/>
      <c r="F958" s="5"/>
      <c r="G958" s="5"/>
      <c r="H958" s="5"/>
      <c r="I958" s="3"/>
      <c r="J958" s="6"/>
      <c r="K958" s="69"/>
      <c r="L958" s="69"/>
      <c r="M958" s="69"/>
      <c r="N958" s="69"/>
      <c r="O958" s="69"/>
      <c r="P958" s="69"/>
      <c r="Q958" s="69"/>
      <c r="R958" s="69"/>
      <c r="S958" s="69"/>
      <c r="T958" s="69"/>
      <c r="U958" s="69"/>
      <c r="V958" s="69"/>
      <c r="W958" s="69"/>
      <c r="X958" s="69"/>
      <c r="Y958" s="69"/>
      <c r="Z958" s="69"/>
      <c r="AA958" s="69"/>
      <c r="AB958" s="69"/>
      <c r="AC958" s="69"/>
      <c r="AD958" s="69"/>
      <c r="AE958" s="69"/>
      <c r="AF958" s="69"/>
      <c r="AG958" s="69"/>
    </row>
    <row r="959" spans="2:33" ht="12.75">
      <c r="B959" s="283"/>
      <c r="C959" s="5"/>
      <c r="D959" s="5"/>
      <c r="E959" s="5"/>
      <c r="F959" s="5"/>
      <c r="G959" s="5"/>
      <c r="H959" s="5"/>
      <c r="I959" s="3"/>
      <c r="J959" s="6"/>
      <c r="K959" s="69"/>
      <c r="L959" s="69"/>
      <c r="M959" s="69"/>
      <c r="N959" s="69"/>
      <c r="O959" s="69"/>
      <c r="P959" s="69"/>
      <c r="Q959" s="69"/>
      <c r="R959" s="69"/>
      <c r="S959" s="69"/>
      <c r="T959" s="69"/>
      <c r="U959" s="69"/>
      <c r="V959" s="69"/>
      <c r="W959" s="69"/>
      <c r="X959" s="69"/>
      <c r="Y959" s="69"/>
      <c r="Z959" s="69"/>
      <c r="AA959" s="69"/>
      <c r="AB959" s="69"/>
      <c r="AC959" s="69"/>
      <c r="AD959" s="69"/>
      <c r="AE959" s="69"/>
      <c r="AF959" s="69"/>
      <c r="AG959" s="69"/>
    </row>
    <row r="960" spans="2:33" ht="12.75">
      <c r="B960" s="283"/>
      <c r="C960" s="5"/>
      <c r="D960" s="5"/>
      <c r="E960" s="5"/>
      <c r="F960" s="5"/>
      <c r="G960" s="5"/>
      <c r="H960" s="5"/>
      <c r="I960" s="3"/>
      <c r="J960" s="6"/>
      <c r="K960" s="69"/>
      <c r="L960" s="69"/>
      <c r="M960" s="69"/>
      <c r="N960" s="69"/>
      <c r="O960" s="69"/>
      <c r="P960" s="69"/>
      <c r="Q960" s="69"/>
      <c r="R960" s="69"/>
      <c r="S960" s="69"/>
      <c r="T960" s="69"/>
      <c r="U960" s="69"/>
      <c r="V960" s="69"/>
      <c r="W960" s="69"/>
      <c r="X960" s="69"/>
      <c r="Y960" s="69"/>
      <c r="Z960" s="69"/>
      <c r="AA960" s="69"/>
      <c r="AB960" s="69"/>
      <c r="AC960" s="69"/>
      <c r="AD960" s="69"/>
      <c r="AE960" s="69"/>
      <c r="AF960" s="69"/>
      <c r="AG960" s="69"/>
    </row>
    <row r="961" spans="2:33" ht="12.75">
      <c r="B961" s="283"/>
      <c r="C961" s="5"/>
      <c r="D961" s="5"/>
      <c r="E961" s="5"/>
      <c r="F961" s="5"/>
      <c r="G961" s="5"/>
      <c r="H961" s="5"/>
      <c r="I961" s="3"/>
      <c r="J961" s="6"/>
      <c r="K961" s="69"/>
      <c r="L961" s="69"/>
      <c r="M961" s="69"/>
      <c r="N961" s="69"/>
      <c r="O961" s="69"/>
      <c r="P961" s="69"/>
      <c r="Q961" s="69"/>
      <c r="R961" s="69"/>
      <c r="S961" s="69"/>
      <c r="T961" s="69"/>
      <c r="U961" s="69"/>
      <c r="V961" s="69"/>
      <c r="W961" s="69"/>
      <c r="X961" s="69"/>
      <c r="Y961" s="69"/>
      <c r="Z961" s="69"/>
      <c r="AA961" s="69"/>
      <c r="AB961" s="69"/>
      <c r="AC961" s="69"/>
      <c r="AD961" s="69"/>
      <c r="AE961" s="69"/>
      <c r="AF961" s="69"/>
      <c r="AG961" s="69"/>
    </row>
    <row r="962" spans="2:33" ht="12.75">
      <c r="B962" s="283"/>
      <c r="C962" s="5"/>
      <c r="D962" s="5"/>
      <c r="E962" s="5"/>
      <c r="F962" s="5"/>
      <c r="G962" s="5"/>
      <c r="H962" s="5"/>
      <c r="I962" s="3"/>
      <c r="J962" s="6"/>
      <c r="K962" s="69"/>
      <c r="L962" s="69"/>
      <c r="M962" s="69"/>
      <c r="N962" s="69"/>
      <c r="O962" s="69"/>
      <c r="P962" s="69"/>
      <c r="Q962" s="69"/>
      <c r="R962" s="69"/>
      <c r="S962" s="69"/>
      <c r="T962" s="69"/>
      <c r="U962" s="69"/>
      <c r="V962" s="69"/>
      <c r="W962" s="69"/>
      <c r="X962" s="69"/>
      <c r="Y962" s="69"/>
      <c r="Z962" s="69"/>
      <c r="AA962" s="69"/>
      <c r="AB962" s="69"/>
      <c r="AC962" s="69"/>
      <c r="AD962" s="69"/>
      <c r="AE962" s="69"/>
      <c r="AF962" s="69"/>
      <c r="AG962" s="69"/>
    </row>
    <row r="963" spans="2:33" ht="12.75">
      <c r="B963" s="283"/>
      <c r="C963" s="5"/>
      <c r="D963" s="5"/>
      <c r="E963" s="5"/>
      <c r="F963" s="5"/>
      <c r="G963" s="5"/>
      <c r="H963" s="5"/>
      <c r="I963" s="3"/>
      <c r="J963" s="6"/>
      <c r="K963" s="69"/>
      <c r="L963" s="69"/>
      <c r="M963" s="69"/>
      <c r="N963" s="69"/>
      <c r="O963" s="69"/>
      <c r="P963" s="69"/>
      <c r="Q963" s="69"/>
      <c r="R963" s="69"/>
      <c r="S963" s="69"/>
      <c r="T963" s="69"/>
      <c r="U963" s="69"/>
      <c r="V963" s="69"/>
      <c r="W963" s="69"/>
      <c r="X963" s="69"/>
      <c r="Y963" s="69"/>
      <c r="Z963" s="69"/>
      <c r="AA963" s="69"/>
      <c r="AB963" s="69"/>
      <c r="AC963" s="69"/>
      <c r="AD963" s="69"/>
      <c r="AE963" s="69"/>
      <c r="AF963" s="69"/>
      <c r="AG963" s="69"/>
    </row>
  </sheetData>
  <mergeCells count="5">
    <mergeCell ref="B41:J41"/>
    <mergeCell ref="B16:J16"/>
    <mergeCell ref="B23:J23"/>
    <mergeCell ref="B31:J31"/>
    <mergeCell ref="B36:J36"/>
  </mergeCells>
  <dataValidations count="1">
    <dataValidation type="list" allowBlank="1" showInputMessage="1" showErrorMessage="1" sqref="M3:M18" xr:uid="{8118C4DB-24AA-438C-BC35-E6E6D838C64F}">
      <formula1>"Inprogress, Completed"</formula1>
    </dataValidation>
  </dataValidations>
  <hyperlinks>
    <hyperlink ref="N1" r:id="rId1" xr:uid="{66B352DD-DAC6-4AE8-AFF0-833E4527E3C3}"/>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433B-D068-484E-8C46-9708824B98E7}">
  <dimension ref="A1:L21"/>
  <sheetViews>
    <sheetView workbookViewId="0">
      <selection activeCell="K16" sqref="K16"/>
    </sheetView>
  </sheetViews>
  <sheetFormatPr defaultRowHeight="12.75"/>
  <cols>
    <col min="1" max="1" width="47" bestFit="1" customWidth="1"/>
    <col min="2" max="2" width="15.140625" bestFit="1" customWidth="1"/>
    <col min="3" max="3" width="17.7109375" bestFit="1" customWidth="1"/>
    <col min="4" max="4" width="14.42578125" bestFit="1" customWidth="1"/>
    <col min="5" max="6" width="14.42578125" customWidth="1"/>
    <col min="7" max="7" width="18.42578125" customWidth="1"/>
    <col min="8" max="8" width="19.140625" customWidth="1"/>
    <col min="9" max="9" width="14.42578125" customWidth="1"/>
    <col min="10" max="11" width="23.42578125" customWidth="1"/>
    <col min="12" max="12" width="31.140625" customWidth="1"/>
  </cols>
  <sheetData>
    <row r="1" spans="1:12">
      <c r="A1" s="497" t="s">
        <v>223</v>
      </c>
      <c r="B1">
        <f>SUM(B21:D21)</f>
        <v>0</v>
      </c>
    </row>
    <row r="2" spans="1:12">
      <c r="B2" s="519" t="s">
        <v>224</v>
      </c>
      <c r="C2" s="519"/>
      <c r="D2" s="519"/>
      <c r="E2" s="519"/>
      <c r="F2" s="519"/>
      <c r="G2" s="519"/>
      <c r="H2" s="519"/>
      <c r="I2" s="519"/>
      <c r="J2" s="519"/>
      <c r="K2" s="519"/>
      <c r="L2" s="519"/>
    </row>
    <row r="3" spans="1:12" ht="14.25" customHeight="1">
      <c r="A3" s="496" t="s">
        <v>225</v>
      </c>
      <c r="B3" s="496" t="s">
        <v>226</v>
      </c>
      <c r="C3" s="496" t="s">
        <v>227</v>
      </c>
      <c r="D3" s="496" t="s">
        <v>228</v>
      </c>
      <c r="E3" s="496" t="s">
        <v>229</v>
      </c>
      <c r="F3" s="496" t="s">
        <v>230</v>
      </c>
      <c r="G3" s="496" t="s">
        <v>231</v>
      </c>
      <c r="H3" s="496" t="s">
        <v>232</v>
      </c>
      <c r="I3" s="496" t="s">
        <v>233</v>
      </c>
      <c r="J3" s="496" t="s">
        <v>234</v>
      </c>
      <c r="K3" s="496" t="s">
        <v>235</v>
      </c>
      <c r="L3" s="496" t="s">
        <v>17</v>
      </c>
    </row>
    <row r="4" spans="1:12">
      <c r="A4" s="65" t="s">
        <v>236</v>
      </c>
      <c r="B4" s="65">
        <v>0</v>
      </c>
      <c r="C4" s="65">
        <v>0</v>
      </c>
      <c r="D4" s="65">
        <v>0</v>
      </c>
      <c r="E4" s="65">
        <v>1</v>
      </c>
      <c r="F4" s="65">
        <v>0</v>
      </c>
      <c r="G4" s="65">
        <v>1</v>
      </c>
      <c r="H4" s="65">
        <v>0</v>
      </c>
      <c r="I4" s="65">
        <v>0</v>
      </c>
      <c r="J4" s="65">
        <v>1</v>
      </c>
      <c r="K4" s="65">
        <v>3</v>
      </c>
      <c r="L4" s="65"/>
    </row>
    <row r="5" spans="1:12">
      <c r="A5" s="65" t="s">
        <v>237</v>
      </c>
      <c r="B5" s="65">
        <v>0</v>
      </c>
      <c r="C5" s="65">
        <v>0</v>
      </c>
      <c r="D5" s="65">
        <v>0</v>
      </c>
      <c r="E5" s="65">
        <v>0</v>
      </c>
      <c r="F5" s="65">
        <v>0</v>
      </c>
      <c r="G5" s="65">
        <v>0</v>
      </c>
      <c r="H5" s="65">
        <v>0</v>
      </c>
      <c r="I5" s="65">
        <v>0</v>
      </c>
      <c r="J5" s="65">
        <v>0</v>
      </c>
      <c r="K5" s="65">
        <v>0</v>
      </c>
      <c r="L5" s="65"/>
    </row>
    <row r="6" spans="1:12">
      <c r="A6" s="65" t="s">
        <v>238</v>
      </c>
      <c r="B6" s="65">
        <v>0</v>
      </c>
      <c r="C6" s="65">
        <v>0</v>
      </c>
      <c r="D6" s="65">
        <v>0</v>
      </c>
      <c r="E6" s="65">
        <v>0</v>
      </c>
      <c r="F6" s="65">
        <v>0</v>
      </c>
      <c r="G6" s="65">
        <v>4</v>
      </c>
      <c r="H6" s="65">
        <v>0</v>
      </c>
      <c r="I6" s="65">
        <v>0</v>
      </c>
      <c r="J6" s="65">
        <v>0</v>
      </c>
      <c r="K6" s="65">
        <v>4</v>
      </c>
      <c r="L6" s="65"/>
    </row>
    <row r="7" spans="1:12">
      <c r="A7" s="65" t="s">
        <v>239</v>
      </c>
      <c r="B7">
        <v>0</v>
      </c>
      <c r="C7" s="65">
        <v>0</v>
      </c>
      <c r="D7" s="65">
        <v>0</v>
      </c>
      <c r="E7" s="65">
        <v>0</v>
      </c>
      <c r="F7" s="65">
        <v>0</v>
      </c>
      <c r="G7" s="65">
        <v>0</v>
      </c>
      <c r="H7" s="65">
        <v>0</v>
      </c>
      <c r="I7" s="65">
        <v>0</v>
      </c>
      <c r="J7" s="65">
        <v>0</v>
      </c>
      <c r="K7" s="65">
        <v>0</v>
      </c>
      <c r="L7" s="65"/>
    </row>
    <row r="8" spans="1:12">
      <c r="A8" s="65" t="s">
        <v>240</v>
      </c>
      <c r="B8">
        <v>0</v>
      </c>
      <c r="C8" s="65">
        <v>0</v>
      </c>
      <c r="D8" s="65">
        <v>1</v>
      </c>
      <c r="E8" s="65">
        <v>1</v>
      </c>
      <c r="F8" s="65">
        <v>0</v>
      </c>
      <c r="G8" s="65">
        <v>0</v>
      </c>
      <c r="H8" s="65">
        <v>0</v>
      </c>
      <c r="I8" s="65">
        <v>0</v>
      </c>
      <c r="J8" s="65">
        <v>0</v>
      </c>
      <c r="K8" s="65">
        <v>2</v>
      </c>
      <c r="L8" s="65"/>
    </row>
    <row r="9" spans="1:12">
      <c r="A9" s="65" t="s">
        <v>241</v>
      </c>
      <c r="B9">
        <v>0</v>
      </c>
      <c r="C9" s="65">
        <v>0</v>
      </c>
      <c r="D9" s="65">
        <v>1</v>
      </c>
      <c r="E9" s="65">
        <v>3</v>
      </c>
      <c r="F9" s="65">
        <v>0</v>
      </c>
      <c r="G9" s="65">
        <v>0</v>
      </c>
      <c r="H9" s="65">
        <v>0</v>
      </c>
      <c r="I9" s="65">
        <v>0</v>
      </c>
      <c r="J9" s="65">
        <v>0</v>
      </c>
      <c r="K9" s="65">
        <v>4</v>
      </c>
      <c r="L9" s="65"/>
    </row>
    <row r="10" spans="1:12">
      <c r="A10" s="65" t="s">
        <v>242</v>
      </c>
      <c r="B10">
        <v>0</v>
      </c>
      <c r="C10" s="65">
        <v>0</v>
      </c>
      <c r="D10" s="65">
        <v>0</v>
      </c>
      <c r="E10" s="65">
        <v>0</v>
      </c>
      <c r="F10" s="65">
        <v>0</v>
      </c>
      <c r="G10" s="65">
        <v>1</v>
      </c>
      <c r="H10" s="65">
        <v>0</v>
      </c>
      <c r="I10" s="65"/>
      <c r="J10" s="65">
        <v>0</v>
      </c>
      <c r="K10" s="65">
        <v>1</v>
      </c>
      <c r="L10" s="65"/>
    </row>
    <row r="11" spans="1:12">
      <c r="A11" s="65"/>
      <c r="B11" s="65"/>
      <c r="C11" s="65"/>
      <c r="D11" s="65"/>
      <c r="E11" s="65"/>
      <c r="F11" s="65"/>
      <c r="G11" s="65"/>
      <c r="H11" s="65"/>
      <c r="I11" s="65"/>
      <c r="J11" s="65"/>
      <c r="K11" s="65"/>
      <c r="L11" s="65"/>
    </row>
    <row r="12" spans="1:12">
      <c r="A12" s="65"/>
      <c r="B12" s="65"/>
      <c r="C12" s="65"/>
      <c r="D12" s="65"/>
      <c r="E12" s="65"/>
      <c r="F12" s="65"/>
      <c r="G12" s="65"/>
      <c r="H12" s="65"/>
      <c r="I12" s="65"/>
      <c r="J12" s="65"/>
      <c r="K12" s="65"/>
      <c r="L12" s="65"/>
    </row>
    <row r="13" spans="1:12">
      <c r="A13" s="65"/>
      <c r="B13" s="65"/>
      <c r="C13" s="65"/>
      <c r="D13" s="65"/>
      <c r="E13" s="65"/>
      <c r="F13" s="65"/>
      <c r="G13" s="65"/>
      <c r="H13" s="65"/>
      <c r="I13" s="65"/>
      <c r="J13" s="65"/>
      <c r="K13" s="65"/>
      <c r="L13" s="65"/>
    </row>
    <row r="14" spans="1:12">
      <c r="A14" s="65"/>
      <c r="B14" s="65"/>
      <c r="C14" s="65"/>
      <c r="D14" s="65"/>
      <c r="E14" s="65"/>
      <c r="F14" s="65"/>
      <c r="G14" s="65"/>
      <c r="H14" s="65"/>
      <c r="I14" s="65"/>
      <c r="J14" s="65"/>
      <c r="K14" s="65"/>
      <c r="L14" s="65"/>
    </row>
    <row r="15" spans="1:12">
      <c r="A15" s="65"/>
      <c r="B15" s="65"/>
      <c r="C15" s="65"/>
      <c r="D15" s="65"/>
      <c r="E15" s="65"/>
      <c r="F15" s="65"/>
      <c r="G15" s="65"/>
      <c r="H15" s="65"/>
      <c r="I15" s="65"/>
      <c r="J15" s="65"/>
      <c r="K15" s="65"/>
      <c r="L15" s="65"/>
    </row>
    <row r="16" spans="1:12">
      <c r="A16" s="65"/>
      <c r="B16" s="65"/>
      <c r="C16" s="65"/>
      <c r="D16" s="65"/>
      <c r="E16" s="65"/>
      <c r="F16" s="65"/>
      <c r="G16" s="65"/>
      <c r="H16" s="65"/>
      <c r="I16" s="65"/>
      <c r="J16" s="65"/>
      <c r="K16" s="65"/>
      <c r="L16" s="65"/>
    </row>
    <row r="17" spans="1:12">
      <c r="A17" s="65"/>
      <c r="B17" s="65"/>
      <c r="C17" s="65"/>
      <c r="D17" s="65"/>
      <c r="E17" s="65"/>
      <c r="F17" s="65"/>
      <c r="G17" s="65"/>
      <c r="H17" s="65"/>
      <c r="I17" s="65"/>
      <c r="J17" s="65"/>
      <c r="K17" s="65"/>
      <c r="L17" s="65"/>
    </row>
    <row r="18" spans="1:12">
      <c r="A18" s="65"/>
      <c r="B18" s="65"/>
      <c r="C18" s="65"/>
      <c r="D18" s="65"/>
      <c r="E18" s="65"/>
      <c r="F18" s="65"/>
      <c r="G18" s="65"/>
      <c r="H18" s="65"/>
      <c r="I18" s="65"/>
      <c r="J18" s="65"/>
      <c r="K18" s="65"/>
      <c r="L18" s="65"/>
    </row>
    <row r="19" spans="1:12">
      <c r="A19" s="65"/>
      <c r="B19" s="65"/>
      <c r="C19" s="65"/>
      <c r="D19" s="65"/>
      <c r="E19" s="65"/>
      <c r="F19" s="65"/>
      <c r="G19" s="65"/>
      <c r="H19" s="65"/>
      <c r="I19" s="65"/>
      <c r="J19" s="65"/>
      <c r="K19" s="65"/>
      <c r="L19" s="65"/>
    </row>
    <row r="20" spans="1:12">
      <c r="A20" s="467"/>
      <c r="B20" s="467"/>
      <c r="C20" s="467"/>
      <c r="D20" s="467"/>
      <c r="E20" s="467"/>
      <c r="F20" s="467"/>
      <c r="G20" s="467"/>
      <c r="H20" s="467"/>
      <c r="I20" s="467"/>
      <c r="J20" s="467"/>
      <c r="K20" s="467"/>
      <c r="L20" s="467"/>
    </row>
    <row r="21" spans="1:12">
      <c r="A21" s="498"/>
      <c r="B21" s="65"/>
      <c r="C21" s="65"/>
      <c r="D21" s="65"/>
      <c r="E21" s="65"/>
      <c r="F21" s="65"/>
      <c r="G21" s="65"/>
      <c r="H21" s="65"/>
      <c r="I21" s="65"/>
      <c r="J21" s="65"/>
      <c r="K21" s="65"/>
      <c r="L21" s="65"/>
    </row>
  </sheetData>
  <mergeCells count="1">
    <mergeCell ref="B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344D-CC79-42EB-A568-EBA6CE7F9D04}">
  <dimension ref="A1:AM41"/>
  <sheetViews>
    <sheetView workbookViewId="0">
      <selection activeCell="H7" sqref="H7"/>
    </sheetView>
  </sheetViews>
  <sheetFormatPr defaultRowHeight="31.5" customHeight="1"/>
  <cols>
    <col min="1" max="1" width="9.85546875" customWidth="1"/>
    <col min="2" max="2" width="14.5703125" customWidth="1"/>
    <col min="3" max="3" width="16.85546875" customWidth="1"/>
    <col min="4" max="4" width="14.85546875" customWidth="1"/>
    <col min="5" max="5" width="33.85546875" style="48" customWidth="1"/>
    <col min="6" max="6" width="17.42578125" customWidth="1"/>
    <col min="7" max="7" width="19.140625" style="46" customWidth="1"/>
    <col min="8" max="8" width="49" customWidth="1"/>
    <col min="9" max="9" width="27.7109375" customWidth="1"/>
    <col min="10" max="10" width="13.42578125" customWidth="1"/>
    <col min="11" max="11" width="11.28515625" customWidth="1"/>
    <col min="12" max="12" width="10.140625"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3" width="9.140625" bestFit="1" customWidth="1"/>
    <col min="24" max="24" width="23.42578125" customWidth="1"/>
    <col min="25" max="25" width="9.140625" bestFit="1" customWidth="1"/>
    <col min="26" max="26" width="12.28515625" customWidth="1"/>
    <col min="27" max="27" width="16.28515625" customWidth="1"/>
    <col min="28" max="28" width="20.28515625" customWidth="1"/>
    <col min="29" max="29" width="28.28515625" customWidth="1"/>
    <col min="30" max="30" width="42.7109375" customWidth="1"/>
    <col min="31" max="31" width="34.28515625" customWidth="1"/>
  </cols>
  <sheetData>
    <row r="1" spans="1:39" ht="62.25" customHeight="1">
      <c r="A1" s="433" t="s">
        <v>243</v>
      </c>
      <c r="B1" s="433" t="s">
        <v>4</v>
      </c>
      <c r="C1" s="433" t="s">
        <v>2</v>
      </c>
      <c r="D1" s="433" t="s">
        <v>3</v>
      </c>
      <c r="E1" s="433" t="s">
        <v>244</v>
      </c>
      <c r="F1" s="433" t="s">
        <v>245</v>
      </c>
      <c r="G1" s="433" t="s">
        <v>246</v>
      </c>
      <c r="H1" s="433"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9" ht="24">
      <c r="A2" s="83">
        <v>1</v>
      </c>
      <c r="B2" s="507" t="s">
        <v>5</v>
      </c>
      <c r="C2" s="436">
        <v>46157</v>
      </c>
      <c r="D2" s="436">
        <v>46170</v>
      </c>
      <c r="E2" s="325" t="s">
        <v>271</v>
      </c>
      <c r="F2" s="325" t="s">
        <v>272</v>
      </c>
      <c r="G2" s="325">
        <v>53109</v>
      </c>
      <c r="H2" s="436" t="s">
        <v>273</v>
      </c>
      <c r="I2" s="436" t="s">
        <v>274</v>
      </c>
      <c r="J2" s="325">
        <v>8</v>
      </c>
      <c r="K2" s="325"/>
      <c r="L2" s="325"/>
      <c r="M2" s="436">
        <v>46154</v>
      </c>
      <c r="N2" s="436"/>
      <c r="O2" s="436"/>
      <c r="P2" s="436"/>
      <c r="Q2" s="436"/>
      <c r="R2" s="436"/>
      <c r="S2" s="436"/>
      <c r="T2" s="480"/>
      <c r="U2" s="436"/>
      <c r="V2" s="436"/>
      <c r="W2" s="436"/>
      <c r="X2" s="436"/>
      <c r="Y2" s="436"/>
      <c r="Z2" s="436"/>
      <c r="AA2" s="436"/>
      <c r="AB2" s="436"/>
      <c r="AC2" s="436"/>
      <c r="AD2" s="436"/>
      <c r="AE2" s="325"/>
    </row>
    <row r="3" spans="1:39" ht="31.5" customHeight="1">
      <c r="A3" s="83">
        <v>2</v>
      </c>
      <c r="B3" s="507" t="s">
        <v>5</v>
      </c>
      <c r="C3" s="436">
        <v>46157</v>
      </c>
      <c r="D3" s="436">
        <v>46170</v>
      </c>
      <c r="E3" s="325" t="s">
        <v>221</v>
      </c>
      <c r="F3" s="436" t="s">
        <v>275</v>
      </c>
      <c r="G3" s="325">
        <v>53298</v>
      </c>
      <c r="H3" s="436" t="s">
        <v>276</v>
      </c>
      <c r="I3" s="436" t="s">
        <v>274</v>
      </c>
      <c r="J3" s="325">
        <v>8</v>
      </c>
      <c r="K3" s="325"/>
      <c r="L3" s="325"/>
      <c r="M3" s="436">
        <v>46157</v>
      </c>
      <c r="N3" s="436"/>
      <c r="O3" s="436"/>
      <c r="P3" s="436"/>
      <c r="Q3" s="436"/>
      <c r="R3" s="436"/>
      <c r="S3" s="436"/>
      <c r="T3" s="480"/>
      <c r="U3" s="436"/>
      <c r="V3" s="436"/>
      <c r="W3" s="436"/>
      <c r="X3" s="436"/>
      <c r="Y3" s="436"/>
      <c r="Z3" s="436"/>
      <c r="AA3" s="436"/>
      <c r="AB3" s="436"/>
      <c r="AC3" s="436"/>
      <c r="AD3" s="436"/>
      <c r="AE3" s="325"/>
      <c r="AF3" s="436"/>
      <c r="AG3" s="436"/>
      <c r="AH3" s="436"/>
      <c r="AI3" s="436"/>
      <c r="AJ3" s="436"/>
      <c r="AK3" s="436"/>
      <c r="AL3" s="436"/>
      <c r="AM3" s="436"/>
    </row>
    <row r="4" spans="1:39" ht="48.75" customHeight="1">
      <c r="A4" s="83">
        <v>3</v>
      </c>
      <c r="B4" s="507" t="s">
        <v>5</v>
      </c>
      <c r="C4" s="436">
        <v>46157</v>
      </c>
      <c r="D4" s="436">
        <v>46170</v>
      </c>
      <c r="E4" s="325" t="s">
        <v>221</v>
      </c>
      <c r="F4" s="436" t="s">
        <v>230</v>
      </c>
      <c r="G4" s="436">
        <v>53023</v>
      </c>
      <c r="H4" s="436" t="s">
        <v>277</v>
      </c>
      <c r="I4" s="436" t="s">
        <v>274</v>
      </c>
      <c r="J4" s="325">
        <v>8</v>
      </c>
      <c r="K4" s="436"/>
      <c r="L4" s="436"/>
      <c r="M4" s="436">
        <v>46154</v>
      </c>
      <c r="N4" s="436"/>
      <c r="O4" s="436"/>
      <c r="P4" s="436"/>
      <c r="Q4" s="436"/>
      <c r="R4" s="436"/>
      <c r="S4" s="436"/>
      <c r="T4" s="436"/>
      <c r="U4" s="436"/>
      <c r="V4" s="436"/>
      <c r="W4" s="436"/>
      <c r="X4" s="436"/>
      <c r="Y4" s="436"/>
      <c r="Z4" s="436"/>
      <c r="AA4" s="436"/>
      <c r="AB4" s="436"/>
      <c r="AC4" s="436"/>
      <c r="AD4" s="436"/>
      <c r="AE4" s="436"/>
      <c r="AF4" s="436"/>
      <c r="AG4" s="436"/>
      <c r="AH4" s="436"/>
      <c r="AI4" s="436"/>
      <c r="AJ4" s="436"/>
      <c r="AK4" s="436"/>
      <c r="AL4" s="436"/>
      <c r="AM4" s="436"/>
    </row>
    <row r="5" spans="1:39" ht="39" customHeight="1">
      <c r="A5" s="436"/>
      <c r="B5" s="436"/>
      <c r="C5" s="436"/>
      <c r="D5" s="436"/>
      <c r="E5" s="436"/>
      <c r="F5" s="436"/>
      <c r="G5" s="436"/>
      <c r="H5" s="436"/>
      <c r="I5" s="436"/>
      <c r="J5" s="436"/>
      <c r="K5" s="436"/>
      <c r="L5" s="436"/>
      <c r="M5" s="436"/>
      <c r="N5" s="436"/>
      <c r="O5" s="436"/>
      <c r="P5" s="436"/>
      <c r="Q5" s="436"/>
      <c r="R5" s="436"/>
      <c r="S5" s="436"/>
      <c r="T5" s="436"/>
      <c r="U5" s="436"/>
      <c r="V5" s="436"/>
      <c r="W5" s="436"/>
      <c r="X5" s="436"/>
      <c r="Y5" s="436"/>
      <c r="Z5" s="436"/>
      <c r="AA5" s="436"/>
      <c r="AB5" s="436"/>
      <c r="AC5" s="436"/>
      <c r="AD5" s="436"/>
      <c r="AE5" s="436"/>
      <c r="AF5" s="436"/>
      <c r="AG5" s="436"/>
      <c r="AH5" s="436"/>
      <c r="AI5" s="436"/>
      <c r="AJ5" s="436"/>
      <c r="AK5" s="436"/>
      <c r="AL5" s="436"/>
      <c r="AM5" s="436"/>
    </row>
    <row r="6" spans="1:39" ht="31.5" customHeight="1">
      <c r="A6" s="436"/>
      <c r="B6" s="436"/>
      <c r="C6" s="436"/>
      <c r="D6" s="436"/>
      <c r="E6" s="436"/>
      <c r="F6" s="436"/>
      <c r="G6" s="436"/>
      <c r="H6" s="436"/>
      <c r="I6" s="436"/>
      <c r="J6" s="436"/>
      <c r="K6" s="436"/>
      <c r="L6" s="436"/>
      <c r="M6" s="436"/>
      <c r="N6" s="436"/>
      <c r="O6" s="436"/>
      <c r="P6" s="436"/>
      <c r="Q6" s="436"/>
      <c r="R6" s="436"/>
      <c r="S6" s="436"/>
      <c r="T6" s="436"/>
      <c r="U6" s="436"/>
      <c r="V6" s="436"/>
      <c r="W6" s="436"/>
      <c r="X6" s="436"/>
      <c r="Y6" s="436"/>
      <c r="Z6" s="436"/>
      <c r="AA6" s="436"/>
      <c r="AB6" s="436"/>
      <c r="AC6" s="436"/>
      <c r="AD6" s="436"/>
      <c r="AE6" s="436"/>
      <c r="AF6" s="436"/>
      <c r="AG6" s="436"/>
      <c r="AH6" s="436"/>
      <c r="AI6" s="436"/>
      <c r="AJ6" s="436"/>
      <c r="AK6" s="436"/>
      <c r="AL6" s="436"/>
      <c r="AM6" s="436"/>
    </row>
    <row r="7" spans="1:39" ht="31.5" customHeight="1">
      <c r="A7" s="436"/>
      <c r="B7" s="436"/>
      <c r="C7" s="436"/>
      <c r="D7" s="436"/>
      <c r="E7" s="436"/>
      <c r="F7" s="436"/>
      <c r="G7" s="436"/>
      <c r="H7" s="436"/>
      <c r="I7" s="436"/>
      <c r="J7" s="436"/>
      <c r="K7" s="436"/>
      <c r="L7" s="436"/>
      <c r="M7" s="436"/>
      <c r="N7" s="436"/>
      <c r="O7" s="436"/>
      <c r="P7" s="436"/>
      <c r="Q7" s="436"/>
      <c r="R7" s="436"/>
      <c r="S7" s="436"/>
      <c r="T7" s="436"/>
      <c r="U7" s="436"/>
      <c r="V7" s="436"/>
      <c r="W7" s="436"/>
      <c r="X7" s="436"/>
      <c r="Y7" s="436"/>
      <c r="Z7" s="436"/>
      <c r="AA7" s="436"/>
      <c r="AB7" s="436"/>
      <c r="AC7" s="436"/>
      <c r="AD7" s="436"/>
      <c r="AE7" s="436"/>
      <c r="AF7" s="436"/>
      <c r="AG7" s="436"/>
      <c r="AH7" s="436"/>
      <c r="AI7" s="436"/>
      <c r="AJ7" s="436"/>
      <c r="AK7" s="436"/>
      <c r="AL7" s="436"/>
      <c r="AM7" s="436"/>
    </row>
    <row r="8" spans="1:39" ht="31.5" customHeight="1">
      <c r="A8" s="436"/>
      <c r="B8" s="436"/>
      <c r="C8" s="436"/>
      <c r="D8" s="436"/>
      <c r="E8" s="436"/>
      <c r="F8" s="436"/>
      <c r="G8" s="436"/>
      <c r="H8" s="436"/>
      <c r="I8" s="436"/>
      <c r="J8" s="436"/>
      <c r="K8" s="436"/>
      <c r="L8" s="436"/>
      <c r="M8" s="436"/>
      <c r="N8" s="436"/>
      <c r="O8" s="436"/>
      <c r="P8" s="436"/>
      <c r="Q8" s="436"/>
      <c r="R8" s="436"/>
      <c r="S8" s="436"/>
      <c r="T8" s="436"/>
      <c r="U8" s="436"/>
      <c r="V8" s="436"/>
      <c r="W8" s="436"/>
      <c r="X8" s="436"/>
      <c r="Y8" s="436"/>
      <c r="Z8" s="436"/>
      <c r="AA8" s="436"/>
      <c r="AB8" s="436"/>
      <c r="AC8" s="436"/>
      <c r="AD8" s="436"/>
      <c r="AE8" s="436"/>
      <c r="AF8" s="436"/>
      <c r="AG8" s="436"/>
      <c r="AH8" s="436"/>
      <c r="AI8" s="436"/>
      <c r="AJ8" s="436"/>
      <c r="AK8" s="436"/>
      <c r="AL8" s="436"/>
      <c r="AM8" s="436"/>
    </row>
    <row r="9" spans="1:39" ht="31.5" customHeight="1">
      <c r="A9" s="436"/>
      <c r="B9" s="436"/>
      <c r="C9" s="436"/>
      <c r="D9" s="436"/>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row>
    <row r="10" spans="1:39" ht="31.5" customHeight="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row>
    <row r="11" spans="1:39" ht="31.5" customHeight="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c r="AE11" s="436"/>
    </row>
    <row r="12" spans="1:39" ht="31.5" customHeight="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9" ht="31.5" customHeight="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9" ht="31.5" customHeight="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9" ht="31.5" customHeight="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9" ht="31.5" customHeight="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ht="31.5" customHeight="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ht="31.5" customHeight="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ht="31.5" customHeight="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ht="31.5" customHeight="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ht="31.5"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ht="31.5" customHeight="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ht="31.5" customHeight="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ht="31.5" customHeight="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row>
    <row r="25" spans="1:31" ht="31.5" customHeight="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row>
    <row r="26" spans="1:31" ht="31.5" customHeight="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row>
    <row r="27" spans="1:31" ht="31.5" customHeight="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row>
    <row r="28" spans="1:31" ht="31.5" customHeight="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row>
    <row r="29" spans="1:31" ht="31.5" customHeight="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row>
    <row r="30" spans="1:31" ht="31.5" customHeight="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row>
    <row r="31" spans="1:31" ht="31.5" customHeight="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1" ht="31.5" customHeight="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ht="31.5" customHeight="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ht="31.5" customHeight="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ht="31.5" customHeight="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ht="31.5" customHeight="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ht="31.5" customHeight="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ht="31.5" customHeight="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ht="31.5" customHeight="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ht="31.5" customHeight="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ht="31.5" customHeight="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B64E713-93FF-4A0F-B17E-72721F19EEA3}">
          <x14:formula1>
            <xm:f>Settings!$C$3:$C$20</xm:f>
          </x14:formula1>
          <xm:sqref>I7 I2:I5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688F-FAD4-42EA-8DD6-E6B2B733C9E5}">
  <dimension ref="A1:AM41"/>
  <sheetViews>
    <sheetView tabSelected="1" topLeftCell="B1" workbookViewId="0">
      <selection activeCell="I11" sqref="I11"/>
    </sheetView>
  </sheetViews>
  <sheetFormatPr defaultRowHeight="31.5" customHeight="1"/>
  <cols>
    <col min="1" max="1" width="9.85546875" customWidth="1"/>
    <col min="2" max="2" width="14.5703125" customWidth="1"/>
    <col min="3" max="3" width="16.85546875" customWidth="1"/>
    <col min="4" max="4" width="14.85546875" customWidth="1"/>
    <col min="5" max="5" width="33.85546875" style="48" customWidth="1"/>
    <col min="6" max="6" width="17.42578125" customWidth="1"/>
    <col min="7" max="7" width="19.140625" style="46" customWidth="1"/>
    <col min="8" max="8" width="49" customWidth="1"/>
    <col min="9" max="9" width="27.7109375" customWidth="1"/>
    <col min="10" max="10" width="13.42578125" customWidth="1"/>
    <col min="11" max="11" width="11.28515625" customWidth="1"/>
    <col min="12" max="12" width="10.140625"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3" width="9.140625" bestFit="1" customWidth="1"/>
    <col min="24" max="24" width="23.42578125" customWidth="1"/>
    <col min="25" max="25" width="9.140625" bestFit="1" customWidth="1"/>
    <col min="26" max="26" width="12.28515625" customWidth="1"/>
    <col min="27" max="27" width="16.28515625" customWidth="1"/>
    <col min="28" max="28" width="20.28515625" customWidth="1"/>
    <col min="29" max="29" width="28.28515625" customWidth="1"/>
    <col min="30" max="30" width="42.7109375" customWidth="1"/>
    <col min="31" max="31" width="34.28515625" customWidth="1"/>
  </cols>
  <sheetData>
    <row r="1" spans="1:39" ht="62.25" customHeight="1">
      <c r="A1" s="433" t="s">
        <v>243</v>
      </c>
      <c r="B1" s="433" t="s">
        <v>4</v>
      </c>
      <c r="C1" s="433" t="s">
        <v>2</v>
      </c>
      <c r="D1" s="433" t="s">
        <v>3</v>
      </c>
      <c r="E1" s="433" t="s">
        <v>244</v>
      </c>
      <c r="F1" s="433" t="s">
        <v>245</v>
      </c>
      <c r="G1" s="433" t="s">
        <v>246</v>
      </c>
      <c r="H1" s="433"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9" ht="24">
      <c r="A2" s="83">
        <v>1</v>
      </c>
      <c r="B2" s="507" t="s">
        <v>5</v>
      </c>
      <c r="C2" s="436">
        <v>46143</v>
      </c>
      <c r="D2" s="436">
        <v>46156</v>
      </c>
      <c r="E2" s="325" t="s">
        <v>278</v>
      </c>
      <c r="F2" s="325" t="s">
        <v>272</v>
      </c>
      <c r="G2" s="325">
        <v>52478</v>
      </c>
      <c r="H2" s="436" t="s">
        <v>279</v>
      </c>
      <c r="I2" s="477" t="s">
        <v>280</v>
      </c>
      <c r="J2" s="325">
        <v>11</v>
      </c>
      <c r="K2" s="325">
        <v>11</v>
      </c>
      <c r="L2" s="325">
        <v>44</v>
      </c>
      <c r="M2" s="436">
        <v>46150</v>
      </c>
      <c r="N2" s="436">
        <v>46153</v>
      </c>
      <c r="O2" s="436" t="s">
        <v>13</v>
      </c>
      <c r="P2" s="436" t="s">
        <v>272</v>
      </c>
      <c r="Q2" s="436" t="s">
        <v>281</v>
      </c>
      <c r="R2" s="436" t="s">
        <v>281</v>
      </c>
      <c r="S2" s="436" t="s">
        <v>281</v>
      </c>
      <c r="T2" s="480" t="s">
        <v>282</v>
      </c>
      <c r="U2" s="436">
        <v>46153</v>
      </c>
      <c r="V2" s="436">
        <v>46153</v>
      </c>
      <c r="W2" s="436" t="s">
        <v>283</v>
      </c>
      <c r="X2" s="436" t="s">
        <v>281</v>
      </c>
      <c r="Y2" s="436" t="s">
        <v>283</v>
      </c>
      <c r="Z2" s="436">
        <v>46153</v>
      </c>
      <c r="AA2" s="436" t="s">
        <v>281</v>
      </c>
      <c r="AB2" s="436" t="s">
        <v>281</v>
      </c>
      <c r="AC2" s="436" t="s">
        <v>281</v>
      </c>
      <c r="AD2" s="436"/>
      <c r="AE2" s="325" t="s">
        <v>284</v>
      </c>
    </row>
    <row r="3" spans="1:39" ht="31.5" customHeight="1">
      <c r="A3" s="83">
        <v>2</v>
      </c>
      <c r="B3" s="507" t="s">
        <v>5</v>
      </c>
      <c r="C3" s="436">
        <v>46143</v>
      </c>
      <c r="D3" s="436">
        <v>46156</v>
      </c>
      <c r="E3" s="325" t="s">
        <v>217</v>
      </c>
      <c r="F3" s="436" t="s">
        <v>275</v>
      </c>
      <c r="G3" s="325">
        <v>52987</v>
      </c>
      <c r="H3" s="436" t="s">
        <v>285</v>
      </c>
      <c r="I3" s="477" t="s">
        <v>280</v>
      </c>
      <c r="J3" s="325">
        <v>8</v>
      </c>
      <c r="K3" s="325">
        <v>7</v>
      </c>
      <c r="L3" s="325">
        <v>26</v>
      </c>
      <c r="M3" s="436">
        <v>46146</v>
      </c>
      <c r="N3" s="436">
        <v>46150</v>
      </c>
      <c r="O3" s="436" t="s">
        <v>13</v>
      </c>
      <c r="P3" s="436" t="s">
        <v>230</v>
      </c>
      <c r="Q3" s="436" t="s">
        <v>281</v>
      </c>
      <c r="R3" s="436" t="s">
        <v>230</v>
      </c>
      <c r="S3" s="436" t="s">
        <v>281</v>
      </c>
      <c r="T3" s="480" t="s">
        <v>286</v>
      </c>
      <c r="U3" s="436">
        <v>46150</v>
      </c>
      <c r="V3" s="436">
        <v>46153</v>
      </c>
      <c r="W3" s="436" t="s">
        <v>287</v>
      </c>
      <c r="X3" s="436" t="s">
        <v>281</v>
      </c>
      <c r="Y3" s="436" t="s">
        <v>288</v>
      </c>
      <c r="Z3" s="436">
        <v>46153</v>
      </c>
      <c r="AA3" s="436" t="s">
        <v>281</v>
      </c>
      <c r="AB3" s="436" t="s">
        <v>281</v>
      </c>
      <c r="AC3" s="436" t="s">
        <v>281</v>
      </c>
      <c r="AD3" s="436"/>
      <c r="AE3" s="325" t="s">
        <v>284</v>
      </c>
      <c r="AF3" s="436"/>
      <c r="AG3" s="436"/>
      <c r="AH3" s="436"/>
      <c r="AI3" s="436"/>
      <c r="AJ3" s="436"/>
      <c r="AK3" s="436"/>
      <c r="AL3" s="436"/>
      <c r="AM3" s="436"/>
    </row>
    <row r="4" spans="1:39" ht="48.75" customHeight="1">
      <c r="A4" s="325">
        <v>3</v>
      </c>
      <c r="B4" s="507" t="s">
        <v>5</v>
      </c>
      <c r="C4" s="436">
        <v>46143</v>
      </c>
      <c r="D4" s="436">
        <v>46156</v>
      </c>
      <c r="E4" s="325" t="s">
        <v>217</v>
      </c>
      <c r="F4" s="436" t="s">
        <v>230</v>
      </c>
      <c r="G4" s="325">
        <v>52981</v>
      </c>
      <c r="H4" s="436" t="s">
        <v>289</v>
      </c>
      <c r="I4" s="477" t="s">
        <v>280</v>
      </c>
      <c r="J4" s="325">
        <v>8</v>
      </c>
      <c r="K4" s="325">
        <v>8</v>
      </c>
      <c r="L4" s="325">
        <v>36</v>
      </c>
      <c r="M4" s="436">
        <v>46146</v>
      </c>
      <c r="N4" s="436">
        <v>46153</v>
      </c>
      <c r="O4" s="436" t="s">
        <v>13</v>
      </c>
      <c r="P4" s="436" t="s">
        <v>272</v>
      </c>
      <c r="Q4" s="436" t="s">
        <v>281</v>
      </c>
      <c r="R4" s="436" t="s">
        <v>275</v>
      </c>
      <c r="S4" s="436" t="s">
        <v>281</v>
      </c>
      <c r="T4" s="480" t="s">
        <v>290</v>
      </c>
      <c r="U4" s="436">
        <v>46153</v>
      </c>
      <c r="V4" s="436">
        <v>46153</v>
      </c>
      <c r="W4" s="436" t="s">
        <v>287</v>
      </c>
      <c r="X4" s="436" t="s">
        <v>281</v>
      </c>
      <c r="Y4" s="436" t="s">
        <v>288</v>
      </c>
      <c r="Z4" s="436">
        <v>46153</v>
      </c>
      <c r="AA4" s="436" t="s">
        <v>281</v>
      </c>
      <c r="AB4" s="436" t="s">
        <v>281</v>
      </c>
      <c r="AC4" s="436" t="s">
        <v>281</v>
      </c>
      <c r="AD4" s="436"/>
      <c r="AE4" s="325" t="s">
        <v>284</v>
      </c>
      <c r="AF4" s="436"/>
      <c r="AG4" s="436"/>
      <c r="AH4" s="436"/>
      <c r="AI4" s="436"/>
      <c r="AJ4" s="436"/>
      <c r="AK4" s="436"/>
      <c r="AL4" s="436"/>
      <c r="AM4" s="436"/>
    </row>
    <row r="5" spans="1:39" ht="39" customHeight="1">
      <c r="A5" s="325">
        <v>4</v>
      </c>
      <c r="B5" s="507" t="s">
        <v>5</v>
      </c>
      <c r="C5" s="436">
        <v>46143</v>
      </c>
      <c r="D5" s="436">
        <v>46156</v>
      </c>
      <c r="E5" s="325" t="s">
        <v>217</v>
      </c>
      <c r="F5" s="436" t="s">
        <v>287</v>
      </c>
      <c r="G5" s="325">
        <v>53059</v>
      </c>
      <c r="H5" s="436" t="s">
        <v>291</v>
      </c>
      <c r="I5" s="477" t="s">
        <v>280</v>
      </c>
      <c r="J5" s="325">
        <v>2</v>
      </c>
      <c r="K5" s="325">
        <v>2</v>
      </c>
      <c r="L5" s="325">
        <v>12</v>
      </c>
      <c r="M5" s="436">
        <v>46135</v>
      </c>
      <c r="N5" s="436">
        <v>46142</v>
      </c>
      <c r="O5" s="436" t="s">
        <v>13</v>
      </c>
      <c r="P5" s="436" t="s">
        <v>292</v>
      </c>
      <c r="Q5" s="436" t="s">
        <v>281</v>
      </c>
      <c r="R5" s="436" t="s">
        <v>275</v>
      </c>
      <c r="S5" s="436" t="s">
        <v>281</v>
      </c>
      <c r="T5" s="480" t="s">
        <v>293</v>
      </c>
      <c r="U5" s="436">
        <v>46142</v>
      </c>
      <c r="V5" s="436">
        <v>46142</v>
      </c>
      <c r="W5" s="436" t="s">
        <v>288</v>
      </c>
      <c r="X5" s="436" t="s">
        <v>281</v>
      </c>
      <c r="Y5" s="436" t="s">
        <v>288</v>
      </c>
      <c r="Z5" s="436">
        <v>46142</v>
      </c>
      <c r="AA5" s="436" t="s">
        <v>281</v>
      </c>
      <c r="AB5" s="436" t="s">
        <v>281</v>
      </c>
      <c r="AC5" s="436" t="s">
        <v>281</v>
      </c>
      <c r="AD5" s="436"/>
      <c r="AE5" s="325" t="s">
        <v>284</v>
      </c>
      <c r="AF5" s="436"/>
      <c r="AG5" s="436"/>
      <c r="AH5" s="436"/>
      <c r="AI5" s="436"/>
      <c r="AJ5" s="436"/>
      <c r="AK5" s="436"/>
      <c r="AL5" s="436"/>
      <c r="AM5" s="436"/>
    </row>
    <row r="6" spans="1:39" ht="31.5" customHeight="1">
      <c r="A6" s="83">
        <v>5</v>
      </c>
      <c r="B6" s="507" t="s">
        <v>5</v>
      </c>
      <c r="C6" s="436">
        <v>46143</v>
      </c>
      <c r="D6" s="436">
        <v>46156</v>
      </c>
      <c r="E6" s="325" t="s">
        <v>278</v>
      </c>
      <c r="F6" s="325" t="s">
        <v>272</v>
      </c>
      <c r="G6" s="325">
        <v>53109</v>
      </c>
      <c r="H6" s="436" t="s">
        <v>273</v>
      </c>
      <c r="I6" s="436" t="s">
        <v>274</v>
      </c>
      <c r="J6" s="325">
        <v>8</v>
      </c>
      <c r="K6" s="325"/>
      <c r="L6" s="325"/>
      <c r="M6" s="436">
        <v>46154</v>
      </c>
      <c r="N6" s="436"/>
      <c r="O6" s="436"/>
      <c r="P6" s="436"/>
      <c r="Q6" s="436"/>
      <c r="R6" s="436"/>
      <c r="S6" s="436"/>
      <c r="T6" s="480"/>
      <c r="U6" s="436"/>
      <c r="V6" s="436"/>
      <c r="W6" s="436"/>
      <c r="X6" s="436"/>
      <c r="Y6" s="436"/>
      <c r="Z6" s="436"/>
      <c r="AA6" s="436"/>
      <c r="AB6" s="436"/>
      <c r="AC6" s="436"/>
      <c r="AD6" s="436"/>
      <c r="AE6" s="325"/>
    </row>
    <row r="7" spans="1:39" ht="31.5" customHeight="1">
      <c r="A7" s="83">
        <v>6</v>
      </c>
      <c r="B7" s="507" t="s">
        <v>5</v>
      </c>
      <c r="C7" s="436">
        <v>46143</v>
      </c>
      <c r="D7" s="436">
        <v>46156</v>
      </c>
      <c r="E7" s="325" t="s">
        <v>217</v>
      </c>
      <c r="F7" s="436" t="s">
        <v>275</v>
      </c>
      <c r="G7" s="325">
        <v>27109</v>
      </c>
      <c r="H7" s="436" t="s">
        <v>294</v>
      </c>
      <c r="I7" s="477" t="s">
        <v>295</v>
      </c>
      <c r="J7" s="325">
        <v>1</v>
      </c>
      <c r="K7" s="325">
        <v>1</v>
      </c>
      <c r="L7" s="325">
        <v>4</v>
      </c>
      <c r="M7" s="436">
        <v>46155</v>
      </c>
      <c r="N7" s="436">
        <v>46155</v>
      </c>
      <c r="O7" s="436" t="s">
        <v>13</v>
      </c>
      <c r="P7" s="436" t="s">
        <v>230</v>
      </c>
      <c r="Q7" s="436" t="s">
        <v>281</v>
      </c>
      <c r="R7" s="436" t="s">
        <v>230</v>
      </c>
      <c r="S7" s="436" t="s">
        <v>281</v>
      </c>
      <c r="T7" s="480" t="s">
        <v>296</v>
      </c>
      <c r="U7" s="436">
        <v>46155</v>
      </c>
      <c r="V7" s="436">
        <v>46155</v>
      </c>
      <c r="W7" s="436" t="s">
        <v>287</v>
      </c>
      <c r="X7" s="436" t="s">
        <v>281</v>
      </c>
      <c r="Y7" s="436" t="s">
        <v>288</v>
      </c>
      <c r="Z7" s="436">
        <v>46155</v>
      </c>
      <c r="AA7" s="436" t="s">
        <v>281</v>
      </c>
      <c r="AB7" s="436" t="s">
        <v>281</v>
      </c>
      <c r="AC7" s="436" t="s">
        <v>281</v>
      </c>
      <c r="AD7" s="436"/>
      <c r="AE7" s="325" t="s">
        <v>284</v>
      </c>
      <c r="AF7" s="436"/>
      <c r="AG7" s="436"/>
      <c r="AH7" s="436"/>
      <c r="AI7" s="436"/>
      <c r="AJ7" s="436"/>
      <c r="AK7" s="436"/>
      <c r="AL7" s="436"/>
      <c r="AM7" s="436"/>
    </row>
    <row r="8" spans="1:39" ht="31.5" customHeight="1">
      <c r="A8" s="436"/>
      <c r="B8" s="436"/>
      <c r="C8" s="436"/>
      <c r="D8" s="436"/>
      <c r="E8" s="436"/>
      <c r="F8" s="436"/>
      <c r="G8" s="436"/>
      <c r="H8" s="436"/>
      <c r="I8" s="436"/>
      <c r="J8" s="436"/>
      <c r="K8" s="436"/>
      <c r="L8" s="436"/>
      <c r="M8" s="436"/>
      <c r="N8" s="436"/>
      <c r="O8" s="436"/>
      <c r="P8" s="436"/>
      <c r="Q8" s="436"/>
      <c r="R8" s="436"/>
      <c r="S8" s="436"/>
      <c r="T8" s="436"/>
      <c r="U8" s="436"/>
      <c r="V8" s="436"/>
      <c r="W8" s="436"/>
      <c r="X8" s="436"/>
      <c r="Y8" s="436"/>
      <c r="Z8" s="436"/>
      <c r="AA8" s="436"/>
      <c r="AB8" s="436"/>
      <c r="AC8" s="436"/>
      <c r="AD8" s="436"/>
      <c r="AE8" s="436"/>
    </row>
    <row r="9" spans="1:39" ht="31.5" customHeight="1">
      <c r="A9" s="436"/>
      <c r="B9" s="436"/>
      <c r="C9" s="436"/>
      <c r="D9" s="436"/>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row>
    <row r="10" spans="1:39" ht="31.5" customHeight="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row>
    <row r="11" spans="1:39" ht="31.5" customHeight="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c r="AE11" s="436"/>
    </row>
    <row r="12" spans="1:39" ht="31.5" customHeight="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9" ht="31.5" customHeight="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9" ht="31.5" customHeight="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9" ht="31.5" customHeight="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9" ht="31.5" customHeight="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ht="31.5" customHeight="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ht="31.5" customHeight="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ht="31.5" customHeight="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ht="31.5" customHeight="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ht="31.5"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ht="31.5" customHeight="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ht="31.5" customHeight="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ht="31.5" customHeight="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row>
    <row r="25" spans="1:31" ht="31.5" customHeight="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row>
    <row r="26" spans="1:31" ht="31.5" customHeight="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row>
    <row r="27" spans="1:31" ht="31.5" customHeight="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row>
    <row r="28" spans="1:31" ht="31.5" customHeight="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row>
    <row r="29" spans="1:31" ht="31.5" customHeight="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row>
    <row r="30" spans="1:31" ht="31.5" customHeight="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row>
    <row r="31" spans="1:31" ht="31.5" customHeight="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1" ht="31.5" customHeight="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ht="31.5" customHeight="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ht="31.5" customHeight="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ht="31.5" customHeight="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ht="31.5" customHeight="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ht="31.5" customHeight="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ht="31.5" customHeight="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ht="31.5" customHeight="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ht="31.5" customHeight="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ht="31.5" customHeight="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sheetData>
  <hyperlinks>
    <hyperlink ref="T3" r:id="rId1" xr:uid="{0556FF42-5729-4619-8779-A5FDFEAA1769}"/>
    <hyperlink ref="T4" r:id="rId2" xr:uid="{0B0C4B00-ED36-4E93-BED0-E7453980D8FF}"/>
    <hyperlink ref="T2" r:id="rId3" xr:uid="{CFA07FE9-2A53-4EFF-BFE9-C37A07A2A27F}"/>
    <hyperlink ref="T5" r:id="rId4" xr:uid="{45D6A671-7DF8-475D-824D-C080522BE5E7}"/>
    <hyperlink ref="T7" r:id="rId5" xr:uid="{7125DD0D-2BC3-4970-8627-895642099FA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0D10111-F89E-43D0-8B9C-73228036F4B5}">
          <x14:formula1>
            <xm:f>Settings!$C$3:$C$20</xm:f>
          </x14:formula1>
          <xm:sqref>I2:I7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EF6EF-64B1-47D0-B2D9-08609D8E6ACC}">
  <dimension ref="A1:BA4"/>
  <sheetViews>
    <sheetView workbookViewId="0">
      <selection activeCell="H2" sqref="H2"/>
    </sheetView>
  </sheetViews>
  <sheetFormatPr defaultRowHeight="12.75"/>
  <cols>
    <col min="1" max="1" width="22.28515625" style="70" customWidth="1"/>
    <col min="2" max="2" width="13.85546875" style="70" customWidth="1"/>
    <col min="3" max="3" width="9.7109375" style="70" customWidth="1"/>
    <col min="4" max="4" width="20.28515625" style="70" customWidth="1"/>
    <col min="5" max="5" width="13.85546875" style="70" customWidth="1"/>
    <col min="6" max="6" width="49.85546875" style="70" customWidth="1"/>
    <col min="7" max="8" width="9.140625" style="70" bestFit="1" customWidth="1"/>
    <col min="9" max="9" width="18.7109375" style="70" customWidth="1"/>
    <col min="10" max="10" width="19.85546875" style="70" customWidth="1"/>
    <col min="11" max="11" width="25.7109375" style="70" customWidth="1"/>
    <col min="12" max="12" width="15.7109375" style="70" customWidth="1"/>
    <col min="13" max="13" width="64.28515625" style="70" customWidth="1"/>
    <col min="14" max="16384" width="9.140625" style="70"/>
  </cols>
  <sheetData>
    <row r="1" spans="1:53" ht="24">
      <c r="A1" s="184" t="s">
        <v>11</v>
      </c>
      <c r="B1" s="184" t="s">
        <v>297</v>
      </c>
      <c r="C1" s="184" t="s">
        <v>298</v>
      </c>
      <c r="D1" s="184" t="s">
        <v>245</v>
      </c>
      <c r="E1" s="184" t="s">
        <v>299</v>
      </c>
      <c r="F1" s="184" t="s">
        <v>300</v>
      </c>
      <c r="G1" s="184" t="s">
        <v>301</v>
      </c>
      <c r="H1" s="184" t="s">
        <v>302</v>
      </c>
      <c r="I1" s="184" t="s">
        <v>303</v>
      </c>
      <c r="J1" s="184" t="s">
        <v>304</v>
      </c>
      <c r="K1" s="184" t="s">
        <v>248</v>
      </c>
      <c r="L1" s="499" t="s">
        <v>305</v>
      </c>
      <c r="M1" s="70" t="s">
        <v>306</v>
      </c>
    </row>
    <row r="2" spans="1:53" s="502" customFormat="1" ht="72.75" customHeight="1">
      <c r="A2" s="325" t="s">
        <v>217</v>
      </c>
      <c r="B2" s="67">
        <v>52987</v>
      </c>
      <c r="C2" s="67"/>
      <c r="D2" s="67" t="s">
        <v>275</v>
      </c>
      <c r="E2" s="67" t="s">
        <v>307</v>
      </c>
      <c r="F2" s="67" t="s">
        <v>308</v>
      </c>
      <c r="G2" s="67" t="s">
        <v>309</v>
      </c>
      <c r="H2" s="67" t="s">
        <v>310</v>
      </c>
      <c r="I2" s="67" t="s">
        <v>311</v>
      </c>
      <c r="J2" s="67" t="s">
        <v>312</v>
      </c>
      <c r="K2" s="67" t="s">
        <v>13</v>
      </c>
      <c r="L2" s="67" t="s">
        <v>313</v>
      </c>
      <c r="M2" s="67" t="s">
        <v>314</v>
      </c>
      <c r="N2" s="67"/>
      <c r="O2" s="67"/>
      <c r="P2" s="67"/>
      <c r="Q2" s="67"/>
      <c r="R2" s="67"/>
      <c r="S2" s="67"/>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row>
    <row r="3" spans="1:53" s="502" customFormat="1" ht="27" customHeight="1">
      <c r="A3" s="67"/>
      <c r="B3" s="67"/>
      <c r="C3" s="67"/>
      <c r="D3" s="67"/>
      <c r="E3" s="67"/>
      <c r="F3" s="67"/>
      <c r="G3" s="67"/>
      <c r="H3" s="67"/>
      <c r="I3" s="67"/>
      <c r="J3" s="67"/>
      <c r="K3" s="67"/>
      <c r="L3" s="67"/>
      <c r="M3" s="67"/>
      <c r="N3" s="67"/>
      <c r="O3" s="67"/>
      <c r="P3" s="67"/>
      <c r="Q3" s="67"/>
      <c r="R3" s="67"/>
      <c r="S3" s="67"/>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row>
    <row r="4" spans="1:53" ht="26.25" customHeight="1">
      <c r="A4" s="67"/>
      <c r="B4" s="67"/>
      <c r="C4" s="67"/>
      <c r="D4" s="67"/>
      <c r="E4" s="67"/>
      <c r="F4" s="67"/>
      <c r="G4" s="67"/>
      <c r="H4" s="67"/>
      <c r="I4" s="67"/>
      <c r="J4" s="67"/>
      <c r="K4" s="67"/>
      <c r="L4" s="67"/>
      <c r="M4" s="67"/>
      <c r="N4" s="67"/>
      <c r="O4" s="67"/>
      <c r="P4" s="67"/>
      <c r="Q4" s="67"/>
      <c r="R4" s="67"/>
      <c r="S4" s="6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06F5-36EE-4D3F-AF61-420285B868AC}">
  <dimension ref="A1:AE41"/>
  <sheetViews>
    <sheetView workbookViewId="0">
      <selection activeCell="H6" sqref="H6"/>
    </sheetView>
  </sheetViews>
  <sheetFormatPr defaultRowHeight="31.5" customHeight="1"/>
  <cols>
    <col min="1" max="1" width="9.85546875" customWidth="1"/>
    <col min="2" max="2" width="14.5703125" customWidth="1"/>
    <col min="3" max="3" width="16.85546875" customWidth="1"/>
    <col min="4" max="4" width="14.85546875" customWidth="1"/>
    <col min="5" max="5" width="33.85546875" style="48" customWidth="1"/>
    <col min="6" max="6" width="17.42578125" customWidth="1"/>
    <col min="7" max="7" width="19.140625" style="46" customWidth="1"/>
    <col min="8" max="8" width="49" customWidth="1"/>
    <col min="9" max="9" width="27.7109375" customWidth="1"/>
    <col min="10" max="10" width="13.42578125" customWidth="1"/>
    <col min="11" max="11" width="11.28515625" customWidth="1"/>
    <col min="12" max="12" width="10.140625"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3" width="9.140625" bestFit="1" customWidth="1"/>
    <col min="24" max="24" width="23.42578125" customWidth="1"/>
    <col min="25" max="25" width="9.140625" bestFit="1" customWidth="1"/>
    <col min="26" max="26" width="12.28515625" customWidth="1"/>
    <col min="27" max="27" width="16.28515625" customWidth="1"/>
    <col min="28" max="28" width="20.28515625" customWidth="1"/>
    <col min="29" max="29" width="28.28515625" customWidth="1"/>
    <col min="30" max="30" width="42.7109375" customWidth="1"/>
    <col min="31" max="31" width="34.28515625" customWidth="1"/>
  </cols>
  <sheetData>
    <row r="1" spans="1:31" ht="62.25" customHeight="1">
      <c r="A1" s="433" t="s">
        <v>243</v>
      </c>
      <c r="B1" s="433" t="s">
        <v>4</v>
      </c>
      <c r="C1" s="433" t="s">
        <v>2</v>
      </c>
      <c r="D1" s="433" t="s">
        <v>3</v>
      </c>
      <c r="E1" s="433" t="s">
        <v>244</v>
      </c>
      <c r="F1" s="433" t="s">
        <v>245</v>
      </c>
      <c r="G1" s="433" t="s">
        <v>246</v>
      </c>
      <c r="H1" s="433"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36">
      <c r="A2" s="371">
        <v>1</v>
      </c>
      <c r="B2" s="325" t="s">
        <v>5</v>
      </c>
      <c r="C2" s="436">
        <v>46129</v>
      </c>
      <c r="D2" s="436">
        <v>46142</v>
      </c>
      <c r="E2" s="325" t="s">
        <v>315</v>
      </c>
      <c r="F2" s="325" t="s">
        <v>275</v>
      </c>
      <c r="G2" s="325">
        <v>52843</v>
      </c>
      <c r="H2" s="325" t="s">
        <v>316</v>
      </c>
      <c r="I2" s="511" t="s">
        <v>280</v>
      </c>
      <c r="J2" s="325">
        <v>8</v>
      </c>
      <c r="K2" s="325">
        <v>8</v>
      </c>
      <c r="L2" s="325">
        <v>32</v>
      </c>
      <c r="M2" s="436">
        <v>46129</v>
      </c>
      <c r="N2" s="436">
        <v>46140</v>
      </c>
      <c r="O2" s="436" t="s">
        <v>13</v>
      </c>
      <c r="P2" s="436" t="s">
        <v>230</v>
      </c>
      <c r="Q2" s="436" t="s">
        <v>281</v>
      </c>
      <c r="R2" s="436" t="s">
        <v>281</v>
      </c>
      <c r="S2" s="436" t="s">
        <v>281</v>
      </c>
      <c r="T2" s="480" t="s">
        <v>317</v>
      </c>
      <c r="U2" s="436">
        <v>46140</v>
      </c>
      <c r="V2" s="436">
        <v>46140</v>
      </c>
      <c r="W2" s="436" t="s">
        <v>287</v>
      </c>
      <c r="X2" s="436"/>
      <c r="Y2" s="75" t="s">
        <v>288</v>
      </c>
      <c r="Z2" s="436">
        <v>46140</v>
      </c>
      <c r="AA2" s="436" t="s">
        <v>281</v>
      </c>
      <c r="AB2" s="436" t="s">
        <v>281</v>
      </c>
      <c r="AC2" s="436"/>
      <c r="AD2" s="436" t="s">
        <v>318</v>
      </c>
      <c r="AE2" s="325" t="s">
        <v>284</v>
      </c>
    </row>
    <row r="3" spans="1:31" ht="31.5" customHeight="1">
      <c r="A3" s="83">
        <v>2</v>
      </c>
      <c r="B3" s="507" t="s">
        <v>5</v>
      </c>
      <c r="C3" s="436">
        <v>46129</v>
      </c>
      <c r="D3" s="436">
        <v>46142</v>
      </c>
      <c r="E3" s="325" t="s">
        <v>319</v>
      </c>
      <c r="F3" s="325" t="s">
        <v>230</v>
      </c>
      <c r="G3" s="325">
        <v>52621</v>
      </c>
      <c r="H3" s="436" t="s">
        <v>320</v>
      </c>
      <c r="I3" s="511" t="s">
        <v>280</v>
      </c>
      <c r="J3" s="325">
        <v>13</v>
      </c>
      <c r="K3" s="325">
        <v>13</v>
      </c>
      <c r="L3" s="325">
        <v>52</v>
      </c>
      <c r="M3" s="436">
        <v>46127</v>
      </c>
      <c r="N3" s="436">
        <v>46141</v>
      </c>
      <c r="O3" s="436" t="s">
        <v>13</v>
      </c>
      <c r="P3" s="436" t="s">
        <v>272</v>
      </c>
      <c r="Q3" s="436" t="s">
        <v>281</v>
      </c>
      <c r="R3" s="436" t="s">
        <v>275</v>
      </c>
      <c r="S3" s="436" t="s">
        <v>281</v>
      </c>
      <c r="T3" s="480" t="s">
        <v>321</v>
      </c>
      <c r="U3" s="436">
        <v>46141</v>
      </c>
      <c r="V3" s="436">
        <v>46141</v>
      </c>
      <c r="W3" s="436" t="s">
        <v>287</v>
      </c>
      <c r="X3" s="436" t="s">
        <v>281</v>
      </c>
      <c r="Y3" s="436" t="s">
        <v>322</v>
      </c>
      <c r="Z3" s="436">
        <v>46141</v>
      </c>
      <c r="AA3" s="436" t="s">
        <v>281</v>
      </c>
      <c r="AB3" s="436" t="s">
        <v>281</v>
      </c>
      <c r="AC3" s="436" t="s">
        <v>323</v>
      </c>
      <c r="AD3" s="436" t="s">
        <v>324</v>
      </c>
      <c r="AE3" s="325" t="s">
        <v>284</v>
      </c>
    </row>
    <row r="4" spans="1:31" ht="48.75" customHeight="1">
      <c r="A4" s="83">
        <v>3</v>
      </c>
      <c r="B4" s="507" t="s">
        <v>5</v>
      </c>
      <c r="C4" s="436">
        <v>46129</v>
      </c>
      <c r="D4" s="436">
        <v>46142</v>
      </c>
      <c r="E4" s="325" t="s">
        <v>319</v>
      </c>
      <c r="F4" s="325" t="s">
        <v>325</v>
      </c>
      <c r="G4" s="325">
        <v>52478</v>
      </c>
      <c r="H4" s="436" t="s">
        <v>279</v>
      </c>
      <c r="I4" s="436" t="s">
        <v>274</v>
      </c>
      <c r="J4" s="325">
        <v>8</v>
      </c>
      <c r="K4" s="325">
        <v>8</v>
      </c>
      <c r="L4" s="325">
        <v>40</v>
      </c>
      <c r="M4" s="436">
        <v>46129</v>
      </c>
      <c r="N4" s="436">
        <v>46140</v>
      </c>
      <c r="O4" s="436" t="s">
        <v>13</v>
      </c>
      <c r="P4" s="436" t="s">
        <v>272</v>
      </c>
      <c r="Q4" s="436" t="s">
        <v>281</v>
      </c>
      <c r="R4" s="436" t="s">
        <v>281</v>
      </c>
      <c r="S4" s="436" t="s">
        <v>281</v>
      </c>
      <c r="T4" s="480" t="s">
        <v>282</v>
      </c>
      <c r="U4" s="436">
        <v>46140</v>
      </c>
      <c r="V4" s="436"/>
      <c r="W4" s="436" t="s">
        <v>283</v>
      </c>
      <c r="X4" s="436"/>
      <c r="Y4" s="436" t="s">
        <v>283</v>
      </c>
      <c r="Z4" s="436"/>
      <c r="AA4" s="436"/>
      <c r="AB4" s="436"/>
      <c r="AC4" s="436"/>
      <c r="AD4" s="436" t="s">
        <v>326</v>
      </c>
      <c r="AE4" s="325"/>
    </row>
    <row r="5" spans="1:31" ht="39" customHeight="1">
      <c r="A5" s="83">
        <v>4</v>
      </c>
      <c r="B5" s="507" t="s">
        <v>5</v>
      </c>
      <c r="C5" s="436">
        <v>46129</v>
      </c>
      <c r="D5" s="436">
        <v>46142</v>
      </c>
      <c r="E5" s="325" t="s">
        <v>327</v>
      </c>
      <c r="F5" s="325" t="s">
        <v>287</v>
      </c>
      <c r="G5" s="325">
        <v>52610</v>
      </c>
      <c r="H5" s="436" t="s">
        <v>328</v>
      </c>
      <c r="I5" s="511" t="s">
        <v>280</v>
      </c>
      <c r="J5" s="325">
        <v>8</v>
      </c>
      <c r="K5" s="325">
        <v>8</v>
      </c>
      <c r="L5" s="325">
        <v>40</v>
      </c>
      <c r="M5" s="436">
        <v>46129</v>
      </c>
      <c r="N5" s="436">
        <v>46140</v>
      </c>
      <c r="O5" s="436" t="s">
        <v>13</v>
      </c>
      <c r="P5" s="436" t="s">
        <v>329</v>
      </c>
      <c r="Q5" s="436" t="s">
        <v>281</v>
      </c>
      <c r="R5" s="436" t="s">
        <v>281</v>
      </c>
      <c r="S5" s="436" t="s">
        <v>281</v>
      </c>
      <c r="T5" s="480" t="s">
        <v>330</v>
      </c>
      <c r="U5" s="436">
        <v>46139</v>
      </c>
      <c r="V5" s="436">
        <v>46140</v>
      </c>
      <c r="W5" s="436" t="s">
        <v>288</v>
      </c>
      <c r="X5" s="436"/>
      <c r="Y5" s="436" t="s">
        <v>288</v>
      </c>
      <c r="Z5" s="436">
        <v>46140</v>
      </c>
      <c r="AA5" s="436" t="s">
        <v>281</v>
      </c>
      <c r="AB5" s="436" t="s">
        <v>281</v>
      </c>
      <c r="AC5" s="436"/>
      <c r="AD5" s="436"/>
      <c r="AE5" s="325" t="s">
        <v>284</v>
      </c>
    </row>
    <row r="6" spans="1:31" ht="31.5" customHeight="1">
      <c r="A6" s="83">
        <v>5</v>
      </c>
      <c r="B6" s="325" t="s">
        <v>5</v>
      </c>
      <c r="C6" s="436">
        <v>46129</v>
      </c>
      <c r="D6" s="436">
        <v>46142</v>
      </c>
      <c r="E6" s="325" t="s">
        <v>315</v>
      </c>
      <c r="F6" s="325" t="s">
        <v>275</v>
      </c>
      <c r="G6" s="325">
        <v>27107</v>
      </c>
      <c r="H6" s="436" t="s">
        <v>331</v>
      </c>
      <c r="I6" s="511" t="s">
        <v>295</v>
      </c>
      <c r="J6" s="325">
        <v>2</v>
      </c>
      <c r="K6" s="325">
        <v>1</v>
      </c>
      <c r="L6" s="325">
        <v>4</v>
      </c>
      <c r="M6" s="436">
        <v>46141</v>
      </c>
      <c r="N6" s="436">
        <v>46141</v>
      </c>
      <c r="O6" s="436" t="s">
        <v>13</v>
      </c>
      <c r="P6" s="436" t="s">
        <v>332</v>
      </c>
      <c r="Q6" s="436" t="s">
        <v>281</v>
      </c>
      <c r="R6" s="436" t="s">
        <v>332</v>
      </c>
      <c r="S6" s="436" t="s">
        <v>281</v>
      </c>
      <c r="T6" s="480" t="s">
        <v>333</v>
      </c>
      <c r="U6" s="436">
        <v>46141</v>
      </c>
      <c r="V6" s="436">
        <v>46141</v>
      </c>
      <c r="W6" s="436" t="s">
        <v>287</v>
      </c>
      <c r="X6" s="436"/>
      <c r="Y6" s="436" t="s">
        <v>288</v>
      </c>
      <c r="Z6" s="436">
        <v>46141</v>
      </c>
      <c r="AA6" s="436" t="s">
        <v>281</v>
      </c>
      <c r="AB6" s="436" t="s">
        <v>281</v>
      </c>
      <c r="AC6" s="436"/>
      <c r="AD6" s="436"/>
      <c r="AE6" s="325"/>
    </row>
    <row r="7" spans="1:31" ht="31.5" customHeight="1">
      <c r="A7" s="436"/>
      <c r="B7" s="436"/>
      <c r="C7" s="436"/>
      <c r="D7" s="436"/>
      <c r="E7" s="436"/>
      <c r="F7" s="436"/>
      <c r="G7" s="436"/>
      <c r="H7" s="436"/>
      <c r="I7" s="436"/>
      <c r="J7" s="436"/>
      <c r="K7" s="436"/>
      <c r="L7" s="436"/>
      <c r="M7" s="436"/>
      <c r="O7" s="436"/>
      <c r="P7" s="436"/>
      <c r="Q7" s="436"/>
      <c r="R7" s="436"/>
      <c r="S7" s="436"/>
      <c r="T7" s="436"/>
      <c r="U7" s="436"/>
      <c r="V7" s="436"/>
      <c r="W7" s="436"/>
      <c r="X7" s="436"/>
      <c r="Y7" s="436"/>
      <c r="Z7" s="436"/>
      <c r="AA7" s="436"/>
      <c r="AB7" s="436"/>
      <c r="AC7" s="436"/>
      <c r="AD7" s="436"/>
      <c r="AE7" s="436"/>
    </row>
    <row r="8" spans="1:31" ht="31.5" customHeight="1">
      <c r="A8" s="436"/>
      <c r="B8" s="436"/>
      <c r="C8" s="436"/>
      <c r="D8" s="436"/>
      <c r="E8" s="436"/>
      <c r="F8" s="436"/>
      <c r="G8" s="436"/>
      <c r="H8" s="436"/>
      <c r="I8" s="436"/>
      <c r="J8" s="436"/>
      <c r="K8" s="436"/>
      <c r="L8" s="436"/>
      <c r="M8" s="436"/>
      <c r="N8" s="436"/>
      <c r="O8" s="436"/>
      <c r="P8" s="436"/>
      <c r="Q8" s="436"/>
      <c r="R8" s="436"/>
      <c r="S8" s="436"/>
      <c r="T8" s="436"/>
      <c r="U8" s="436"/>
      <c r="V8" s="436"/>
      <c r="W8" s="436"/>
      <c r="X8" s="436"/>
      <c r="Y8" s="436"/>
      <c r="Z8" s="436"/>
      <c r="AA8" s="436"/>
      <c r="AB8" s="436"/>
      <c r="AC8" s="436"/>
      <c r="AD8" s="436"/>
      <c r="AE8" s="436"/>
    </row>
    <row r="9" spans="1:31" ht="31.5" customHeight="1">
      <c r="A9" s="436"/>
      <c r="B9" s="436"/>
      <c r="C9" s="436"/>
      <c r="D9" s="436"/>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row>
    <row r="10" spans="1:31" ht="31.5" customHeight="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row>
    <row r="11" spans="1:31" ht="31.5" customHeight="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c r="AE11" s="436"/>
    </row>
    <row r="12" spans="1:31" ht="31.5" customHeight="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1" ht="31.5" customHeight="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1" ht="31.5" customHeight="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1" ht="31.5" customHeight="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1" ht="31.5" customHeight="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ht="31.5" customHeight="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ht="31.5" customHeight="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ht="31.5" customHeight="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ht="31.5" customHeight="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ht="31.5"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ht="31.5" customHeight="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ht="31.5" customHeight="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ht="31.5" customHeight="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row>
    <row r="25" spans="1:31" ht="31.5" customHeight="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row>
    <row r="26" spans="1:31" ht="31.5" customHeight="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row>
    <row r="27" spans="1:31" ht="31.5" customHeight="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row>
    <row r="28" spans="1:31" ht="31.5" customHeight="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row>
    <row r="29" spans="1:31" ht="31.5" customHeight="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row>
    <row r="30" spans="1:31" ht="31.5" customHeight="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row>
    <row r="31" spans="1:31" ht="31.5" customHeight="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1" ht="31.5" customHeight="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ht="31.5" customHeight="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ht="31.5" customHeight="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ht="31.5" customHeight="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ht="31.5" customHeight="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ht="31.5" customHeight="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ht="31.5" customHeight="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ht="31.5" customHeight="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ht="31.5" customHeight="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ht="31.5" customHeight="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sheetData>
  <hyperlinks>
    <hyperlink ref="T2" r:id="rId1" xr:uid="{A520AE5E-5CD6-43A7-8D84-3917B931CB0F}"/>
    <hyperlink ref="T4" r:id="rId2" xr:uid="{62DC6E25-5F91-4FF4-9C1E-60471C1765EC}"/>
    <hyperlink ref="T6" r:id="rId3" xr:uid="{E2207155-1655-4542-B2ED-C059FED7D07F}"/>
    <hyperlink ref="T3" r:id="rId4" xr:uid="{C40C4DEC-1146-4113-8715-CF39B6D2A8D6}"/>
    <hyperlink ref="T5" r:id="rId5" xr:uid="{55B8EB67-D96C-441A-B8D7-C809446825E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8B328F8-CC76-40C9-8E01-08AD9FECA867}">
          <x14:formula1>
            <xm:f>Settings!$C$3:$C$20</xm:f>
          </x14:formula1>
          <xm:sqref>I2:I6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8B749-8C51-4D63-85C5-6BC119279A3F}">
  <dimension ref="A1:M4"/>
  <sheetViews>
    <sheetView topLeftCell="F1" workbookViewId="0">
      <selection activeCell="A2" sqref="A2"/>
    </sheetView>
  </sheetViews>
  <sheetFormatPr defaultRowHeight="12.75"/>
  <cols>
    <col min="1" max="1" width="22.28515625" style="70" customWidth="1"/>
    <col min="2" max="2" width="13.85546875" style="70" customWidth="1"/>
    <col min="3" max="3" width="9.7109375" style="70" customWidth="1"/>
    <col min="4" max="4" width="20.28515625" style="70" customWidth="1"/>
    <col min="5" max="5" width="13.85546875" style="70" customWidth="1"/>
    <col min="6" max="6" width="49.85546875" style="70" customWidth="1"/>
    <col min="7" max="8" width="9.140625" style="70" bestFit="1" customWidth="1"/>
    <col min="9" max="9" width="18.7109375" style="70" customWidth="1"/>
    <col min="10" max="10" width="19.85546875" style="70" customWidth="1"/>
    <col min="11" max="11" width="25.7109375" style="70" customWidth="1"/>
    <col min="12" max="12" width="15.7109375" style="70" customWidth="1"/>
    <col min="13" max="13" width="64.28515625" style="70" customWidth="1"/>
    <col min="14" max="16384" width="9.140625" style="70"/>
  </cols>
  <sheetData>
    <row r="1" spans="1:13" ht="24">
      <c r="A1" s="184" t="s">
        <v>11</v>
      </c>
      <c r="B1" s="184" t="s">
        <v>297</v>
      </c>
      <c r="C1" s="184" t="s">
        <v>298</v>
      </c>
      <c r="D1" s="184" t="s">
        <v>245</v>
      </c>
      <c r="E1" s="184" t="s">
        <v>299</v>
      </c>
      <c r="F1" s="184" t="s">
        <v>300</v>
      </c>
      <c r="G1" s="184" t="s">
        <v>301</v>
      </c>
      <c r="H1" s="184" t="s">
        <v>302</v>
      </c>
      <c r="I1" s="184" t="s">
        <v>303</v>
      </c>
      <c r="J1" s="184" t="s">
        <v>304</v>
      </c>
      <c r="K1" s="184" t="s">
        <v>248</v>
      </c>
      <c r="L1" s="499" t="s">
        <v>305</v>
      </c>
      <c r="M1" s="500" t="s">
        <v>306</v>
      </c>
    </row>
    <row r="2" spans="1:13" s="502" customFormat="1" ht="72.75" customHeight="1">
      <c r="A2" s="325" t="s">
        <v>319</v>
      </c>
      <c r="B2" s="325">
        <v>52621</v>
      </c>
      <c r="D2" s="325" t="s">
        <v>230</v>
      </c>
      <c r="E2" s="67"/>
      <c r="F2" s="510" t="s">
        <v>334</v>
      </c>
      <c r="G2" s="67" t="s">
        <v>335</v>
      </c>
      <c r="H2" s="67" t="s">
        <v>336</v>
      </c>
      <c r="I2" s="67" t="s">
        <v>311</v>
      </c>
      <c r="J2" s="67" t="s">
        <v>337</v>
      </c>
      <c r="K2" s="67" t="s">
        <v>338</v>
      </c>
      <c r="L2" s="67" t="s">
        <v>313</v>
      </c>
      <c r="M2" s="86" t="s">
        <v>339</v>
      </c>
    </row>
    <row r="3" spans="1:13" s="502" customFormat="1" ht="27" customHeight="1">
      <c r="A3" s="392"/>
      <c r="B3" s="318"/>
      <c r="C3" s="392"/>
      <c r="D3" s="392"/>
      <c r="E3" s="67"/>
      <c r="F3" s="503"/>
      <c r="G3" s="67"/>
      <c r="H3" s="67"/>
      <c r="I3" s="67"/>
      <c r="J3" s="67"/>
      <c r="K3" s="67"/>
      <c r="L3" s="67"/>
      <c r="M3" s="503"/>
    </row>
    <row r="4" spans="1:13" ht="26.25" customHeight="1">
      <c r="A4" s="392"/>
      <c r="B4" s="318"/>
      <c r="C4" s="318"/>
      <c r="D4" s="318"/>
      <c r="E4" s="67"/>
      <c r="F4" s="502"/>
      <c r="G4" s="67"/>
      <c r="H4" s="67"/>
      <c r="I4" s="67"/>
      <c r="J4" s="67"/>
      <c r="K4" s="67"/>
      <c r="L4" s="6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E6B8B-299A-4462-9633-8F5FF22F9273}">
  <dimension ref="A1:AE43"/>
  <sheetViews>
    <sheetView workbookViewId="0">
      <selection activeCell="H7" sqref="H7"/>
    </sheetView>
  </sheetViews>
  <sheetFormatPr defaultRowHeight="31.5" customHeight="1"/>
  <cols>
    <col min="1" max="1" width="9.85546875" customWidth="1"/>
    <col min="2" max="2" width="14.5703125" customWidth="1"/>
    <col min="3" max="3" width="16.85546875" customWidth="1"/>
    <col min="4" max="4" width="14.85546875" customWidth="1"/>
    <col min="5" max="5" width="33.85546875" style="48" customWidth="1"/>
    <col min="6" max="6" width="17.42578125" customWidth="1"/>
    <col min="7" max="7" width="19.140625" style="46" customWidth="1"/>
    <col min="8" max="8" width="49" customWidth="1"/>
    <col min="9" max="9" width="27.7109375" customWidth="1"/>
    <col min="10" max="10" width="13.42578125" customWidth="1"/>
    <col min="11" max="11" width="11.28515625" customWidth="1"/>
    <col min="12" max="12" width="10.140625"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3" width="9.140625" bestFit="1" customWidth="1"/>
    <col min="24" max="24" width="23.42578125" customWidth="1"/>
    <col min="25" max="25" width="9.140625" bestFit="1" customWidth="1"/>
    <col min="26" max="26" width="12.28515625" customWidth="1"/>
    <col min="27" max="27" width="16.28515625" customWidth="1"/>
    <col min="28" max="28" width="20.28515625" customWidth="1"/>
    <col min="29" max="29" width="28.28515625" customWidth="1"/>
    <col min="30" max="30" width="42.7109375" customWidth="1"/>
    <col min="31" max="31" width="34.28515625" customWidth="1"/>
  </cols>
  <sheetData>
    <row r="1" spans="1:31" ht="62.25" customHeight="1">
      <c r="A1" s="433" t="s">
        <v>243</v>
      </c>
      <c r="B1" s="433" t="s">
        <v>4</v>
      </c>
      <c r="C1" s="433" t="s">
        <v>2</v>
      </c>
      <c r="D1" s="433" t="s">
        <v>3</v>
      </c>
      <c r="E1" s="433" t="s">
        <v>244</v>
      </c>
      <c r="F1" s="433" t="s">
        <v>245</v>
      </c>
      <c r="G1" s="433" t="s">
        <v>246</v>
      </c>
      <c r="H1" s="433"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31.5" customHeight="1">
      <c r="A2" s="371">
        <v>1</v>
      </c>
      <c r="B2" s="325" t="s">
        <v>5</v>
      </c>
      <c r="C2" s="436">
        <v>46115</v>
      </c>
      <c r="D2" s="436">
        <v>46128</v>
      </c>
      <c r="E2" s="325" t="s">
        <v>340</v>
      </c>
      <c r="F2" s="325" t="s">
        <v>275</v>
      </c>
      <c r="G2" s="325">
        <v>52850</v>
      </c>
      <c r="H2" s="325" t="s">
        <v>341</v>
      </c>
      <c r="I2" s="506" t="s">
        <v>280</v>
      </c>
      <c r="J2" s="325">
        <v>8</v>
      </c>
      <c r="K2" s="325">
        <v>8</v>
      </c>
      <c r="L2" s="325">
        <v>32</v>
      </c>
      <c r="M2" s="436">
        <v>46115</v>
      </c>
      <c r="N2" s="436">
        <v>46126</v>
      </c>
      <c r="O2" s="436" t="s">
        <v>342</v>
      </c>
      <c r="P2" s="436" t="s">
        <v>272</v>
      </c>
      <c r="Q2" s="436" t="s">
        <v>281</v>
      </c>
      <c r="R2" s="436" t="s">
        <v>287</v>
      </c>
      <c r="S2" s="436" t="s">
        <v>281</v>
      </c>
      <c r="T2" s="480" t="s">
        <v>343</v>
      </c>
      <c r="U2" s="436">
        <v>46126</v>
      </c>
      <c r="V2" s="436">
        <v>46126</v>
      </c>
      <c r="W2" s="436" t="s">
        <v>287</v>
      </c>
      <c r="X2" s="436" t="s">
        <v>281</v>
      </c>
      <c r="Y2" s="436" t="s">
        <v>322</v>
      </c>
      <c r="Z2" s="436">
        <v>46126</v>
      </c>
      <c r="AA2" s="436" t="s">
        <v>281</v>
      </c>
      <c r="AB2" s="436" t="s">
        <v>281</v>
      </c>
      <c r="AC2" s="436" t="s">
        <v>344</v>
      </c>
      <c r="AD2" s="436"/>
      <c r="AE2" s="325" t="s">
        <v>284</v>
      </c>
    </row>
    <row r="3" spans="1:31" ht="31.5" customHeight="1">
      <c r="A3" s="299">
        <v>2</v>
      </c>
      <c r="B3" s="507" t="s">
        <v>5</v>
      </c>
      <c r="C3" s="436">
        <v>46115</v>
      </c>
      <c r="D3" s="436">
        <v>46128</v>
      </c>
      <c r="E3" s="325" t="s">
        <v>340</v>
      </c>
      <c r="F3" s="325" t="s">
        <v>230</v>
      </c>
      <c r="G3" s="325">
        <v>52222</v>
      </c>
      <c r="H3" s="436" t="s">
        <v>345</v>
      </c>
      <c r="I3" s="506" t="s">
        <v>280</v>
      </c>
      <c r="J3" s="325">
        <v>5</v>
      </c>
      <c r="K3" s="325">
        <v>5</v>
      </c>
      <c r="L3" s="325">
        <v>42</v>
      </c>
      <c r="M3" s="436">
        <v>46106</v>
      </c>
      <c r="N3" s="436">
        <v>46121</v>
      </c>
      <c r="O3" s="436" t="s">
        <v>342</v>
      </c>
      <c r="P3" s="436" t="s">
        <v>329</v>
      </c>
      <c r="Q3" s="436" t="s">
        <v>281</v>
      </c>
      <c r="R3" s="436" t="s">
        <v>275</v>
      </c>
      <c r="S3" s="436" t="s">
        <v>281</v>
      </c>
      <c r="T3" s="480" t="s">
        <v>346</v>
      </c>
      <c r="U3" s="436">
        <v>46125</v>
      </c>
      <c r="V3" s="436">
        <v>46125</v>
      </c>
      <c r="W3" s="436" t="s">
        <v>287</v>
      </c>
      <c r="X3" s="436" t="s">
        <v>281</v>
      </c>
      <c r="Y3" s="436" t="s">
        <v>288</v>
      </c>
      <c r="Z3" s="436">
        <v>46125</v>
      </c>
      <c r="AA3" s="436" t="s">
        <v>281</v>
      </c>
      <c r="AB3" s="436" t="s">
        <v>281</v>
      </c>
      <c r="AC3" s="436" t="s">
        <v>347</v>
      </c>
      <c r="AD3" s="436"/>
      <c r="AE3" s="325" t="s">
        <v>284</v>
      </c>
    </row>
    <row r="4" spans="1:31" ht="31.5" customHeight="1">
      <c r="A4" s="83">
        <v>3</v>
      </c>
      <c r="B4" s="507" t="s">
        <v>5</v>
      </c>
      <c r="C4" s="436">
        <v>46115</v>
      </c>
      <c r="D4" s="436">
        <v>46128</v>
      </c>
      <c r="E4" s="325" t="s">
        <v>340</v>
      </c>
      <c r="F4" s="325" t="s">
        <v>287</v>
      </c>
      <c r="G4" s="325">
        <v>52568</v>
      </c>
      <c r="H4" s="436" t="s">
        <v>348</v>
      </c>
      <c r="I4" s="506" t="s">
        <v>280</v>
      </c>
      <c r="J4" s="325">
        <v>3</v>
      </c>
      <c r="K4" s="325">
        <v>3</v>
      </c>
      <c r="L4" s="325">
        <v>12</v>
      </c>
      <c r="M4" s="436">
        <v>46115</v>
      </c>
      <c r="N4" s="436">
        <v>46122</v>
      </c>
      <c r="O4" s="436" t="s">
        <v>342</v>
      </c>
      <c r="P4" s="436" t="s">
        <v>329</v>
      </c>
      <c r="Q4" s="436" t="s">
        <v>281</v>
      </c>
      <c r="R4" s="436" t="s">
        <v>275</v>
      </c>
      <c r="S4" s="436" t="s">
        <v>281</v>
      </c>
      <c r="T4" s="480" t="s">
        <v>349</v>
      </c>
      <c r="U4" s="436">
        <v>46123</v>
      </c>
      <c r="V4" s="436">
        <v>46123</v>
      </c>
      <c r="W4" s="436" t="s">
        <v>288</v>
      </c>
      <c r="X4" s="436" t="s">
        <v>281</v>
      </c>
      <c r="Y4" s="436" t="s">
        <v>288</v>
      </c>
      <c r="Z4" s="436">
        <v>46123</v>
      </c>
      <c r="AA4" s="436" t="s">
        <v>281</v>
      </c>
      <c r="AB4" s="436" t="s">
        <v>281</v>
      </c>
      <c r="AC4" s="436" t="s">
        <v>281</v>
      </c>
      <c r="AD4" s="436"/>
      <c r="AE4" s="325"/>
    </row>
    <row r="5" spans="1:31" ht="31.5" customHeight="1">
      <c r="A5" s="83">
        <v>4</v>
      </c>
      <c r="B5" s="507" t="s">
        <v>5</v>
      </c>
      <c r="C5" s="436">
        <v>46115</v>
      </c>
      <c r="D5" s="436">
        <v>46128</v>
      </c>
      <c r="E5" s="325" t="s">
        <v>350</v>
      </c>
      <c r="F5" s="325" t="s">
        <v>325</v>
      </c>
      <c r="G5" s="325">
        <v>52478</v>
      </c>
      <c r="H5" s="436" t="s">
        <v>279</v>
      </c>
      <c r="I5" s="436" t="s">
        <v>274</v>
      </c>
      <c r="J5" s="325">
        <v>8</v>
      </c>
      <c r="K5" s="325"/>
      <c r="L5" s="325">
        <v>8</v>
      </c>
      <c r="M5" s="436">
        <v>46115</v>
      </c>
      <c r="N5" s="436"/>
      <c r="O5" s="436"/>
      <c r="P5" s="436"/>
      <c r="Q5" s="436"/>
      <c r="R5" s="436"/>
      <c r="S5" s="436"/>
      <c r="T5" s="480"/>
      <c r="U5" s="436"/>
      <c r="V5" s="436"/>
      <c r="W5" s="436"/>
      <c r="X5" s="436"/>
      <c r="Y5" s="436"/>
      <c r="Z5" s="436"/>
      <c r="AA5" s="436"/>
      <c r="AB5" s="436"/>
      <c r="AC5" s="436"/>
      <c r="AD5" s="436"/>
      <c r="AE5" s="325"/>
    </row>
    <row r="6" spans="1:31" ht="31.5" customHeight="1">
      <c r="A6" s="83">
        <v>5</v>
      </c>
      <c r="B6" s="507" t="s">
        <v>5</v>
      </c>
      <c r="C6" s="436">
        <v>46115</v>
      </c>
      <c r="D6" s="436">
        <v>46128</v>
      </c>
      <c r="E6" s="325" t="s">
        <v>351</v>
      </c>
      <c r="F6" s="325" t="s">
        <v>287</v>
      </c>
      <c r="G6" s="325">
        <v>52610</v>
      </c>
      <c r="H6" s="436" t="s">
        <v>328</v>
      </c>
      <c r="I6" s="436" t="s">
        <v>274</v>
      </c>
      <c r="J6" s="325">
        <v>8</v>
      </c>
      <c r="K6" s="325"/>
      <c r="L6" s="325"/>
      <c r="M6" s="436">
        <v>46115</v>
      </c>
      <c r="N6" s="436"/>
      <c r="O6" s="436"/>
      <c r="P6" s="436"/>
      <c r="Q6" s="436"/>
      <c r="R6" s="436"/>
      <c r="S6" s="436"/>
      <c r="T6" s="480"/>
      <c r="U6" s="436"/>
      <c r="V6" s="436"/>
      <c r="W6" s="436"/>
      <c r="X6" s="436"/>
      <c r="Y6" s="436"/>
      <c r="Z6" s="436"/>
      <c r="AA6" s="436"/>
      <c r="AB6" s="436"/>
      <c r="AC6" s="436"/>
      <c r="AD6" s="436"/>
      <c r="AE6" s="325"/>
    </row>
    <row r="7" spans="1:31" ht="31.5" customHeight="1">
      <c r="A7" s="83">
        <v>6</v>
      </c>
      <c r="B7" s="507" t="s">
        <v>5</v>
      </c>
      <c r="C7" s="436">
        <v>46115</v>
      </c>
      <c r="D7" s="436">
        <v>46128</v>
      </c>
      <c r="E7" s="325" t="s">
        <v>350</v>
      </c>
      <c r="F7" s="436" t="s">
        <v>230</v>
      </c>
      <c r="G7" s="325">
        <v>27191</v>
      </c>
      <c r="H7" s="436" t="s">
        <v>352</v>
      </c>
      <c r="I7" s="506" t="s">
        <v>295</v>
      </c>
      <c r="J7" s="325">
        <v>2</v>
      </c>
      <c r="K7" s="325">
        <v>1</v>
      </c>
      <c r="L7" s="325">
        <v>6</v>
      </c>
      <c r="M7" s="436">
        <v>46126</v>
      </c>
      <c r="N7" s="436">
        <v>46126</v>
      </c>
      <c r="O7" s="436" t="s">
        <v>342</v>
      </c>
      <c r="P7" s="436" t="s">
        <v>272</v>
      </c>
      <c r="Q7" s="436" t="s">
        <v>281</v>
      </c>
      <c r="R7" s="436" t="s">
        <v>275</v>
      </c>
      <c r="S7" s="436" t="s">
        <v>281</v>
      </c>
      <c r="T7" s="480" t="s">
        <v>353</v>
      </c>
      <c r="U7" s="436">
        <v>46127</v>
      </c>
      <c r="V7" s="436">
        <v>46127</v>
      </c>
      <c r="W7" s="436" t="s">
        <v>287</v>
      </c>
      <c r="X7" s="436" t="s">
        <v>281</v>
      </c>
      <c r="Y7" s="436" t="s">
        <v>322</v>
      </c>
      <c r="Z7" s="436">
        <v>46127</v>
      </c>
      <c r="AA7" s="436" t="s">
        <v>281</v>
      </c>
      <c r="AB7" s="436" t="s">
        <v>281</v>
      </c>
      <c r="AC7" s="436" t="s">
        <v>281</v>
      </c>
      <c r="AD7" s="436"/>
      <c r="AE7" s="325" t="s">
        <v>284</v>
      </c>
    </row>
    <row r="8" spans="1:31" ht="31.5" customHeight="1">
      <c r="A8" s="83">
        <v>7</v>
      </c>
      <c r="B8" s="507" t="s">
        <v>5</v>
      </c>
      <c r="C8" s="436">
        <v>46115</v>
      </c>
      <c r="D8" s="436">
        <v>46128</v>
      </c>
      <c r="E8" s="325" t="s">
        <v>350</v>
      </c>
      <c r="F8" s="436" t="s">
        <v>275</v>
      </c>
      <c r="G8" s="325">
        <v>27205</v>
      </c>
      <c r="H8" s="436" t="s">
        <v>354</v>
      </c>
      <c r="I8" s="506" t="s">
        <v>295</v>
      </c>
      <c r="J8" s="325">
        <v>2</v>
      </c>
      <c r="K8" s="325">
        <v>2</v>
      </c>
      <c r="L8" s="325">
        <v>8</v>
      </c>
      <c r="M8" s="436">
        <v>46127</v>
      </c>
      <c r="N8" s="436">
        <v>46127</v>
      </c>
      <c r="O8" s="436" t="s">
        <v>342</v>
      </c>
      <c r="P8" s="436" t="s">
        <v>272</v>
      </c>
      <c r="Q8" s="436" t="s">
        <v>281</v>
      </c>
      <c r="R8" s="436" t="s">
        <v>275</v>
      </c>
      <c r="S8" s="436" t="s">
        <v>281</v>
      </c>
      <c r="T8" s="480" t="s">
        <v>355</v>
      </c>
      <c r="U8" s="436">
        <v>46127</v>
      </c>
      <c r="V8" s="436">
        <v>46127</v>
      </c>
      <c r="W8" s="436" t="s">
        <v>287</v>
      </c>
      <c r="X8" s="436" t="s">
        <v>281</v>
      </c>
      <c r="Y8" s="436" t="s">
        <v>322</v>
      </c>
      <c r="Z8" s="436">
        <v>46127</v>
      </c>
      <c r="AA8" s="436" t="s">
        <v>281</v>
      </c>
      <c r="AB8" s="436" t="s">
        <v>281</v>
      </c>
      <c r="AC8" s="436" t="s">
        <v>281</v>
      </c>
      <c r="AD8" s="436"/>
      <c r="AE8" s="325"/>
    </row>
    <row r="9" spans="1:31" ht="31.5" customHeight="1">
      <c r="A9" s="325">
        <v>8</v>
      </c>
      <c r="B9" s="507" t="s">
        <v>5</v>
      </c>
      <c r="C9" s="436">
        <v>46115</v>
      </c>
      <c r="D9" s="436">
        <v>46128</v>
      </c>
      <c r="E9" s="325" t="s">
        <v>350</v>
      </c>
      <c r="F9" s="436" t="s">
        <v>230</v>
      </c>
      <c r="G9" s="325">
        <v>52621</v>
      </c>
      <c r="H9" s="436" t="s">
        <v>320</v>
      </c>
      <c r="I9" s="436" t="s">
        <v>274</v>
      </c>
      <c r="J9" s="325">
        <v>13</v>
      </c>
      <c r="K9" s="436"/>
      <c r="L9" s="436"/>
      <c r="M9" s="436">
        <v>46127</v>
      </c>
      <c r="N9" s="436"/>
      <c r="O9" s="436"/>
      <c r="P9" s="436"/>
      <c r="Q9" s="436"/>
      <c r="R9" s="436"/>
      <c r="S9" s="436"/>
      <c r="T9" s="436"/>
      <c r="U9" s="436"/>
      <c r="V9" s="436"/>
      <c r="W9" s="436"/>
      <c r="X9" s="436"/>
      <c r="Y9" s="436"/>
      <c r="Z9" s="436"/>
      <c r="AA9" s="436"/>
      <c r="AB9" s="436"/>
      <c r="AC9" s="436"/>
      <c r="AD9" s="436"/>
      <c r="AE9" s="436"/>
    </row>
    <row r="10" spans="1:31" ht="31.5" customHeight="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row>
    <row r="11" spans="1:31" ht="31.5" customHeight="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c r="AE11" s="436"/>
    </row>
    <row r="12" spans="1:31" ht="31.5" customHeight="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1" ht="31.5" customHeight="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1" ht="31.5" customHeight="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1" ht="31.5" customHeight="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1" ht="31.5" customHeight="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ht="31.5" customHeight="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ht="31.5" customHeight="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ht="31.5" customHeight="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ht="31.5" customHeight="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ht="31.5"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ht="31.5" customHeight="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ht="31.5" customHeight="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ht="31.5" customHeight="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row>
    <row r="25" spans="1:31" ht="31.5" customHeight="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c r="AE25" s="436"/>
    </row>
    <row r="26" spans="1:31" ht="31.5" customHeight="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row>
    <row r="27" spans="1:31" ht="31.5" customHeight="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row>
    <row r="28" spans="1:31" ht="31.5" customHeight="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row>
    <row r="29" spans="1:31" ht="31.5" customHeight="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row>
    <row r="30" spans="1:31" ht="31.5" customHeight="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row>
    <row r="31" spans="1:31" ht="31.5" customHeight="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1" ht="31.5" customHeight="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ht="31.5" customHeight="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ht="31.5" customHeight="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ht="31.5" customHeight="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ht="31.5" customHeight="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ht="31.5" customHeight="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ht="31.5" customHeight="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ht="31.5" customHeight="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ht="31.5" customHeight="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ht="31.5" customHeight="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0" ht="31.5" customHeight="1">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0" ht="31.5" customHeight="1">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sheetData>
  <hyperlinks>
    <hyperlink ref="T3" r:id="rId1" xr:uid="{E86BC537-A10C-45C1-8E0B-F428C4C053F9}"/>
    <hyperlink ref="T4" r:id="rId2" xr:uid="{5336096D-DEA9-4B40-9448-331A209C2B3F}"/>
    <hyperlink ref="T7" r:id="rId3" xr:uid="{88199213-49FC-4194-BB59-FB8E23721AB0}"/>
    <hyperlink ref="T2" r:id="rId4" xr:uid="{703D2C7D-EE51-44A2-B3BC-CEB9B1DE4E39}"/>
    <hyperlink ref="T8" r:id="rId5" xr:uid="{27FA273C-2EF7-4173-9ED6-B08FA1EA169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E7B4D10-C545-4DB6-9953-7B4067BBF35C}">
          <x14:formula1>
            <xm:f>Settings!$C$3:$C$20</xm:f>
          </x14:formula1>
          <xm:sqref>I2:I9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A25CC-FA8E-4876-8760-E497EF5F32CE}">
  <dimension ref="A1:AE43"/>
  <sheetViews>
    <sheetView workbookViewId="0">
      <selection activeCell="AE2" sqref="AE2"/>
    </sheetView>
  </sheetViews>
  <sheetFormatPr defaultRowHeight="31.5" customHeight="1"/>
  <cols>
    <col min="1" max="1" width="9.85546875" customWidth="1"/>
    <col min="2" max="2" width="14.5703125" customWidth="1"/>
    <col min="3" max="3" width="16.85546875" customWidth="1"/>
    <col min="4" max="4" width="14.85546875" customWidth="1"/>
    <col min="5" max="5" width="33.85546875" style="48" customWidth="1"/>
    <col min="6" max="6" width="17.42578125" customWidth="1"/>
    <col min="7" max="7" width="19.140625" style="46" customWidth="1"/>
    <col min="8" max="8" width="49" customWidth="1"/>
    <col min="9" max="9" width="27.7109375" customWidth="1"/>
    <col min="10" max="10" width="13.42578125" customWidth="1"/>
    <col min="11" max="11" width="11.28515625" customWidth="1"/>
    <col min="12" max="12" width="10.140625"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3" width="9.140625" bestFit="1" customWidth="1"/>
    <col min="24" max="24" width="23.42578125" customWidth="1"/>
    <col min="25" max="25" width="9.140625" bestFit="1" customWidth="1"/>
    <col min="26" max="26" width="12.28515625" customWidth="1"/>
    <col min="27" max="27" width="16.28515625" customWidth="1"/>
    <col min="28" max="28" width="20.28515625" customWidth="1"/>
    <col min="29" max="29" width="28.28515625" customWidth="1"/>
    <col min="30" max="30" width="42.7109375" customWidth="1"/>
    <col min="31" max="31" width="34.28515625" customWidth="1"/>
  </cols>
  <sheetData>
    <row r="1" spans="1:31" ht="62.25" customHeight="1">
      <c r="A1" s="433" t="s">
        <v>243</v>
      </c>
      <c r="B1" s="433" t="s">
        <v>4</v>
      </c>
      <c r="C1" s="433" t="s">
        <v>2</v>
      </c>
      <c r="D1" s="433" t="s">
        <v>3</v>
      </c>
      <c r="E1" s="433" t="s">
        <v>244</v>
      </c>
      <c r="F1" s="433" t="s">
        <v>245</v>
      </c>
      <c r="G1" s="433" t="s">
        <v>246</v>
      </c>
      <c r="H1" s="433"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31.5" customHeight="1">
      <c r="A2" s="325">
        <v>1</v>
      </c>
      <c r="B2" s="325" t="s">
        <v>5</v>
      </c>
      <c r="C2" s="436">
        <v>46101</v>
      </c>
      <c r="D2" s="436">
        <v>46114</v>
      </c>
      <c r="E2" s="325" t="s">
        <v>356</v>
      </c>
      <c r="F2" s="325" t="s">
        <v>275</v>
      </c>
      <c r="G2" s="325">
        <v>52041</v>
      </c>
      <c r="H2" s="436" t="s">
        <v>357</v>
      </c>
      <c r="I2" s="477" t="s">
        <v>280</v>
      </c>
      <c r="J2" s="325">
        <v>5</v>
      </c>
      <c r="K2" s="325">
        <v>4</v>
      </c>
      <c r="L2" s="325">
        <v>15</v>
      </c>
      <c r="M2" s="436">
        <v>46087</v>
      </c>
      <c r="N2" s="436">
        <v>46108</v>
      </c>
      <c r="O2" s="436" t="s">
        <v>342</v>
      </c>
      <c r="P2" s="436" t="s">
        <v>272</v>
      </c>
      <c r="Q2" s="436" t="s">
        <v>281</v>
      </c>
      <c r="R2" s="436" t="s">
        <v>287</v>
      </c>
      <c r="S2" s="436"/>
      <c r="T2" s="480" t="s">
        <v>358</v>
      </c>
      <c r="U2" s="436">
        <v>46111</v>
      </c>
      <c r="V2" s="436">
        <v>46111</v>
      </c>
      <c r="W2" s="436" t="s">
        <v>287</v>
      </c>
      <c r="X2" s="436" t="s">
        <v>281</v>
      </c>
      <c r="Y2" s="436" t="s">
        <v>322</v>
      </c>
      <c r="Z2" s="436">
        <v>46111</v>
      </c>
      <c r="AA2" s="436" t="s">
        <v>281</v>
      </c>
      <c r="AB2" s="436" t="s">
        <v>281</v>
      </c>
      <c r="AC2" s="436" t="s">
        <v>281</v>
      </c>
      <c r="AD2" s="436"/>
      <c r="AE2" s="325" t="s">
        <v>284</v>
      </c>
    </row>
    <row r="3" spans="1:31" ht="31.5" customHeight="1">
      <c r="A3" s="325">
        <v>2</v>
      </c>
      <c r="B3" s="325" t="s">
        <v>5</v>
      </c>
      <c r="C3" s="436">
        <v>46101</v>
      </c>
      <c r="D3" s="436">
        <v>46114</v>
      </c>
      <c r="E3" s="325" t="s">
        <v>356</v>
      </c>
      <c r="F3" s="325" t="s">
        <v>230</v>
      </c>
      <c r="G3" s="325">
        <v>52042</v>
      </c>
      <c r="H3" s="436" t="s">
        <v>359</v>
      </c>
      <c r="I3" s="477" t="s">
        <v>280</v>
      </c>
      <c r="J3" s="325">
        <v>5</v>
      </c>
      <c r="K3" s="325">
        <v>4</v>
      </c>
      <c r="L3" s="325">
        <v>16</v>
      </c>
      <c r="M3" s="436">
        <v>46087</v>
      </c>
      <c r="N3" s="436">
        <v>46105</v>
      </c>
      <c r="O3" s="436" t="s">
        <v>342</v>
      </c>
      <c r="P3" s="436" t="s">
        <v>272</v>
      </c>
      <c r="Q3" s="436" t="s">
        <v>281</v>
      </c>
      <c r="R3" s="436" t="s">
        <v>275</v>
      </c>
      <c r="S3" s="436" t="s">
        <v>360</v>
      </c>
      <c r="T3" s="480" t="s">
        <v>361</v>
      </c>
      <c r="U3" s="436">
        <v>46106</v>
      </c>
      <c r="V3" s="436">
        <v>46107</v>
      </c>
      <c r="W3" s="436" t="s">
        <v>288</v>
      </c>
      <c r="X3" s="436" t="s">
        <v>281</v>
      </c>
      <c r="Y3" s="436" t="s">
        <v>288</v>
      </c>
      <c r="Z3" s="436">
        <v>46107</v>
      </c>
      <c r="AA3" s="436" t="s">
        <v>281</v>
      </c>
      <c r="AB3" s="436" t="s">
        <v>281</v>
      </c>
      <c r="AC3" s="436" t="s">
        <v>281</v>
      </c>
      <c r="AD3" s="436"/>
      <c r="AE3" s="325" t="s">
        <v>284</v>
      </c>
    </row>
    <row r="4" spans="1:31" ht="31.5" customHeight="1">
      <c r="A4" s="48">
        <v>3</v>
      </c>
      <c r="B4" s="325" t="s">
        <v>5</v>
      </c>
      <c r="C4" s="436">
        <v>46101</v>
      </c>
      <c r="D4" s="436">
        <v>46114</v>
      </c>
      <c r="E4" s="325" t="s">
        <v>362</v>
      </c>
      <c r="F4" s="325" t="s">
        <v>287</v>
      </c>
      <c r="G4" s="325">
        <v>52553</v>
      </c>
      <c r="H4" s="436" t="s">
        <v>363</v>
      </c>
      <c r="I4" s="477" t="s">
        <v>280</v>
      </c>
      <c r="J4" s="325">
        <v>3</v>
      </c>
      <c r="K4" s="325">
        <v>3</v>
      </c>
      <c r="L4" s="325">
        <v>12</v>
      </c>
      <c r="M4" s="436">
        <v>46104</v>
      </c>
      <c r="N4" s="436">
        <v>46113</v>
      </c>
      <c r="O4" s="436" t="s">
        <v>342</v>
      </c>
      <c r="P4" s="436" t="s">
        <v>329</v>
      </c>
      <c r="Q4" s="436" t="s">
        <v>281</v>
      </c>
      <c r="R4" s="436" t="s">
        <v>275</v>
      </c>
      <c r="S4" s="436"/>
      <c r="T4" s="480" t="s">
        <v>364</v>
      </c>
      <c r="U4" s="436">
        <v>46113</v>
      </c>
      <c r="V4" s="436">
        <v>46113</v>
      </c>
      <c r="W4" s="436" t="s">
        <v>288</v>
      </c>
      <c r="X4" s="436" t="s">
        <v>281</v>
      </c>
      <c r="Y4" s="436" t="s">
        <v>288</v>
      </c>
      <c r="Z4" s="436">
        <v>46113</v>
      </c>
      <c r="AA4" s="436" t="s">
        <v>281</v>
      </c>
      <c r="AB4" s="436" t="s">
        <v>281</v>
      </c>
      <c r="AC4" s="436" t="s">
        <v>281</v>
      </c>
      <c r="AD4" s="436"/>
      <c r="AE4" s="325" t="s">
        <v>284</v>
      </c>
    </row>
    <row r="5" spans="1:31" ht="31.5" customHeight="1">
      <c r="A5" s="48">
        <v>4</v>
      </c>
      <c r="B5" s="325" t="s">
        <v>5</v>
      </c>
      <c r="C5" s="436">
        <v>46101</v>
      </c>
      <c r="D5" s="436">
        <v>46114</v>
      </c>
      <c r="E5" s="325" t="s">
        <v>362</v>
      </c>
      <c r="F5" s="325" t="s">
        <v>287</v>
      </c>
      <c r="G5" s="325">
        <v>52198</v>
      </c>
      <c r="H5" s="436" t="s">
        <v>365</v>
      </c>
      <c r="I5" s="477" t="s">
        <v>280</v>
      </c>
      <c r="J5" s="325">
        <v>5</v>
      </c>
      <c r="K5" s="325">
        <v>5</v>
      </c>
      <c r="L5" s="325">
        <v>45</v>
      </c>
      <c r="M5" s="436">
        <v>46093</v>
      </c>
      <c r="N5" s="436">
        <v>46108</v>
      </c>
      <c r="O5" s="436" t="s">
        <v>342</v>
      </c>
      <c r="P5" s="436" t="s">
        <v>329</v>
      </c>
      <c r="Q5" s="436" t="s">
        <v>281</v>
      </c>
      <c r="R5" s="436" t="s">
        <v>275</v>
      </c>
      <c r="S5" s="436"/>
      <c r="T5" s="480" t="s">
        <v>366</v>
      </c>
      <c r="U5" s="436">
        <v>46108</v>
      </c>
      <c r="V5" s="436">
        <v>46109</v>
      </c>
      <c r="W5" s="436" t="s">
        <v>288</v>
      </c>
      <c r="X5" s="436" t="s">
        <v>281</v>
      </c>
      <c r="Y5" s="436" t="s">
        <v>288</v>
      </c>
      <c r="Z5" s="436">
        <v>46109</v>
      </c>
      <c r="AA5" s="436" t="s">
        <v>281</v>
      </c>
      <c r="AB5" s="436" t="s">
        <v>281</v>
      </c>
      <c r="AC5" s="436" t="s">
        <v>281</v>
      </c>
      <c r="AD5" s="436"/>
      <c r="AE5" s="325" t="s">
        <v>284</v>
      </c>
    </row>
    <row r="6" spans="1:31" ht="31.5" customHeight="1">
      <c r="A6" s="48">
        <v>5</v>
      </c>
      <c r="B6" s="325" t="s">
        <v>5</v>
      </c>
      <c r="C6" s="436">
        <v>46101</v>
      </c>
      <c r="D6" s="436">
        <v>46114</v>
      </c>
      <c r="E6" s="325" t="s">
        <v>367</v>
      </c>
      <c r="F6" s="325" t="s">
        <v>230</v>
      </c>
      <c r="G6" s="325">
        <v>52222</v>
      </c>
      <c r="H6" s="436" t="s">
        <v>345</v>
      </c>
      <c r="I6" s="436" t="s">
        <v>274</v>
      </c>
      <c r="J6" s="325">
        <v>8</v>
      </c>
      <c r="K6" s="325"/>
      <c r="L6" s="325"/>
      <c r="M6" s="436">
        <v>46106</v>
      </c>
      <c r="N6" s="436"/>
      <c r="O6" s="436"/>
      <c r="P6" s="436"/>
      <c r="Q6" s="436"/>
      <c r="R6" s="436"/>
      <c r="S6" s="436"/>
      <c r="T6" s="480"/>
      <c r="U6" s="436"/>
      <c r="V6" s="436"/>
      <c r="W6" s="436"/>
      <c r="X6" s="436"/>
      <c r="Y6" s="436"/>
      <c r="Z6" s="436"/>
      <c r="AA6" s="436"/>
      <c r="AB6" s="436"/>
      <c r="AC6" s="436"/>
      <c r="AD6" s="436"/>
      <c r="AE6" s="325"/>
    </row>
    <row r="7" spans="1:31" ht="31.5" customHeight="1">
      <c r="A7" s="48">
        <v>6</v>
      </c>
      <c r="B7" s="325" t="s">
        <v>5</v>
      </c>
      <c r="C7" s="436">
        <v>46101</v>
      </c>
      <c r="D7" s="436">
        <v>46114</v>
      </c>
      <c r="E7" s="325" t="s">
        <v>367</v>
      </c>
      <c r="F7" s="436" t="s">
        <v>287</v>
      </c>
      <c r="G7" s="325">
        <v>52427</v>
      </c>
      <c r="H7" s="436" t="s">
        <v>368</v>
      </c>
      <c r="I7" s="477" t="s">
        <v>280</v>
      </c>
      <c r="J7" s="325">
        <v>3</v>
      </c>
      <c r="K7" s="325">
        <v>3</v>
      </c>
      <c r="L7" s="436">
        <v>12</v>
      </c>
      <c r="M7" s="436">
        <v>46104</v>
      </c>
      <c r="N7" s="436">
        <v>46105</v>
      </c>
      <c r="O7" s="436" t="s">
        <v>342</v>
      </c>
      <c r="P7" s="436" t="s">
        <v>329</v>
      </c>
      <c r="Q7" s="436" t="s">
        <v>281</v>
      </c>
      <c r="R7" s="436" t="s">
        <v>275</v>
      </c>
      <c r="S7" s="436"/>
      <c r="T7" s="480" t="s">
        <v>369</v>
      </c>
      <c r="U7" s="436">
        <v>46105</v>
      </c>
      <c r="V7" s="436">
        <v>46105</v>
      </c>
      <c r="W7" s="436" t="s">
        <v>288</v>
      </c>
      <c r="X7" s="436" t="s">
        <v>281</v>
      </c>
      <c r="Y7" s="436" t="s">
        <v>288</v>
      </c>
      <c r="Z7" s="436">
        <v>46105</v>
      </c>
      <c r="AA7" s="436" t="s">
        <v>281</v>
      </c>
      <c r="AB7" s="436" t="s">
        <v>281</v>
      </c>
      <c r="AC7" s="436" t="s">
        <v>281</v>
      </c>
      <c r="AD7" s="436"/>
      <c r="AE7" s="325" t="s">
        <v>284</v>
      </c>
    </row>
    <row r="8" spans="1:31" ht="31.5" customHeight="1">
      <c r="A8" s="436"/>
      <c r="B8" s="436"/>
      <c r="C8" s="436"/>
      <c r="D8" s="436"/>
      <c r="E8" s="436"/>
      <c r="F8" s="436"/>
      <c r="G8" s="436"/>
      <c r="H8" s="436"/>
      <c r="I8" s="436"/>
      <c r="J8" s="436"/>
      <c r="K8" s="436"/>
      <c r="L8" s="436"/>
      <c r="M8" s="436"/>
      <c r="N8" s="436"/>
      <c r="O8" s="436"/>
      <c r="P8" s="436"/>
      <c r="Q8" s="436"/>
      <c r="R8" s="436"/>
      <c r="S8" s="436"/>
      <c r="T8" s="436"/>
      <c r="U8" s="436"/>
      <c r="V8" s="436"/>
      <c r="W8" s="436"/>
      <c r="X8" s="436"/>
      <c r="Y8" s="436"/>
      <c r="Z8" s="436"/>
      <c r="AA8" s="436"/>
      <c r="AB8" s="436"/>
      <c r="AC8" s="436"/>
      <c r="AD8" s="436"/>
      <c r="AE8" s="436"/>
    </row>
    <row r="9" spans="1:31" ht="31.5" customHeight="1">
      <c r="A9" s="436"/>
      <c r="B9" s="436"/>
      <c r="C9" s="436"/>
      <c r="D9" s="436"/>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row>
    <row r="10" spans="1:31" ht="31.5" customHeight="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row>
    <row r="11" spans="1:31" ht="31.5" customHeight="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c r="AE11" s="436"/>
    </row>
    <row r="12" spans="1:31" ht="31.5" customHeight="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1" ht="31.5" customHeight="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1" ht="31.5" customHeight="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1" ht="31.5" customHeight="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1" ht="31.5" customHeight="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ht="31.5" customHeight="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ht="31.5" customHeight="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ht="31.5" customHeight="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ht="31.5" customHeight="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ht="31.5"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ht="31.5" customHeight="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ht="31.5" customHeight="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ht="31.5" customHeight="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row>
    <row r="25" spans="1:31" ht="31.5" customHeight="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c r="AE25" s="436"/>
    </row>
    <row r="26" spans="1:31" ht="31.5" customHeight="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row>
    <row r="27" spans="1:31" ht="31.5" customHeight="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row>
    <row r="28" spans="1:31" ht="31.5" customHeight="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row>
    <row r="29" spans="1:31" ht="31.5" customHeight="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row>
    <row r="30" spans="1:31" ht="31.5" customHeight="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row>
    <row r="31" spans="1:31" ht="31.5" customHeight="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1" ht="31.5" customHeight="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ht="31.5" customHeight="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ht="31.5" customHeight="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ht="31.5" customHeight="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ht="31.5" customHeight="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ht="31.5" customHeight="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ht="31.5" customHeight="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ht="31.5" customHeight="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ht="31.5" customHeight="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ht="31.5" customHeight="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0" ht="31.5" customHeight="1">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0" ht="31.5" customHeight="1">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sheetData>
  <hyperlinks>
    <hyperlink ref="T2" r:id="rId1" xr:uid="{52FC8028-5AC6-4FA8-B493-90088AC50F82}"/>
    <hyperlink ref="T5" r:id="rId2" xr:uid="{DC2068B7-CB72-4E18-A61C-8EC1C8E293D3}"/>
    <hyperlink ref="T4" r:id="rId3" xr:uid="{53747512-7BA3-46BD-AB85-58CFAD14FCA8}"/>
    <hyperlink ref="T3" r:id="rId4" xr:uid="{F31403C0-E7A1-4AEB-972D-72F551A1C189}"/>
    <hyperlink ref="T7" r:id="rId5" xr:uid="{13F6735B-2F52-4025-8F18-7C9D5844CF6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FAF1962-D0D6-442E-AFEF-8E04F7515A10}">
          <x14:formula1>
            <xm:f>Settings!$C$3:$C$20</xm:f>
          </x14:formula1>
          <xm:sqref>I2:I7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57061-156C-4C52-9BC8-45038D915B6A}">
  <dimension ref="A1:M4"/>
  <sheetViews>
    <sheetView workbookViewId="0">
      <selection activeCell="A2" sqref="A2:XFD2"/>
    </sheetView>
  </sheetViews>
  <sheetFormatPr defaultRowHeight="12.75"/>
  <cols>
    <col min="1" max="1" width="22.28515625" style="70" customWidth="1"/>
    <col min="2" max="2" width="13.85546875" style="70" customWidth="1"/>
    <col min="3" max="3" width="9.7109375" style="70" customWidth="1"/>
    <col min="4" max="4" width="20.28515625" style="70" customWidth="1"/>
    <col min="5" max="5" width="13.85546875" style="70" customWidth="1"/>
    <col min="6" max="6" width="49.85546875" style="70" customWidth="1"/>
    <col min="7" max="8" width="9.140625" style="70" bestFit="1" customWidth="1"/>
    <col min="9" max="9" width="18.7109375" style="70" customWidth="1"/>
    <col min="10" max="10" width="19.85546875" style="70" customWidth="1"/>
    <col min="11" max="11" width="25.7109375" style="70" customWidth="1"/>
    <col min="12" max="12" width="15.7109375" style="70" customWidth="1"/>
    <col min="13" max="13" width="64.28515625" style="70" customWidth="1"/>
    <col min="14" max="16384" width="9.140625" style="70"/>
  </cols>
  <sheetData>
    <row r="1" spans="1:13" ht="24">
      <c r="A1" s="184" t="s">
        <v>11</v>
      </c>
      <c r="B1" s="184" t="s">
        <v>297</v>
      </c>
      <c r="C1" s="184" t="s">
        <v>298</v>
      </c>
      <c r="D1" s="184" t="s">
        <v>245</v>
      </c>
      <c r="E1" s="184" t="s">
        <v>299</v>
      </c>
      <c r="F1" s="184" t="s">
        <v>300</v>
      </c>
      <c r="G1" s="184" t="s">
        <v>301</v>
      </c>
      <c r="H1" s="184" t="s">
        <v>302</v>
      </c>
      <c r="I1" s="184" t="s">
        <v>303</v>
      </c>
      <c r="J1" s="184" t="s">
        <v>304</v>
      </c>
      <c r="K1" s="184" t="s">
        <v>248</v>
      </c>
      <c r="L1" s="499" t="s">
        <v>305</v>
      </c>
      <c r="M1" s="500" t="s">
        <v>306</v>
      </c>
    </row>
    <row r="2" spans="1:13" s="502" customFormat="1" ht="72.75" customHeight="1">
      <c r="A2" s="392" t="s">
        <v>340</v>
      </c>
      <c r="B2" s="325">
        <v>52850</v>
      </c>
      <c r="D2" s="325" t="s">
        <v>275</v>
      </c>
      <c r="E2" s="67"/>
      <c r="F2" s="86" t="s">
        <v>370</v>
      </c>
      <c r="G2" s="67" t="s">
        <v>335</v>
      </c>
      <c r="H2" s="67" t="s">
        <v>336</v>
      </c>
      <c r="I2" s="67" t="s">
        <v>371</v>
      </c>
      <c r="J2" s="67" t="s">
        <v>272</v>
      </c>
      <c r="K2" s="67" t="s">
        <v>338</v>
      </c>
      <c r="L2" s="67" t="s">
        <v>313</v>
      </c>
      <c r="M2" s="86" t="s">
        <v>372</v>
      </c>
    </row>
    <row r="3" spans="1:13" s="502" customFormat="1" ht="27" customHeight="1">
      <c r="A3" s="392"/>
      <c r="B3" s="318"/>
      <c r="C3" s="392"/>
      <c r="D3" s="392"/>
      <c r="E3" s="67"/>
      <c r="F3" s="503"/>
      <c r="G3" s="67"/>
      <c r="H3" s="67"/>
      <c r="I3" s="67"/>
      <c r="J3" s="67"/>
      <c r="K3" s="67"/>
      <c r="L3" s="67"/>
      <c r="M3" s="503"/>
    </row>
    <row r="4" spans="1:13" ht="26.25" customHeight="1">
      <c r="A4" s="392"/>
      <c r="B4" s="318"/>
      <c r="C4" s="318"/>
      <c r="D4" s="318"/>
      <c r="E4" s="67"/>
      <c r="F4" s="502"/>
      <c r="G4" s="67"/>
      <c r="H4" s="67"/>
      <c r="I4" s="67"/>
      <c r="J4" s="67"/>
      <c r="K4" s="67"/>
      <c r="L4" s="6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3757-9249-4AE5-93F2-4935070A9EEF}">
  <dimension ref="A1:M4"/>
  <sheetViews>
    <sheetView workbookViewId="0">
      <selection activeCell="G2" sqref="G2:I2"/>
    </sheetView>
  </sheetViews>
  <sheetFormatPr defaultRowHeight="12.75"/>
  <cols>
    <col min="1" max="1" width="22.28515625" style="70" customWidth="1"/>
    <col min="2" max="2" width="13.85546875" style="70" customWidth="1"/>
    <col min="3" max="3" width="9.7109375" style="70" customWidth="1"/>
    <col min="4" max="4" width="20.28515625" style="70" customWidth="1"/>
    <col min="5" max="5" width="13.85546875" style="70" customWidth="1"/>
    <col min="6" max="6" width="49.85546875" style="70" customWidth="1"/>
    <col min="7" max="8" width="9.140625" style="70" bestFit="1" customWidth="1"/>
    <col min="9" max="9" width="18.7109375" style="70" customWidth="1"/>
    <col min="10" max="10" width="19.85546875" style="70" customWidth="1"/>
    <col min="11" max="11" width="25.7109375" style="70" customWidth="1"/>
    <col min="12" max="12" width="15.7109375" style="70" customWidth="1"/>
    <col min="13" max="13" width="64.28515625" style="70" customWidth="1"/>
    <col min="14" max="16384" width="9.140625" style="70"/>
  </cols>
  <sheetData>
    <row r="1" spans="1:13" ht="24">
      <c r="A1" s="184" t="s">
        <v>11</v>
      </c>
      <c r="B1" s="184" t="s">
        <v>297</v>
      </c>
      <c r="C1" s="184" t="s">
        <v>298</v>
      </c>
      <c r="D1" s="184" t="s">
        <v>245</v>
      </c>
      <c r="E1" s="184" t="s">
        <v>299</v>
      </c>
      <c r="F1" s="184" t="s">
        <v>300</v>
      </c>
      <c r="G1" s="184" t="s">
        <v>301</v>
      </c>
      <c r="H1" s="184" t="s">
        <v>302</v>
      </c>
      <c r="I1" s="184" t="s">
        <v>303</v>
      </c>
      <c r="J1" s="184" t="s">
        <v>304</v>
      </c>
      <c r="K1" s="184" t="s">
        <v>248</v>
      </c>
      <c r="L1" s="499" t="s">
        <v>305</v>
      </c>
      <c r="M1" s="500" t="s">
        <v>306</v>
      </c>
    </row>
    <row r="2" spans="1:13" s="502" customFormat="1" ht="90" customHeight="1">
      <c r="A2" s="392" t="s">
        <v>362</v>
      </c>
      <c r="B2" s="318" t="s">
        <v>373</v>
      </c>
      <c r="C2" s="509"/>
      <c r="D2" s="392" t="s">
        <v>374</v>
      </c>
      <c r="E2" s="67" t="s">
        <v>375</v>
      </c>
      <c r="F2" s="86" t="s">
        <v>376</v>
      </c>
      <c r="G2" s="67" t="s">
        <v>335</v>
      </c>
      <c r="H2" s="67" t="s">
        <v>336</v>
      </c>
      <c r="I2" s="67" t="s">
        <v>311</v>
      </c>
      <c r="J2" s="67" t="s">
        <v>329</v>
      </c>
      <c r="K2" s="67" t="s">
        <v>377</v>
      </c>
      <c r="L2" s="67"/>
      <c r="M2" s="86" t="s">
        <v>378</v>
      </c>
    </row>
    <row r="3" spans="1:13" s="502" customFormat="1" ht="65.25" customHeight="1">
      <c r="A3" s="392"/>
      <c r="B3" s="318"/>
      <c r="C3" s="392"/>
      <c r="D3" s="392"/>
      <c r="E3" s="67"/>
      <c r="F3" s="503"/>
      <c r="G3" s="67"/>
      <c r="H3" s="67"/>
      <c r="I3" s="67"/>
      <c r="J3" s="67"/>
      <c r="K3" s="67"/>
      <c r="L3" s="67"/>
      <c r="M3" s="503"/>
    </row>
    <row r="4" spans="1:13" ht="63.75" customHeight="1">
      <c r="A4" s="392"/>
      <c r="B4" s="318"/>
      <c r="C4" s="318"/>
      <c r="D4" s="318"/>
      <c r="E4" s="67"/>
      <c r="F4" s="502"/>
      <c r="G4" s="67"/>
      <c r="H4" s="67"/>
      <c r="I4" s="67"/>
      <c r="J4" s="67"/>
      <c r="K4" s="67"/>
      <c r="L4" s="6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A5DC-DE0B-481E-9FA9-A77F212CC9B8}">
  <dimension ref="A1:AE44"/>
  <sheetViews>
    <sheetView workbookViewId="0">
      <selection activeCell="AE4" sqref="AE4"/>
    </sheetView>
  </sheetViews>
  <sheetFormatPr defaultRowHeight="31.5" customHeight="1"/>
  <cols>
    <col min="1" max="1" width="9.85546875" customWidth="1"/>
    <col min="2" max="2" width="14.5703125" customWidth="1"/>
    <col min="3" max="3" width="16.85546875" customWidth="1"/>
    <col min="4" max="4" width="14.85546875" customWidth="1"/>
    <col min="5" max="5" width="33.85546875" customWidth="1"/>
    <col min="6" max="6" width="17.42578125" customWidth="1"/>
    <col min="7" max="7" width="19.140625" style="46" customWidth="1"/>
    <col min="8" max="8" width="49" customWidth="1"/>
    <col min="9" max="9" width="27.7109375" customWidth="1"/>
    <col min="10" max="10" width="13.42578125" customWidth="1"/>
    <col min="11" max="11" width="11.28515625" customWidth="1"/>
    <col min="12" max="12" width="10.140625"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3" width="9.140625" bestFit="1" customWidth="1"/>
    <col min="24" max="24" width="23.42578125" customWidth="1"/>
    <col min="25" max="25" width="9.140625" bestFit="1" customWidth="1"/>
    <col min="26" max="26" width="12.28515625" customWidth="1"/>
    <col min="27" max="27" width="16.28515625" customWidth="1"/>
    <col min="28" max="28" width="20.28515625" customWidth="1"/>
    <col min="29" max="29" width="28.28515625" customWidth="1"/>
    <col min="30" max="30" width="42.7109375" customWidth="1"/>
    <col min="31" max="31" width="34.28515625" customWidth="1"/>
  </cols>
  <sheetData>
    <row r="1" spans="1:31" ht="62.25" customHeight="1">
      <c r="A1" s="433" t="s">
        <v>243</v>
      </c>
      <c r="B1" s="433" t="s">
        <v>4</v>
      </c>
      <c r="C1" s="433" t="s">
        <v>2</v>
      </c>
      <c r="D1" s="433" t="s">
        <v>3</v>
      </c>
      <c r="E1" s="433" t="s">
        <v>244</v>
      </c>
      <c r="F1" s="433" t="s">
        <v>245</v>
      </c>
      <c r="G1" s="433" t="s">
        <v>246</v>
      </c>
      <c r="H1" s="433"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31.5" customHeight="1">
      <c r="A2" s="325">
        <v>1</v>
      </c>
      <c r="B2" s="325" t="s">
        <v>379</v>
      </c>
      <c r="C2" s="436">
        <v>46087</v>
      </c>
      <c r="D2" s="436">
        <v>46100</v>
      </c>
      <c r="E2" s="325" t="s">
        <v>380</v>
      </c>
      <c r="F2" s="325" t="s">
        <v>275</v>
      </c>
      <c r="G2" s="325">
        <v>52041</v>
      </c>
      <c r="H2" s="436" t="s">
        <v>357</v>
      </c>
      <c r="I2" s="436" t="s">
        <v>381</v>
      </c>
      <c r="J2" s="325">
        <v>8</v>
      </c>
      <c r="K2" s="325"/>
      <c r="L2" s="325"/>
      <c r="M2" s="436">
        <v>46087</v>
      </c>
      <c r="N2" s="436"/>
      <c r="O2" s="436"/>
      <c r="P2" s="436"/>
      <c r="Q2" s="436"/>
      <c r="R2" s="436"/>
      <c r="S2" s="436"/>
      <c r="T2" s="480"/>
      <c r="U2" s="436"/>
      <c r="V2" s="436"/>
      <c r="W2" s="436"/>
      <c r="X2" s="436"/>
      <c r="Y2" s="436"/>
      <c r="Z2" s="436"/>
      <c r="AA2" s="436"/>
      <c r="AB2" s="436"/>
      <c r="AC2" s="436"/>
      <c r="AD2" s="436"/>
      <c r="AE2" s="325"/>
    </row>
    <row r="3" spans="1:31" ht="31.5" customHeight="1">
      <c r="A3" s="325">
        <v>2</v>
      </c>
      <c r="B3" s="325" t="s">
        <v>379</v>
      </c>
      <c r="C3" s="436">
        <v>46087</v>
      </c>
      <c r="D3" s="436">
        <v>46100</v>
      </c>
      <c r="E3" s="325" t="s">
        <v>380</v>
      </c>
      <c r="F3" s="325" t="s">
        <v>230</v>
      </c>
      <c r="G3" s="325">
        <v>52042</v>
      </c>
      <c r="H3" s="436" t="s">
        <v>359</v>
      </c>
      <c r="I3" s="436" t="s">
        <v>274</v>
      </c>
      <c r="J3" s="325">
        <v>13</v>
      </c>
      <c r="K3" s="325"/>
      <c r="L3" s="325"/>
      <c r="M3" s="436">
        <v>46087</v>
      </c>
      <c r="N3" s="436"/>
      <c r="O3" s="436"/>
      <c r="P3" s="436"/>
      <c r="Q3" s="436"/>
      <c r="R3" s="436"/>
      <c r="S3" s="436"/>
      <c r="T3" s="480"/>
      <c r="U3" s="436"/>
      <c r="V3" s="436"/>
      <c r="W3" s="436"/>
      <c r="X3" s="436"/>
      <c r="Y3" s="436"/>
      <c r="Z3" s="436"/>
      <c r="AA3" s="436"/>
      <c r="AB3" s="436"/>
      <c r="AC3" s="436"/>
      <c r="AD3" s="436"/>
      <c r="AE3" s="436"/>
    </row>
    <row r="4" spans="1:31" ht="31.5" customHeight="1">
      <c r="A4" s="48">
        <v>3</v>
      </c>
      <c r="B4" s="325" t="s">
        <v>379</v>
      </c>
      <c r="C4" s="436">
        <v>46087</v>
      </c>
      <c r="D4" s="436">
        <v>46100</v>
      </c>
      <c r="E4" s="325" t="s">
        <v>380</v>
      </c>
      <c r="F4" s="325" t="s">
        <v>272</v>
      </c>
      <c r="G4" s="325">
        <v>51890</v>
      </c>
      <c r="H4" s="436" t="s">
        <v>382</v>
      </c>
      <c r="I4" s="506" t="s">
        <v>280</v>
      </c>
      <c r="J4" s="325">
        <v>11</v>
      </c>
      <c r="K4" s="325">
        <v>11</v>
      </c>
      <c r="L4" s="325">
        <v>44</v>
      </c>
      <c r="M4" s="436">
        <v>46087</v>
      </c>
      <c r="N4" s="436">
        <v>46094</v>
      </c>
      <c r="O4" s="436" t="s">
        <v>272</v>
      </c>
      <c r="P4" s="436" t="s">
        <v>272</v>
      </c>
      <c r="Q4" s="436"/>
      <c r="R4" s="436"/>
      <c r="S4" s="436"/>
      <c r="T4" s="480" t="s">
        <v>383</v>
      </c>
      <c r="U4" s="436">
        <v>46093</v>
      </c>
      <c r="V4" s="436">
        <v>46094</v>
      </c>
      <c r="W4" s="436" t="s">
        <v>384</v>
      </c>
      <c r="X4" s="436"/>
      <c r="Y4" s="436" t="s">
        <v>384</v>
      </c>
      <c r="Z4" s="436">
        <v>46094</v>
      </c>
      <c r="AA4" s="436"/>
      <c r="AB4" s="436"/>
      <c r="AC4" s="436"/>
      <c r="AD4" s="436"/>
      <c r="AE4" s="325" t="s">
        <v>284</v>
      </c>
    </row>
    <row r="5" spans="1:31" ht="31.5" customHeight="1">
      <c r="A5" s="48">
        <v>4</v>
      </c>
      <c r="B5" s="325" t="s">
        <v>379</v>
      </c>
      <c r="C5" s="436">
        <v>46087</v>
      </c>
      <c r="D5" s="436">
        <v>46100</v>
      </c>
      <c r="E5" s="325" t="s">
        <v>385</v>
      </c>
      <c r="F5" s="325" t="s">
        <v>272</v>
      </c>
      <c r="G5" s="325">
        <v>52197</v>
      </c>
      <c r="H5" s="436" t="s">
        <v>386</v>
      </c>
      <c r="I5" s="506" t="s">
        <v>280</v>
      </c>
      <c r="J5" s="325">
        <v>8</v>
      </c>
      <c r="K5" s="325">
        <v>8</v>
      </c>
      <c r="L5" s="325">
        <v>36</v>
      </c>
      <c r="M5" s="436">
        <v>46090</v>
      </c>
      <c r="N5" s="436">
        <v>46097</v>
      </c>
      <c r="O5" s="436"/>
      <c r="P5" s="436" t="s">
        <v>281</v>
      </c>
      <c r="Q5" s="436"/>
      <c r="R5" s="436"/>
      <c r="S5" s="436"/>
      <c r="T5" s="480"/>
      <c r="U5" s="436" t="s">
        <v>281</v>
      </c>
      <c r="V5" s="436" t="s">
        <v>281</v>
      </c>
      <c r="W5" s="436" t="s">
        <v>281</v>
      </c>
      <c r="X5" s="436"/>
      <c r="Y5" s="436" t="s">
        <v>281</v>
      </c>
      <c r="Z5" s="436" t="s">
        <v>281</v>
      </c>
      <c r="AA5" s="436"/>
      <c r="AB5" s="436"/>
      <c r="AC5" s="436"/>
      <c r="AD5" s="436" t="s">
        <v>387</v>
      </c>
      <c r="AE5" s="325" t="s">
        <v>284</v>
      </c>
    </row>
    <row r="6" spans="1:31" ht="31.5" customHeight="1">
      <c r="A6" s="325">
        <v>5</v>
      </c>
      <c r="B6" s="325" t="s">
        <v>379</v>
      </c>
      <c r="C6" s="436">
        <v>46087</v>
      </c>
      <c r="D6" s="436">
        <v>46100</v>
      </c>
      <c r="E6" s="325" t="s">
        <v>385</v>
      </c>
      <c r="F6" s="325" t="s">
        <v>272</v>
      </c>
      <c r="G6" s="325">
        <v>52223</v>
      </c>
      <c r="H6" s="436" t="s">
        <v>388</v>
      </c>
      <c r="I6" s="506" t="s">
        <v>280</v>
      </c>
      <c r="J6" s="325">
        <v>2</v>
      </c>
      <c r="K6" s="325">
        <v>2</v>
      </c>
      <c r="L6" s="325">
        <v>12</v>
      </c>
      <c r="M6" s="436">
        <v>46097</v>
      </c>
      <c r="N6" s="436">
        <v>46100</v>
      </c>
      <c r="O6" s="436"/>
      <c r="P6" s="436" t="s">
        <v>281</v>
      </c>
      <c r="Q6" s="436"/>
      <c r="R6" s="436"/>
      <c r="S6" s="436"/>
      <c r="T6" s="436"/>
      <c r="U6" s="436" t="s">
        <v>281</v>
      </c>
      <c r="V6" s="436" t="s">
        <v>281</v>
      </c>
      <c r="W6" s="436" t="s">
        <v>281</v>
      </c>
      <c r="X6" s="436"/>
      <c r="Y6" s="436" t="s">
        <v>281</v>
      </c>
      <c r="Z6" s="436" t="s">
        <v>281</v>
      </c>
      <c r="AA6" s="436"/>
      <c r="AB6" s="436"/>
      <c r="AC6" s="436"/>
      <c r="AD6" s="436" t="s">
        <v>387</v>
      </c>
      <c r="AE6" s="325" t="s">
        <v>284</v>
      </c>
    </row>
    <row r="7" spans="1:31" ht="31.5" customHeight="1">
      <c r="A7" s="325">
        <v>6</v>
      </c>
      <c r="B7" s="325" t="s">
        <v>379</v>
      </c>
      <c r="C7" s="436">
        <v>46087</v>
      </c>
      <c r="D7" s="436">
        <v>46100</v>
      </c>
      <c r="E7" s="325" t="s">
        <v>385</v>
      </c>
      <c r="F7" s="325" t="s">
        <v>287</v>
      </c>
      <c r="G7" s="325">
        <v>52143</v>
      </c>
      <c r="H7" s="436" t="s">
        <v>389</v>
      </c>
      <c r="I7" s="506" t="s">
        <v>280</v>
      </c>
      <c r="J7" s="325">
        <v>5</v>
      </c>
      <c r="K7" s="325">
        <v>6</v>
      </c>
      <c r="L7" s="325">
        <v>24</v>
      </c>
      <c r="M7" s="436">
        <v>46097</v>
      </c>
      <c r="N7" s="436">
        <v>46100</v>
      </c>
      <c r="O7" s="436" t="s">
        <v>13</v>
      </c>
      <c r="P7" s="436" t="s">
        <v>329</v>
      </c>
      <c r="Q7" s="436"/>
      <c r="R7" s="436"/>
      <c r="S7" s="436"/>
      <c r="T7" s="436" t="s">
        <v>390</v>
      </c>
      <c r="U7" s="436">
        <v>46097</v>
      </c>
      <c r="V7" s="436">
        <v>46097</v>
      </c>
      <c r="W7" s="436" t="s">
        <v>287</v>
      </c>
      <c r="X7" s="436"/>
      <c r="Y7" s="436" t="s">
        <v>322</v>
      </c>
      <c r="Z7" s="436">
        <v>46097</v>
      </c>
      <c r="AA7" s="436"/>
      <c r="AB7" s="436"/>
      <c r="AC7" s="436"/>
      <c r="AD7" s="436"/>
      <c r="AE7" s="325" t="s">
        <v>284</v>
      </c>
    </row>
    <row r="8" spans="1:31" ht="31.5" customHeight="1">
      <c r="A8" s="436"/>
      <c r="B8" s="436"/>
      <c r="C8" s="436"/>
      <c r="D8" s="436"/>
      <c r="E8" s="436"/>
      <c r="F8" s="436"/>
      <c r="G8" s="325"/>
      <c r="H8" s="436"/>
      <c r="I8" s="436"/>
      <c r="J8" s="436"/>
      <c r="K8" s="436"/>
      <c r="L8" s="436"/>
      <c r="M8" s="436"/>
      <c r="N8" s="436"/>
      <c r="O8" s="436"/>
      <c r="P8" s="436"/>
      <c r="Q8" s="436"/>
      <c r="R8" s="436"/>
      <c r="S8" s="436"/>
      <c r="T8" s="436"/>
      <c r="U8" s="436"/>
      <c r="V8" s="436"/>
      <c r="W8" s="436"/>
      <c r="X8" s="436"/>
      <c r="Y8" s="436"/>
      <c r="Z8" s="436"/>
      <c r="AA8" s="436"/>
      <c r="AB8" s="436"/>
      <c r="AC8" s="436"/>
      <c r="AD8" s="436"/>
      <c r="AE8" s="436"/>
    </row>
    <row r="9" spans="1:31" ht="31.5" customHeight="1">
      <c r="A9" s="436"/>
      <c r="B9" s="436"/>
      <c r="C9" s="436"/>
      <c r="D9" s="436"/>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row>
    <row r="10" spans="1:31" ht="31.5" customHeight="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row>
    <row r="11" spans="1:31" ht="31.5" customHeight="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c r="AE11" s="436"/>
    </row>
    <row r="12" spans="1:31" ht="31.5" customHeight="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1" ht="31.5" customHeight="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1" ht="31.5" customHeight="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1" ht="31.5" customHeight="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1" ht="31.5" customHeight="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ht="31.5" customHeight="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ht="31.5" customHeight="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ht="31.5" customHeight="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ht="31.5" customHeight="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ht="31.5"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ht="31.5" customHeight="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ht="31.5" customHeight="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ht="31.5" customHeight="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row>
    <row r="25" spans="1:31" ht="31.5" customHeight="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c r="AE25" s="436"/>
    </row>
    <row r="26" spans="1:31" ht="31.5" customHeight="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c r="AE26" s="436"/>
    </row>
    <row r="27" spans="1:31" ht="31.5" customHeight="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row>
    <row r="28" spans="1:31" ht="31.5" customHeight="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row>
    <row r="29" spans="1:31" ht="31.5" customHeight="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row>
    <row r="30" spans="1:31" ht="31.5" customHeight="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row>
    <row r="31" spans="1:31" ht="31.5" customHeight="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1" ht="31.5" customHeight="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ht="31.5" customHeight="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ht="31.5" customHeight="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ht="31.5" customHeight="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ht="31.5" customHeight="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ht="31.5" customHeight="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ht="31.5" customHeight="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ht="31.5" customHeight="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ht="31.5" customHeight="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ht="31.5" customHeight="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0" ht="31.5" customHeight="1">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0" ht="31.5" customHeight="1">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row r="44" spans="1:30" ht="31.5" customHeight="1">
      <c r="A44" s="436"/>
      <c r="B44" s="436"/>
      <c r="C44" s="436"/>
      <c r="D44" s="436"/>
      <c r="E44" s="436"/>
      <c r="F44" s="436"/>
      <c r="G44" s="436"/>
      <c r="H44" s="436"/>
      <c r="I44" s="436"/>
      <c r="J44" s="436"/>
      <c r="K44" s="436"/>
      <c r="L44" s="436"/>
      <c r="M44" s="436"/>
      <c r="N44" s="436"/>
      <c r="O44" s="436"/>
      <c r="P44" s="436"/>
      <c r="Q44" s="436"/>
      <c r="R44" s="436"/>
      <c r="S44" s="436"/>
      <c r="T44" s="436"/>
      <c r="U44" s="436"/>
      <c r="V44" s="436"/>
      <c r="W44" s="436"/>
      <c r="X44" s="436"/>
      <c r="Y44" s="436"/>
      <c r="Z44" s="436"/>
      <c r="AA44" s="436"/>
      <c r="AB44" s="436"/>
      <c r="AC44" s="436"/>
      <c r="AD44" s="436"/>
    </row>
  </sheetData>
  <hyperlinks>
    <hyperlink ref="T4" r:id="rId1" xr:uid="{558973B0-175E-4C4C-B525-4010894CA7E4}"/>
    <hyperlink ref="T7" r:id="rId2" xr:uid="{A942141D-45F4-4868-B46B-5D1C1AB45A0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BD2B6BA-B91D-46EF-A81F-49133E73E07E}">
          <x14:formula1>
            <xm:f>Settings!$C$3:$C$20</xm:f>
          </x14:formula1>
          <xm:sqref>I2:I7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075BF-C2A1-4C30-AC5D-0BE46A8F4B1A}">
  <dimension ref="A1:M4"/>
  <sheetViews>
    <sheetView workbookViewId="0">
      <selection activeCell="F2" sqref="F2"/>
    </sheetView>
  </sheetViews>
  <sheetFormatPr defaultRowHeight="12.75"/>
  <cols>
    <col min="1" max="1" width="22.28515625" style="70" customWidth="1"/>
    <col min="2" max="2" width="13.85546875" style="70" customWidth="1"/>
    <col min="3" max="3" width="9.7109375" style="70" customWidth="1"/>
    <col min="4" max="4" width="20.28515625" style="70" customWidth="1"/>
    <col min="5" max="5" width="13.85546875" style="70" customWidth="1"/>
    <col min="6" max="6" width="49.85546875" style="70" customWidth="1"/>
    <col min="7" max="8" width="9.140625" style="70" bestFit="1" customWidth="1"/>
    <col min="9" max="9" width="18.7109375" style="70" customWidth="1"/>
    <col min="10" max="10" width="19.85546875" style="70" customWidth="1"/>
    <col min="11" max="11" width="25.7109375" style="70" customWidth="1"/>
    <col min="12" max="12" width="15.7109375" style="70" customWidth="1"/>
    <col min="13" max="13" width="64.28515625" style="70" customWidth="1"/>
    <col min="14" max="16384" width="9.140625" style="70"/>
  </cols>
  <sheetData>
    <row r="1" spans="1:13" ht="24">
      <c r="A1" s="184" t="s">
        <v>11</v>
      </c>
      <c r="B1" s="184" t="s">
        <v>297</v>
      </c>
      <c r="C1" s="184" t="s">
        <v>298</v>
      </c>
      <c r="D1" s="184" t="s">
        <v>245</v>
      </c>
      <c r="E1" s="184" t="s">
        <v>299</v>
      </c>
      <c r="F1" s="184" t="s">
        <v>300</v>
      </c>
      <c r="G1" s="184" t="s">
        <v>301</v>
      </c>
      <c r="H1" s="184" t="s">
        <v>302</v>
      </c>
      <c r="I1" s="184" t="s">
        <v>303</v>
      </c>
      <c r="J1" s="184" t="s">
        <v>304</v>
      </c>
      <c r="K1" s="184" t="s">
        <v>248</v>
      </c>
      <c r="L1" s="499" t="s">
        <v>305</v>
      </c>
      <c r="M1" s="500" t="s">
        <v>306</v>
      </c>
    </row>
    <row r="2" spans="1:13" s="502" customFormat="1" ht="141.75" customHeight="1">
      <c r="A2" s="392" t="s">
        <v>199</v>
      </c>
      <c r="B2" s="318">
        <v>52007</v>
      </c>
      <c r="C2" s="362"/>
      <c r="D2" s="392" t="s">
        <v>275</v>
      </c>
      <c r="E2" s="67" t="s">
        <v>375</v>
      </c>
      <c r="F2" s="86" t="s">
        <v>391</v>
      </c>
      <c r="G2" s="67" t="s">
        <v>335</v>
      </c>
      <c r="H2" s="67" t="s">
        <v>336</v>
      </c>
      <c r="I2" s="67" t="s">
        <v>311</v>
      </c>
      <c r="J2" s="67" t="s">
        <v>272</v>
      </c>
      <c r="K2" s="67" t="s">
        <v>295</v>
      </c>
      <c r="L2" s="67" t="s">
        <v>313</v>
      </c>
      <c r="M2" s="86" t="s">
        <v>392</v>
      </c>
    </row>
    <row r="3" spans="1:13" s="502" customFormat="1" ht="65.25" customHeight="1">
      <c r="A3" s="392" t="s">
        <v>199</v>
      </c>
      <c r="B3" s="318">
        <v>51818</v>
      </c>
      <c r="C3" s="362"/>
      <c r="D3" s="392" t="s">
        <v>230</v>
      </c>
      <c r="E3" s="67" t="s">
        <v>375</v>
      </c>
      <c r="F3" s="503" t="s">
        <v>393</v>
      </c>
      <c r="G3" s="67" t="s">
        <v>335</v>
      </c>
      <c r="H3" s="67" t="s">
        <v>336</v>
      </c>
      <c r="I3" s="67" t="s">
        <v>371</v>
      </c>
      <c r="J3" s="67" t="s">
        <v>329</v>
      </c>
      <c r="K3" s="67" t="s">
        <v>295</v>
      </c>
      <c r="L3" s="67" t="s">
        <v>313</v>
      </c>
      <c r="M3" s="503" t="s">
        <v>394</v>
      </c>
    </row>
    <row r="4" spans="1:13" ht="63.75" customHeight="1">
      <c r="A4" s="392"/>
      <c r="B4" s="318"/>
      <c r="C4" s="318"/>
      <c r="D4" s="318"/>
      <c r="E4" s="67"/>
      <c r="F4" s="502"/>
      <c r="G4" s="67"/>
      <c r="H4" s="67"/>
      <c r="I4" s="67"/>
      <c r="J4" s="67"/>
      <c r="K4" s="67"/>
      <c r="L4" s="6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A611-2570-4A2D-BB8F-A2E4336C6E20}">
  <dimension ref="A1:AE46"/>
  <sheetViews>
    <sheetView topLeftCell="H1" workbookViewId="0">
      <selection activeCell="AD6" sqref="AD6"/>
    </sheetView>
  </sheetViews>
  <sheetFormatPr defaultRowHeight="31.5" customHeight="1"/>
  <cols>
    <col min="1" max="1" width="9.85546875" customWidth="1"/>
    <col min="2" max="2" width="14.5703125" customWidth="1"/>
    <col min="3" max="3" width="16.85546875" customWidth="1"/>
    <col min="4" max="4" width="14.85546875" customWidth="1"/>
    <col min="5" max="5" width="28" customWidth="1"/>
    <col min="6" max="6" width="14.5703125" customWidth="1"/>
    <col min="7" max="7" width="17.28515625" style="46" customWidth="1"/>
    <col min="8" max="8" width="50.140625" customWidth="1"/>
    <col min="9" max="9" width="23" customWidth="1"/>
    <col min="10" max="10" width="13.7109375" customWidth="1"/>
    <col min="11" max="11" width="11.28515625" customWidth="1"/>
    <col min="12" max="12" width="10.140625"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3" width="9.140625" bestFit="1" customWidth="1"/>
    <col min="24" max="24" width="23.42578125" customWidth="1"/>
    <col min="25" max="25" width="9.140625" bestFit="1" customWidth="1"/>
    <col min="26" max="26" width="12.28515625" customWidth="1"/>
    <col min="27" max="27" width="16.28515625" customWidth="1"/>
    <col min="28" max="28" width="20.28515625" customWidth="1"/>
    <col min="29" max="29" width="28.28515625" customWidth="1"/>
    <col min="30" max="30" width="42.7109375" customWidth="1"/>
    <col min="31" max="31" width="34.28515625" customWidth="1"/>
  </cols>
  <sheetData>
    <row r="1" spans="1:31" ht="62.25" customHeight="1">
      <c r="A1" s="433" t="s">
        <v>243</v>
      </c>
      <c r="B1" s="433" t="s">
        <v>4</v>
      </c>
      <c r="C1" s="433" t="s">
        <v>2</v>
      </c>
      <c r="D1" s="433" t="s">
        <v>3</v>
      </c>
      <c r="E1" s="433" t="s">
        <v>244</v>
      </c>
      <c r="F1" s="434" t="s">
        <v>245</v>
      </c>
      <c r="G1" s="434" t="s">
        <v>246</v>
      </c>
      <c r="H1" s="433" t="s">
        <v>247</v>
      </c>
      <c r="I1" s="433" t="s">
        <v>248</v>
      </c>
      <c r="J1" s="433" t="s">
        <v>249</v>
      </c>
      <c r="K1" s="433" t="s">
        <v>250</v>
      </c>
      <c r="L1" s="433" t="s">
        <v>251</v>
      </c>
      <c r="M1" s="433" t="s">
        <v>252</v>
      </c>
      <c r="N1" s="433" t="s">
        <v>253</v>
      </c>
      <c r="O1" s="434" t="s">
        <v>254</v>
      </c>
      <c r="P1" s="434" t="s">
        <v>255</v>
      </c>
      <c r="Q1" s="434" t="s">
        <v>256</v>
      </c>
      <c r="R1" s="433" t="s">
        <v>257</v>
      </c>
      <c r="S1" s="434" t="s">
        <v>258</v>
      </c>
      <c r="T1" s="433" t="s">
        <v>259</v>
      </c>
      <c r="U1" s="433" t="s">
        <v>260</v>
      </c>
      <c r="V1" s="433" t="s">
        <v>261</v>
      </c>
      <c r="W1" s="433" t="s">
        <v>262</v>
      </c>
      <c r="X1" s="433" t="s">
        <v>263</v>
      </c>
      <c r="Y1" s="433" t="s">
        <v>264</v>
      </c>
      <c r="Z1" s="433" t="s">
        <v>265</v>
      </c>
      <c r="AA1" s="433" t="s">
        <v>266</v>
      </c>
      <c r="AB1" s="433" t="s">
        <v>267</v>
      </c>
      <c r="AC1" s="433" t="s">
        <v>268</v>
      </c>
      <c r="AD1" s="505" t="s">
        <v>269</v>
      </c>
      <c r="AE1" s="433" t="s">
        <v>270</v>
      </c>
    </row>
    <row r="2" spans="1:31" s="46" customFormat="1" ht="46.5" customHeight="1">
      <c r="A2" s="325">
        <v>1</v>
      </c>
      <c r="B2" s="325" t="s">
        <v>379</v>
      </c>
      <c r="C2" s="436">
        <v>46073</v>
      </c>
      <c r="D2" s="436">
        <v>46086</v>
      </c>
      <c r="E2" s="325" t="s">
        <v>395</v>
      </c>
      <c r="F2" s="325" t="s">
        <v>275</v>
      </c>
      <c r="G2" s="325">
        <v>52007</v>
      </c>
      <c r="H2" s="436" t="s">
        <v>396</v>
      </c>
      <c r="I2" s="504" t="s">
        <v>280</v>
      </c>
      <c r="J2" s="325">
        <v>8</v>
      </c>
      <c r="K2" s="325">
        <v>8</v>
      </c>
      <c r="L2" s="325">
        <v>40</v>
      </c>
      <c r="M2" s="436">
        <v>46073</v>
      </c>
      <c r="N2" s="436">
        <v>46083</v>
      </c>
      <c r="O2" s="436" t="s">
        <v>13</v>
      </c>
      <c r="P2" s="436" t="s">
        <v>272</v>
      </c>
      <c r="Q2" s="436" t="s">
        <v>281</v>
      </c>
      <c r="R2" s="436"/>
      <c r="S2" s="436"/>
      <c r="T2" s="480" t="s">
        <v>397</v>
      </c>
      <c r="U2" s="436">
        <v>46083</v>
      </c>
      <c r="V2" s="436">
        <v>46084</v>
      </c>
      <c r="W2" s="436" t="s">
        <v>287</v>
      </c>
      <c r="X2" s="436" t="s">
        <v>281</v>
      </c>
      <c r="Y2" s="436" t="s">
        <v>322</v>
      </c>
      <c r="Z2" s="436">
        <v>46084</v>
      </c>
      <c r="AA2" s="436" t="s">
        <v>281</v>
      </c>
      <c r="AB2" s="436" t="s">
        <v>281</v>
      </c>
      <c r="AC2" s="436"/>
      <c r="AD2" s="436"/>
      <c r="AE2" s="325" t="s">
        <v>284</v>
      </c>
    </row>
    <row r="3" spans="1:31" ht="31.5" customHeight="1">
      <c r="A3" s="325">
        <v>2</v>
      </c>
      <c r="B3" s="325" t="s">
        <v>379</v>
      </c>
      <c r="C3" s="436">
        <v>46073</v>
      </c>
      <c r="D3" s="436">
        <v>46086</v>
      </c>
      <c r="E3" s="325" t="s">
        <v>395</v>
      </c>
      <c r="F3" s="325" t="s">
        <v>275</v>
      </c>
      <c r="G3" s="325">
        <v>26813</v>
      </c>
      <c r="H3" s="436" t="s">
        <v>398</v>
      </c>
      <c r="I3" s="504" t="s">
        <v>295</v>
      </c>
      <c r="J3" s="325">
        <v>1</v>
      </c>
      <c r="K3" s="325">
        <v>1</v>
      </c>
      <c r="L3" s="325">
        <v>2</v>
      </c>
      <c r="M3" s="436">
        <v>46073</v>
      </c>
      <c r="N3" s="436">
        <v>46073</v>
      </c>
      <c r="O3" s="436" t="s">
        <v>13</v>
      </c>
      <c r="P3" s="436" t="s">
        <v>329</v>
      </c>
      <c r="Q3" s="436" t="s">
        <v>281</v>
      </c>
      <c r="R3" s="436"/>
      <c r="S3" s="491"/>
      <c r="T3" s="480" t="s">
        <v>399</v>
      </c>
      <c r="U3" s="494">
        <v>46073</v>
      </c>
      <c r="V3" s="436">
        <v>46073</v>
      </c>
      <c r="W3" s="436" t="s">
        <v>287</v>
      </c>
      <c r="X3" s="436" t="s">
        <v>281</v>
      </c>
      <c r="Y3" s="436" t="s">
        <v>322</v>
      </c>
      <c r="Z3" s="436">
        <v>46073</v>
      </c>
      <c r="AA3" s="436" t="s">
        <v>281</v>
      </c>
      <c r="AB3" s="436" t="s">
        <v>281</v>
      </c>
      <c r="AC3" s="436"/>
      <c r="AD3" s="436"/>
      <c r="AE3" s="325" t="s">
        <v>284</v>
      </c>
    </row>
    <row r="4" spans="1:31" ht="31.5" customHeight="1">
      <c r="A4" s="325">
        <v>3</v>
      </c>
      <c r="B4" s="325" t="s">
        <v>379</v>
      </c>
      <c r="C4" s="436">
        <v>46073</v>
      </c>
      <c r="D4" s="436">
        <v>46086</v>
      </c>
      <c r="E4" s="325" t="s">
        <v>199</v>
      </c>
      <c r="F4" s="325" t="s">
        <v>275</v>
      </c>
      <c r="G4" s="325">
        <v>26813</v>
      </c>
      <c r="H4" s="436" t="s">
        <v>400</v>
      </c>
      <c r="I4" s="504" t="s">
        <v>295</v>
      </c>
      <c r="J4" s="325">
        <v>1</v>
      </c>
      <c r="K4" s="325">
        <v>1</v>
      </c>
      <c r="L4" s="325">
        <v>2</v>
      </c>
      <c r="M4" s="436">
        <v>46073</v>
      </c>
      <c r="N4" s="436">
        <v>46073</v>
      </c>
      <c r="O4" s="436" t="s">
        <v>13</v>
      </c>
      <c r="P4" s="436" t="s">
        <v>329</v>
      </c>
      <c r="Q4" s="436" t="s">
        <v>281</v>
      </c>
      <c r="R4" s="436"/>
      <c r="S4" s="436"/>
      <c r="T4" s="480" t="s">
        <v>401</v>
      </c>
      <c r="U4" s="436">
        <v>46073</v>
      </c>
      <c r="V4" s="436">
        <v>46073</v>
      </c>
      <c r="W4" s="436" t="s">
        <v>287</v>
      </c>
      <c r="X4" s="436" t="s">
        <v>281</v>
      </c>
      <c r="Y4" s="436" t="s">
        <v>322</v>
      </c>
      <c r="Z4" s="436">
        <v>46073</v>
      </c>
      <c r="AA4" s="436" t="s">
        <v>281</v>
      </c>
      <c r="AB4" s="436" t="s">
        <v>281</v>
      </c>
      <c r="AC4" s="436"/>
      <c r="AD4" s="436"/>
      <c r="AE4" s="325" t="s">
        <v>284</v>
      </c>
    </row>
    <row r="5" spans="1:31" ht="31.5" customHeight="1">
      <c r="A5" s="325">
        <v>4</v>
      </c>
      <c r="B5" s="325" t="s">
        <v>379</v>
      </c>
      <c r="C5" s="436">
        <v>46073</v>
      </c>
      <c r="D5" s="436">
        <v>46086</v>
      </c>
      <c r="E5" s="325" t="s">
        <v>199</v>
      </c>
      <c r="F5" s="325" t="s">
        <v>230</v>
      </c>
      <c r="G5" s="325">
        <v>51818</v>
      </c>
      <c r="H5" s="436" t="s">
        <v>402</v>
      </c>
      <c r="I5" s="504" t="s">
        <v>280</v>
      </c>
      <c r="J5" s="325">
        <v>5</v>
      </c>
      <c r="K5" s="325">
        <v>13</v>
      </c>
      <c r="L5" s="325">
        <v>60</v>
      </c>
      <c r="M5" s="436">
        <v>46073</v>
      </c>
      <c r="N5" s="436">
        <v>46084</v>
      </c>
      <c r="O5" s="436" t="s">
        <v>13</v>
      </c>
      <c r="P5" s="436" t="s">
        <v>329</v>
      </c>
      <c r="Q5" s="436" t="s">
        <v>281</v>
      </c>
      <c r="R5" s="436" t="s">
        <v>275</v>
      </c>
      <c r="S5" s="436" t="s">
        <v>403</v>
      </c>
      <c r="T5" s="480" t="s">
        <v>404</v>
      </c>
      <c r="U5" s="436">
        <v>46084</v>
      </c>
      <c r="V5" s="436">
        <v>46084</v>
      </c>
      <c r="W5" s="436" t="s">
        <v>287</v>
      </c>
      <c r="X5" s="436" t="s">
        <v>281</v>
      </c>
      <c r="Y5" s="436" t="s">
        <v>322</v>
      </c>
      <c r="Z5" s="436">
        <v>46084</v>
      </c>
      <c r="AA5" s="436" t="s">
        <v>281</v>
      </c>
      <c r="AB5" s="436" t="s">
        <v>281</v>
      </c>
      <c r="AC5" s="436" t="s">
        <v>405</v>
      </c>
      <c r="AD5" s="436" t="s">
        <v>406</v>
      </c>
      <c r="AE5" s="325" t="s">
        <v>284</v>
      </c>
    </row>
    <row r="6" spans="1:31" ht="31.5" customHeight="1">
      <c r="A6" s="48">
        <v>5</v>
      </c>
      <c r="B6" s="325" t="s">
        <v>379</v>
      </c>
      <c r="C6" s="436">
        <v>46073</v>
      </c>
      <c r="D6" s="436">
        <v>46086</v>
      </c>
      <c r="E6" s="325" t="s">
        <v>407</v>
      </c>
      <c r="F6" s="325" t="s">
        <v>272</v>
      </c>
      <c r="G6" s="325">
        <v>51890</v>
      </c>
      <c r="H6" s="436" t="s">
        <v>382</v>
      </c>
      <c r="I6" s="436" t="s">
        <v>274</v>
      </c>
      <c r="J6" s="325">
        <v>8</v>
      </c>
      <c r="K6" s="325">
        <v>8</v>
      </c>
      <c r="L6" s="325">
        <v>40</v>
      </c>
      <c r="M6" s="436">
        <v>46076</v>
      </c>
      <c r="N6" s="436">
        <v>46085</v>
      </c>
      <c r="O6" s="436" t="s">
        <v>13</v>
      </c>
      <c r="P6" s="436" t="s">
        <v>408</v>
      </c>
      <c r="Q6" s="436"/>
      <c r="R6" s="436"/>
      <c r="S6" s="436"/>
      <c r="T6" s="480" t="s">
        <v>383</v>
      </c>
      <c r="U6" s="436">
        <v>46085</v>
      </c>
      <c r="V6" s="436"/>
      <c r="W6" s="436" t="s">
        <v>409</v>
      </c>
      <c r="X6" s="436"/>
      <c r="Y6" s="436" t="s">
        <v>409</v>
      </c>
      <c r="Z6" s="436"/>
      <c r="AA6" s="436"/>
      <c r="AB6" s="436"/>
      <c r="AC6" s="436"/>
      <c r="AD6" s="436" t="s">
        <v>410</v>
      </c>
      <c r="AE6" s="325"/>
    </row>
    <row r="7" spans="1:31" ht="31.5" customHeight="1">
      <c r="N7" s="436"/>
      <c r="O7" s="436"/>
      <c r="P7" s="436"/>
      <c r="Q7" s="436"/>
      <c r="R7" s="436"/>
      <c r="S7" s="436"/>
      <c r="T7" s="480"/>
      <c r="U7" s="436"/>
      <c r="V7" s="436"/>
      <c r="W7" s="436"/>
      <c r="X7" s="436"/>
      <c r="Y7" s="436"/>
      <c r="Z7" s="436"/>
      <c r="AA7" s="436"/>
      <c r="AB7" s="436"/>
      <c r="AC7" s="436"/>
      <c r="AD7" s="325"/>
      <c r="AE7" s="436"/>
    </row>
    <row r="8" spans="1:31" ht="31.5" customHeight="1">
      <c r="A8" s="436"/>
      <c r="B8" s="436"/>
      <c r="C8" s="436"/>
      <c r="D8" s="436"/>
      <c r="E8" s="436"/>
      <c r="F8" s="436"/>
      <c r="G8" s="436"/>
      <c r="H8" s="436"/>
      <c r="I8" s="436"/>
      <c r="J8" s="436"/>
      <c r="K8" s="436"/>
      <c r="L8" s="436"/>
      <c r="M8" s="436"/>
      <c r="N8" s="436"/>
      <c r="O8" s="436"/>
      <c r="P8" s="436"/>
      <c r="Q8" s="436"/>
      <c r="R8" s="436"/>
      <c r="S8" s="436"/>
      <c r="T8" s="436"/>
      <c r="U8" s="436"/>
      <c r="V8" s="436"/>
      <c r="W8" s="436"/>
      <c r="X8" s="436"/>
      <c r="Y8" s="436"/>
      <c r="Z8" s="436"/>
      <c r="AA8" s="436"/>
      <c r="AB8" s="436"/>
      <c r="AC8" s="436"/>
      <c r="AD8" s="436"/>
      <c r="AE8" s="436"/>
    </row>
    <row r="9" spans="1:31" ht="31.5" customHeight="1">
      <c r="A9" s="436"/>
      <c r="B9" s="436"/>
      <c r="C9" s="436"/>
      <c r="D9" s="436"/>
      <c r="E9" s="436"/>
      <c r="F9" s="436"/>
      <c r="G9" s="436"/>
      <c r="H9" s="436"/>
      <c r="I9" s="325"/>
      <c r="J9" s="325"/>
      <c r="K9" s="436"/>
      <c r="L9" s="436"/>
      <c r="M9" s="436"/>
      <c r="N9" s="436"/>
      <c r="O9" s="436"/>
      <c r="P9" s="436"/>
      <c r="Q9" s="436"/>
      <c r="R9" s="436"/>
      <c r="S9" s="436"/>
      <c r="T9" s="436"/>
      <c r="U9" s="436"/>
      <c r="V9" s="436"/>
      <c r="W9" s="436"/>
      <c r="X9" s="436"/>
      <c r="Y9" s="436"/>
      <c r="Z9" s="436"/>
      <c r="AA9" s="436"/>
      <c r="AB9" s="436"/>
      <c r="AC9" s="436"/>
      <c r="AD9" s="436"/>
      <c r="AE9" s="436"/>
    </row>
    <row r="10" spans="1:31" ht="31.5" customHeight="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row>
    <row r="11" spans="1:31" ht="31.5" customHeight="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c r="AE11" s="436"/>
    </row>
    <row r="12" spans="1:31" ht="31.5" customHeight="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1" ht="31.5" customHeight="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1" ht="31.5" customHeight="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1" ht="31.5" customHeight="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1" ht="31.5" customHeight="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ht="31.5" customHeight="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ht="31.5" customHeight="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ht="31.5" customHeight="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ht="31.5" customHeight="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ht="31.5"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ht="31.5" customHeight="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ht="31.5" customHeight="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ht="31.5" customHeight="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row>
    <row r="25" spans="1:31" ht="31.5" customHeight="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c r="AE25" s="436"/>
    </row>
    <row r="26" spans="1:31" ht="31.5" customHeight="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c r="AE26" s="436"/>
    </row>
    <row r="27" spans="1:31" ht="31.5" customHeight="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c r="AE27" s="436"/>
    </row>
    <row r="28" spans="1:31" ht="31.5" customHeight="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c r="AE28" s="436"/>
    </row>
    <row r="29" spans="1:31" ht="31.5" customHeight="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row>
    <row r="30" spans="1:31" ht="31.5" customHeight="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row>
    <row r="31" spans="1:31" ht="31.5" customHeight="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1" ht="31.5" customHeight="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ht="31.5" customHeight="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ht="31.5" customHeight="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ht="31.5" customHeight="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ht="31.5" customHeight="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ht="31.5" customHeight="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ht="31.5" customHeight="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ht="31.5" customHeight="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ht="31.5" customHeight="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ht="31.5" customHeight="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0" ht="31.5" customHeight="1">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0" ht="31.5" customHeight="1">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row r="44" spans="1:30" ht="31.5" customHeight="1">
      <c r="A44" s="436"/>
      <c r="B44" s="436"/>
      <c r="C44" s="436"/>
      <c r="D44" s="436"/>
      <c r="E44" s="436"/>
      <c r="F44" s="436"/>
      <c r="G44" s="436"/>
      <c r="H44" s="436"/>
      <c r="I44" s="436"/>
      <c r="J44" s="436"/>
      <c r="K44" s="436"/>
      <c r="L44" s="436"/>
      <c r="M44" s="436"/>
      <c r="N44" s="436"/>
      <c r="O44" s="436"/>
      <c r="P44" s="436"/>
      <c r="Q44" s="436"/>
      <c r="R44" s="436"/>
      <c r="S44" s="436"/>
      <c r="T44" s="436"/>
      <c r="U44" s="436"/>
      <c r="V44" s="436"/>
      <c r="W44" s="436"/>
      <c r="X44" s="436"/>
      <c r="Y44" s="436"/>
      <c r="Z44" s="436"/>
      <c r="AA44" s="436"/>
      <c r="AB44" s="436"/>
      <c r="AC44" s="436"/>
      <c r="AD44" s="436"/>
    </row>
    <row r="45" spans="1:30" ht="31.5" customHeight="1">
      <c r="A45" s="436"/>
      <c r="B45" s="436"/>
      <c r="C45" s="436"/>
      <c r="D45" s="436"/>
      <c r="E45" s="436"/>
      <c r="F45" s="436"/>
      <c r="G45" s="436"/>
      <c r="H45" s="436"/>
      <c r="I45" s="436"/>
      <c r="J45" s="436"/>
      <c r="K45" s="436"/>
      <c r="L45" s="436"/>
      <c r="M45" s="436"/>
      <c r="N45" s="436"/>
      <c r="O45" s="436"/>
      <c r="P45" s="436"/>
      <c r="Q45" s="436"/>
      <c r="R45" s="436"/>
      <c r="S45" s="436"/>
      <c r="T45" s="436"/>
      <c r="U45" s="436"/>
      <c r="V45" s="436"/>
      <c r="W45" s="436"/>
      <c r="X45" s="436"/>
      <c r="Y45" s="436"/>
      <c r="Z45" s="436"/>
      <c r="AA45" s="436"/>
      <c r="AB45" s="436"/>
      <c r="AC45" s="436"/>
      <c r="AD45" s="436"/>
    </row>
    <row r="46" spans="1:30" ht="31.5" customHeight="1">
      <c r="A46" s="436"/>
      <c r="B46" s="436"/>
      <c r="C46" s="436"/>
      <c r="D46" s="436"/>
      <c r="E46" s="436"/>
      <c r="F46" s="436"/>
      <c r="G46" s="436"/>
      <c r="H46" s="436"/>
      <c r="I46" s="436"/>
      <c r="J46" s="436"/>
      <c r="K46" s="436"/>
      <c r="L46" s="436"/>
      <c r="M46" s="436"/>
      <c r="N46" s="436"/>
      <c r="O46" s="436"/>
      <c r="P46" s="436"/>
      <c r="Q46" s="436"/>
      <c r="R46" s="436"/>
      <c r="S46" s="436"/>
      <c r="T46" s="436"/>
      <c r="U46" s="436"/>
      <c r="V46" s="436"/>
      <c r="W46" s="436"/>
      <c r="X46" s="436"/>
      <c r="Y46" s="436"/>
      <c r="Z46" s="436"/>
      <c r="AA46" s="436"/>
      <c r="AB46" s="436"/>
      <c r="AC46" s="436"/>
      <c r="AD46" s="436"/>
    </row>
  </sheetData>
  <hyperlinks>
    <hyperlink ref="T3" r:id="rId1" xr:uid="{92D6D7F2-7A22-44CA-B0BA-89D4A757F30C}"/>
    <hyperlink ref="T4" r:id="rId2" xr:uid="{4A26C8CB-1C8B-41C7-85FF-6144174A89FD}"/>
    <hyperlink ref="T2" r:id="rId3" xr:uid="{87BD4A1B-8780-48FB-9FBB-A3921F897077}"/>
    <hyperlink ref="T5" r:id="rId4" xr:uid="{79AF0CD9-D1ED-4ACD-918C-012CCBE974F0}"/>
    <hyperlink ref="T6" r:id="rId5" xr:uid="{108B49EA-B328-4F6B-B66B-00607DF4B9D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C5DA49E-6142-4680-B883-89DF69B8D236}">
          <x14:formula1>
            <xm:f>Settings!$C$3:$C$20</xm:f>
          </x14:formula1>
          <xm:sqref>I2:I6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F2CDE-EB41-4913-8989-7559EDD14957}">
  <dimension ref="A1:AE48"/>
  <sheetViews>
    <sheetView topLeftCell="C1" workbookViewId="0">
      <selection activeCell="P8" sqref="P8"/>
    </sheetView>
  </sheetViews>
  <sheetFormatPr defaultRowHeight="31.5" customHeight="1"/>
  <cols>
    <col min="1" max="1" width="9.85546875" customWidth="1"/>
    <col min="2" max="2" width="14.5703125" customWidth="1"/>
    <col min="3" max="3" width="16.85546875" customWidth="1"/>
    <col min="4" max="4" width="14.85546875" customWidth="1"/>
    <col min="5" max="5" width="29.85546875" customWidth="1"/>
    <col min="6" max="6" width="17.42578125" customWidth="1"/>
    <col min="7" max="7" width="19.140625" style="46" customWidth="1"/>
    <col min="8" max="8" width="49" customWidth="1"/>
    <col min="9" max="9" width="21.42578125" customWidth="1"/>
    <col min="10" max="10" width="13.42578125" customWidth="1"/>
    <col min="11" max="11" width="11.28515625" customWidth="1"/>
    <col min="12" max="12" width="10.140625"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5" width="9.140625" bestFit="1" customWidth="1"/>
    <col min="26" max="26" width="12.28515625" customWidth="1"/>
    <col min="27" max="28" width="9.140625" bestFit="1" customWidth="1"/>
    <col min="29" max="29" width="28.28515625" customWidth="1"/>
    <col min="30" max="30" width="42.7109375" customWidth="1"/>
    <col min="31" max="31" width="34.28515625" customWidth="1"/>
  </cols>
  <sheetData>
    <row r="1" spans="1:31" ht="31.5" customHeight="1">
      <c r="A1" s="433" t="s">
        <v>243</v>
      </c>
      <c r="B1" s="433" t="s">
        <v>4</v>
      </c>
      <c r="C1" s="433" t="s">
        <v>2</v>
      </c>
      <c r="D1" s="433" t="s">
        <v>3</v>
      </c>
      <c r="E1" s="433" t="s">
        <v>244</v>
      </c>
      <c r="F1" s="433" t="s">
        <v>245</v>
      </c>
      <c r="G1" s="433" t="s">
        <v>246</v>
      </c>
      <c r="H1" s="433"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s="46" customFormat="1" ht="31.5" customHeight="1">
      <c r="A2" s="325">
        <v>1</v>
      </c>
      <c r="B2" s="325" t="s">
        <v>379</v>
      </c>
      <c r="C2" s="436">
        <v>46059</v>
      </c>
      <c r="D2" s="436">
        <v>46072</v>
      </c>
      <c r="E2" s="325" t="s">
        <v>411</v>
      </c>
      <c r="F2" s="436" t="s">
        <v>287</v>
      </c>
      <c r="G2" s="325">
        <v>26741</v>
      </c>
      <c r="H2" s="436" t="s">
        <v>412</v>
      </c>
      <c r="I2" s="477" t="s">
        <v>295</v>
      </c>
      <c r="J2" s="325">
        <v>2</v>
      </c>
      <c r="K2" s="325">
        <v>2</v>
      </c>
      <c r="L2" s="325">
        <v>5</v>
      </c>
      <c r="M2" s="436">
        <v>46058</v>
      </c>
      <c r="N2" s="436">
        <v>46059</v>
      </c>
      <c r="O2" s="436" t="s">
        <v>13</v>
      </c>
      <c r="P2" s="436" t="s">
        <v>275</v>
      </c>
      <c r="Q2" s="436"/>
      <c r="R2" s="436" t="s">
        <v>275</v>
      </c>
      <c r="S2" s="436"/>
      <c r="T2" s="480" t="s">
        <v>413</v>
      </c>
      <c r="U2" s="436">
        <v>46059</v>
      </c>
      <c r="V2" s="436">
        <v>46059</v>
      </c>
      <c r="W2" s="46" t="s">
        <v>287</v>
      </c>
      <c r="X2" s="436"/>
      <c r="Y2" s="436" t="s">
        <v>414</v>
      </c>
      <c r="Z2" s="436">
        <v>46059</v>
      </c>
      <c r="AA2" s="436"/>
      <c r="AB2" s="436"/>
      <c r="AC2" s="436"/>
      <c r="AD2" s="436"/>
      <c r="AE2" s="325"/>
    </row>
    <row r="3" spans="1:31" s="46" customFormat="1" ht="31.5" customHeight="1">
      <c r="A3" s="325">
        <v>2</v>
      </c>
      <c r="B3" s="325" t="s">
        <v>379</v>
      </c>
      <c r="C3" s="436">
        <v>46059</v>
      </c>
      <c r="D3" s="436">
        <v>46072</v>
      </c>
      <c r="E3" s="325" t="s">
        <v>411</v>
      </c>
      <c r="F3" s="436" t="s">
        <v>275</v>
      </c>
      <c r="G3" s="325">
        <v>26742</v>
      </c>
      <c r="H3" s="436" t="s">
        <v>415</v>
      </c>
      <c r="I3" s="477" t="s">
        <v>295</v>
      </c>
      <c r="J3" s="325">
        <v>2</v>
      </c>
      <c r="K3" s="325">
        <v>2</v>
      </c>
      <c r="L3" s="325">
        <v>5</v>
      </c>
      <c r="M3" s="436">
        <v>46058</v>
      </c>
      <c r="N3" s="436">
        <v>46059</v>
      </c>
      <c r="O3" s="436" t="s">
        <v>13</v>
      </c>
      <c r="P3" s="436" t="s">
        <v>287</v>
      </c>
      <c r="Q3" s="436"/>
      <c r="R3" s="436" t="s">
        <v>287</v>
      </c>
      <c r="S3" s="436"/>
      <c r="T3" s="480" t="s">
        <v>416</v>
      </c>
      <c r="U3" s="436">
        <v>46059</v>
      </c>
      <c r="V3" s="436">
        <v>46059</v>
      </c>
      <c r="W3" s="436" t="s">
        <v>287</v>
      </c>
      <c r="X3" s="436"/>
      <c r="Y3" s="436" t="s">
        <v>322</v>
      </c>
      <c r="Z3" s="436">
        <v>46059</v>
      </c>
      <c r="AA3" s="436"/>
      <c r="AB3" s="436"/>
      <c r="AC3" s="436"/>
      <c r="AD3" s="436"/>
      <c r="AE3" s="325"/>
    </row>
    <row r="4" spans="1:31" ht="31.5" customHeight="1">
      <c r="A4" s="325">
        <v>3</v>
      </c>
      <c r="B4" s="325" t="s">
        <v>379</v>
      </c>
      <c r="C4" s="436">
        <v>46059</v>
      </c>
      <c r="D4" s="436">
        <v>46072</v>
      </c>
      <c r="E4" s="436" t="s">
        <v>411</v>
      </c>
      <c r="F4" s="436" t="s">
        <v>417</v>
      </c>
      <c r="G4" s="325">
        <v>51380</v>
      </c>
      <c r="H4" s="436" t="s">
        <v>418</v>
      </c>
      <c r="I4" s="477" t="s">
        <v>280</v>
      </c>
      <c r="J4" s="325">
        <v>3</v>
      </c>
      <c r="K4" s="325">
        <v>6</v>
      </c>
      <c r="L4" s="325">
        <v>24</v>
      </c>
      <c r="M4" s="436">
        <v>46050</v>
      </c>
      <c r="N4" s="436">
        <v>46064</v>
      </c>
      <c r="O4" s="436" t="s">
        <v>419</v>
      </c>
      <c r="P4" s="436" t="s">
        <v>420</v>
      </c>
      <c r="Q4" s="436"/>
      <c r="R4" s="436" t="s">
        <v>275</v>
      </c>
      <c r="S4" s="491"/>
      <c r="T4" s="66" t="s">
        <v>421</v>
      </c>
      <c r="U4" s="494">
        <v>46064</v>
      </c>
      <c r="V4" s="436">
        <v>46064</v>
      </c>
      <c r="W4" s="436" t="s">
        <v>287</v>
      </c>
      <c r="X4" s="436"/>
      <c r="Y4" s="436" t="s">
        <v>322</v>
      </c>
      <c r="Z4" s="436">
        <v>46064</v>
      </c>
      <c r="AA4" s="436"/>
      <c r="AB4" s="436"/>
      <c r="AC4" s="436"/>
      <c r="AD4" s="436"/>
      <c r="AE4" s="436"/>
    </row>
    <row r="5" spans="1:31" ht="31.5" customHeight="1">
      <c r="A5" s="325">
        <v>4</v>
      </c>
      <c r="B5" s="325" t="s">
        <v>379</v>
      </c>
      <c r="C5" s="436">
        <v>46059</v>
      </c>
      <c r="D5" s="436">
        <v>46072</v>
      </c>
      <c r="E5" s="325" t="s">
        <v>411</v>
      </c>
      <c r="F5" s="436" t="s">
        <v>275</v>
      </c>
      <c r="G5" s="325">
        <v>50603</v>
      </c>
      <c r="H5" s="436" t="s">
        <v>422</v>
      </c>
      <c r="I5" s="477" t="s">
        <v>280</v>
      </c>
      <c r="J5" s="325">
        <v>5</v>
      </c>
      <c r="K5" s="325">
        <v>5</v>
      </c>
      <c r="L5" s="325">
        <v>20</v>
      </c>
      <c r="M5" s="436">
        <v>46062</v>
      </c>
      <c r="N5" s="436">
        <v>46065</v>
      </c>
      <c r="O5" s="436" t="s">
        <v>419</v>
      </c>
      <c r="P5" s="436" t="s">
        <v>272</v>
      </c>
      <c r="Q5" s="436"/>
      <c r="R5" s="436" t="s">
        <v>287</v>
      </c>
      <c r="S5" s="436"/>
      <c r="T5" s="480" t="s">
        <v>423</v>
      </c>
      <c r="U5" s="436">
        <v>46065</v>
      </c>
      <c r="V5" s="436">
        <v>46066</v>
      </c>
      <c r="W5" s="436" t="s">
        <v>287</v>
      </c>
      <c r="X5" s="436"/>
      <c r="Y5" s="436" t="s">
        <v>287</v>
      </c>
      <c r="Z5" s="436">
        <v>46066</v>
      </c>
      <c r="AA5" s="436"/>
      <c r="AB5" s="436"/>
      <c r="AC5" s="436"/>
      <c r="AD5" s="436"/>
      <c r="AE5" s="325"/>
    </row>
    <row r="6" spans="1:31" ht="31.5" customHeight="1">
      <c r="A6" s="325">
        <v>5</v>
      </c>
      <c r="B6" s="325" t="s">
        <v>379</v>
      </c>
      <c r="C6" s="436">
        <v>46059</v>
      </c>
      <c r="D6" s="436">
        <v>46072</v>
      </c>
      <c r="E6" s="460" t="s">
        <v>424</v>
      </c>
      <c r="F6" s="325" t="s">
        <v>272</v>
      </c>
      <c r="G6" s="488">
        <v>51890</v>
      </c>
      <c r="H6" s="436" t="s">
        <v>382</v>
      </c>
      <c r="I6" s="436" t="s">
        <v>274</v>
      </c>
      <c r="J6" s="325">
        <v>8</v>
      </c>
      <c r="K6" s="325"/>
      <c r="L6" s="325"/>
      <c r="M6" s="436">
        <v>46065</v>
      </c>
      <c r="N6" s="436"/>
      <c r="O6" s="436"/>
      <c r="P6" s="436"/>
      <c r="Q6" s="436"/>
      <c r="R6" s="436"/>
      <c r="S6" s="436"/>
      <c r="T6" s="480"/>
      <c r="U6" s="436"/>
      <c r="V6" s="436"/>
      <c r="W6" s="436"/>
      <c r="X6" s="436"/>
      <c r="Y6" s="436"/>
      <c r="Z6" s="436"/>
      <c r="AA6" s="436"/>
      <c r="AB6" s="436"/>
      <c r="AC6" s="436"/>
      <c r="AD6" s="436"/>
      <c r="AE6" s="436"/>
    </row>
    <row r="7" spans="1:31" ht="31.5" customHeight="1">
      <c r="A7" s="325">
        <v>6</v>
      </c>
      <c r="B7" s="436" t="s">
        <v>379</v>
      </c>
      <c r="C7" s="436">
        <v>46059</v>
      </c>
      <c r="D7" s="436">
        <v>46072</v>
      </c>
      <c r="E7" s="460" t="s">
        <v>424</v>
      </c>
      <c r="F7" s="325" t="s">
        <v>272</v>
      </c>
      <c r="G7" s="325">
        <v>51384</v>
      </c>
      <c r="H7" s="436" t="s">
        <v>425</v>
      </c>
      <c r="I7" s="477" t="s">
        <v>280</v>
      </c>
      <c r="J7" s="325">
        <v>13</v>
      </c>
      <c r="K7" s="325">
        <v>13</v>
      </c>
      <c r="L7" s="325">
        <v>60</v>
      </c>
      <c r="M7" s="436">
        <v>46045</v>
      </c>
      <c r="N7" s="436">
        <v>46062</v>
      </c>
      <c r="O7" s="436" t="s">
        <v>13</v>
      </c>
      <c r="P7" s="436" t="s">
        <v>272</v>
      </c>
      <c r="Q7" s="436"/>
      <c r="R7" s="436" t="s">
        <v>283</v>
      </c>
      <c r="S7" s="436"/>
      <c r="T7" s="495" t="s">
        <v>426</v>
      </c>
      <c r="U7" s="436">
        <v>46062</v>
      </c>
      <c r="V7" s="436">
        <v>46063</v>
      </c>
      <c r="W7" s="436" t="s">
        <v>283</v>
      </c>
      <c r="X7" s="436"/>
      <c r="Y7" s="436" t="s">
        <v>283</v>
      </c>
      <c r="Z7" s="436">
        <v>46063</v>
      </c>
      <c r="AA7" s="436"/>
      <c r="AB7" s="436"/>
      <c r="AC7" s="436"/>
      <c r="AD7" s="436"/>
      <c r="AE7" s="436"/>
    </row>
    <row r="8" spans="1:31" ht="31.5" customHeight="1">
      <c r="A8" s="325">
        <v>7</v>
      </c>
      <c r="B8" s="436" t="s">
        <v>379</v>
      </c>
      <c r="C8" s="436">
        <v>46059</v>
      </c>
      <c r="D8" s="436">
        <v>46072</v>
      </c>
      <c r="E8" s="460" t="s">
        <v>424</v>
      </c>
      <c r="F8" s="436" t="s">
        <v>275</v>
      </c>
      <c r="G8" s="325">
        <v>51917</v>
      </c>
      <c r="H8" s="436" t="s">
        <v>427</v>
      </c>
      <c r="I8" s="436" t="s">
        <v>428</v>
      </c>
      <c r="J8" s="325">
        <v>3</v>
      </c>
      <c r="K8" s="325">
        <v>3</v>
      </c>
      <c r="L8" s="325">
        <v>12</v>
      </c>
      <c r="M8" s="436">
        <v>46065</v>
      </c>
      <c r="N8" s="436">
        <v>46072</v>
      </c>
      <c r="O8" s="436" t="s">
        <v>13</v>
      </c>
      <c r="P8" s="436" t="s">
        <v>272</v>
      </c>
      <c r="Q8" s="436"/>
      <c r="R8" s="436"/>
      <c r="S8" s="436"/>
      <c r="T8" s="495" t="s">
        <v>429</v>
      </c>
      <c r="U8" s="436">
        <v>46072</v>
      </c>
      <c r="V8" s="436"/>
      <c r="W8" s="436"/>
      <c r="X8" s="436"/>
      <c r="Y8" s="436"/>
      <c r="Z8" s="436"/>
      <c r="AA8" s="436"/>
      <c r="AB8" s="436"/>
      <c r="AC8" s="436"/>
      <c r="AD8" s="436"/>
      <c r="AE8" s="436"/>
    </row>
    <row r="9" spans="1:31" ht="31.5" customHeight="1">
      <c r="A9" s="325">
        <v>8</v>
      </c>
      <c r="B9" s="325" t="s">
        <v>379</v>
      </c>
      <c r="C9" s="436">
        <v>46059</v>
      </c>
      <c r="D9" s="436">
        <v>46072</v>
      </c>
      <c r="E9" s="460" t="s">
        <v>424</v>
      </c>
      <c r="F9" s="436" t="s">
        <v>287</v>
      </c>
      <c r="G9" s="325">
        <v>51731</v>
      </c>
      <c r="H9" s="436" t="s">
        <v>430</v>
      </c>
      <c r="I9" s="477" t="s">
        <v>280</v>
      </c>
      <c r="J9" s="325">
        <v>8</v>
      </c>
      <c r="K9" s="325">
        <v>8</v>
      </c>
      <c r="L9" s="325">
        <v>36</v>
      </c>
      <c r="M9" s="436">
        <v>46059</v>
      </c>
      <c r="N9" s="436">
        <v>46066</v>
      </c>
      <c r="O9" s="436" t="s">
        <v>13</v>
      </c>
      <c r="P9" s="436" t="s">
        <v>431</v>
      </c>
      <c r="Q9" s="436"/>
      <c r="R9" s="436" t="s">
        <v>275</v>
      </c>
      <c r="S9" s="436"/>
      <c r="T9" s="480" t="s">
        <v>423</v>
      </c>
      <c r="U9" s="436">
        <v>46066</v>
      </c>
      <c r="V9" s="436">
        <v>46069</v>
      </c>
      <c r="W9" s="436" t="s">
        <v>287</v>
      </c>
      <c r="X9" s="436"/>
      <c r="Y9" s="436" t="s">
        <v>414</v>
      </c>
      <c r="Z9" s="436">
        <v>46069</v>
      </c>
      <c r="AA9" s="436"/>
      <c r="AB9" s="436"/>
      <c r="AC9" s="436"/>
      <c r="AD9" s="325"/>
      <c r="AE9" s="436"/>
    </row>
    <row r="10" spans="1:31" ht="31.5" customHeight="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row>
    <row r="11" spans="1:31" ht="31.5" customHeight="1">
      <c r="A11" s="436"/>
      <c r="B11" s="436"/>
      <c r="C11" s="436"/>
      <c r="D11" s="436"/>
      <c r="E11" s="436"/>
      <c r="F11" s="436"/>
      <c r="G11" s="436"/>
      <c r="H11" s="436"/>
      <c r="I11" s="325"/>
      <c r="J11" s="325"/>
      <c r="K11" s="436"/>
      <c r="L11" s="436"/>
      <c r="M11" s="436"/>
      <c r="N11" s="436"/>
      <c r="O11" s="436"/>
      <c r="P11" s="436"/>
      <c r="Q11" s="436"/>
      <c r="R11" s="436"/>
      <c r="S11" s="436"/>
      <c r="T11" s="436"/>
      <c r="U11" s="436"/>
      <c r="V11" s="436"/>
      <c r="W11" s="436"/>
      <c r="X11" s="436"/>
      <c r="Y11" s="436"/>
      <c r="Z11" s="436"/>
      <c r="AA11" s="436"/>
      <c r="AB11" s="436"/>
      <c r="AC11" s="436"/>
      <c r="AD11" s="436"/>
      <c r="AE11" s="436"/>
    </row>
    <row r="12" spans="1:31" ht="31.5" customHeight="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1" ht="31.5" customHeight="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1" ht="31.5" customHeight="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1" ht="31.5" customHeight="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1" ht="31.5" customHeight="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ht="31.5" customHeight="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ht="31.5" customHeight="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ht="31.5" customHeight="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ht="31.5" customHeight="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ht="31.5"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ht="31.5" customHeight="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ht="31.5" customHeight="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ht="31.5" customHeight="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row>
    <row r="25" spans="1:31" ht="31.5" customHeight="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c r="AE25" s="436"/>
    </row>
    <row r="26" spans="1:31" ht="31.5" customHeight="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c r="AE26" s="436"/>
    </row>
    <row r="27" spans="1:31" ht="31.5" customHeight="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c r="AE27" s="436"/>
    </row>
    <row r="28" spans="1:31" ht="31.5" customHeight="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c r="AE28" s="436"/>
    </row>
    <row r="29" spans="1:31" ht="31.5" customHeight="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c r="AE29" s="436"/>
    </row>
    <row r="30" spans="1:31" ht="31.5" customHeight="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c r="AE30" s="436"/>
    </row>
    <row r="31" spans="1:31" ht="31.5" customHeight="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1" ht="31.5" customHeight="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ht="31.5" customHeight="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ht="31.5" customHeight="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ht="31.5" customHeight="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ht="31.5" customHeight="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ht="31.5" customHeight="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ht="31.5" customHeight="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ht="31.5" customHeight="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ht="31.5" customHeight="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ht="31.5" customHeight="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0" ht="31.5" customHeight="1">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0" ht="31.5" customHeight="1">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row r="44" spans="1:30" ht="31.5" customHeight="1">
      <c r="A44" s="436"/>
      <c r="B44" s="436"/>
      <c r="C44" s="436"/>
      <c r="D44" s="436"/>
      <c r="E44" s="436"/>
      <c r="F44" s="436"/>
      <c r="G44" s="436"/>
      <c r="H44" s="436"/>
      <c r="I44" s="436"/>
      <c r="J44" s="436"/>
      <c r="K44" s="436"/>
      <c r="L44" s="436"/>
      <c r="M44" s="436"/>
      <c r="N44" s="436"/>
      <c r="O44" s="436"/>
      <c r="P44" s="436"/>
      <c r="Q44" s="436"/>
      <c r="R44" s="436"/>
      <c r="S44" s="436"/>
      <c r="T44" s="436"/>
      <c r="U44" s="436"/>
      <c r="V44" s="436"/>
      <c r="W44" s="436"/>
      <c r="X44" s="436"/>
      <c r="Y44" s="436"/>
      <c r="Z44" s="436"/>
      <c r="AA44" s="436"/>
      <c r="AB44" s="436"/>
      <c r="AC44" s="436"/>
      <c r="AD44" s="436"/>
    </row>
    <row r="45" spans="1:30" ht="31.5" customHeight="1">
      <c r="A45" s="436"/>
      <c r="B45" s="436"/>
      <c r="C45" s="436"/>
      <c r="D45" s="436"/>
      <c r="E45" s="436"/>
      <c r="F45" s="436"/>
      <c r="G45" s="436"/>
      <c r="H45" s="436"/>
      <c r="I45" s="436"/>
      <c r="J45" s="436"/>
      <c r="K45" s="436"/>
      <c r="L45" s="436"/>
      <c r="M45" s="436"/>
      <c r="N45" s="436"/>
      <c r="O45" s="436"/>
      <c r="P45" s="436"/>
      <c r="Q45" s="436"/>
      <c r="R45" s="436"/>
      <c r="S45" s="436"/>
      <c r="T45" s="436"/>
      <c r="U45" s="436"/>
      <c r="V45" s="436"/>
      <c r="W45" s="436"/>
      <c r="X45" s="436"/>
      <c r="Y45" s="436"/>
      <c r="Z45" s="436"/>
      <c r="AA45" s="436"/>
      <c r="AB45" s="436"/>
      <c r="AC45" s="436"/>
      <c r="AD45" s="436"/>
    </row>
    <row r="46" spans="1:30" ht="31.5" customHeight="1">
      <c r="A46" s="436"/>
      <c r="B46" s="436"/>
      <c r="C46" s="436"/>
      <c r="D46" s="436"/>
      <c r="E46" s="436"/>
      <c r="F46" s="436"/>
      <c r="G46" s="436"/>
      <c r="H46" s="436"/>
      <c r="I46" s="436"/>
      <c r="J46" s="436"/>
      <c r="K46" s="436"/>
      <c r="L46" s="436"/>
      <c r="M46" s="436"/>
      <c r="N46" s="436"/>
      <c r="O46" s="436"/>
      <c r="P46" s="436"/>
      <c r="Q46" s="436"/>
      <c r="R46" s="436"/>
      <c r="S46" s="436"/>
      <c r="T46" s="436"/>
      <c r="U46" s="436"/>
      <c r="V46" s="436"/>
      <c r="W46" s="436"/>
      <c r="X46" s="436"/>
      <c r="Y46" s="436"/>
      <c r="Z46" s="436"/>
      <c r="AA46" s="436"/>
      <c r="AB46" s="436"/>
      <c r="AC46" s="436"/>
      <c r="AD46" s="436"/>
    </row>
    <row r="47" spans="1:30" ht="31.5" customHeight="1">
      <c r="A47" s="436"/>
      <c r="B47" s="436"/>
      <c r="C47" s="436"/>
      <c r="D47" s="436"/>
      <c r="E47" s="436"/>
      <c r="F47" s="436"/>
      <c r="G47" s="436"/>
      <c r="H47" s="436"/>
      <c r="I47" s="436"/>
      <c r="J47" s="436"/>
      <c r="K47" s="436"/>
      <c r="L47" s="436"/>
      <c r="M47" s="436"/>
      <c r="N47" s="436"/>
      <c r="O47" s="436"/>
      <c r="P47" s="436"/>
      <c r="Q47" s="436"/>
      <c r="R47" s="436"/>
      <c r="S47" s="436"/>
      <c r="T47" s="436"/>
      <c r="U47" s="436"/>
      <c r="V47" s="436"/>
      <c r="W47" s="436"/>
      <c r="X47" s="436"/>
      <c r="Y47" s="436"/>
      <c r="Z47" s="436"/>
      <c r="AA47" s="436"/>
      <c r="AB47" s="436"/>
      <c r="AC47" s="436"/>
      <c r="AD47" s="436"/>
    </row>
    <row r="48" spans="1:30" ht="31.5" customHeight="1">
      <c r="A48" s="436"/>
      <c r="B48" s="436"/>
      <c r="C48" s="436"/>
      <c r="D48" s="436"/>
      <c r="E48" s="436"/>
      <c r="F48" s="436"/>
      <c r="G48" s="436"/>
      <c r="H48" s="436"/>
      <c r="I48" s="436"/>
      <c r="J48" s="436"/>
      <c r="K48" s="436"/>
      <c r="L48" s="436"/>
      <c r="M48" s="436"/>
      <c r="N48" s="436"/>
      <c r="O48" s="436"/>
      <c r="P48" s="436"/>
      <c r="Q48" s="436"/>
      <c r="R48" s="436"/>
      <c r="S48" s="436"/>
      <c r="T48" s="436"/>
      <c r="U48" s="436"/>
      <c r="V48" s="436"/>
      <c r="W48" s="436"/>
      <c r="X48" s="436"/>
      <c r="Y48" s="436"/>
      <c r="Z48" s="436"/>
      <c r="AA48" s="436"/>
      <c r="AB48" s="436"/>
      <c r="AC48" s="436"/>
      <c r="AD48" s="436"/>
    </row>
  </sheetData>
  <hyperlinks>
    <hyperlink ref="T2" r:id="rId1" xr:uid="{056116E8-7CDE-400E-BB7F-796E21AB8B6E}"/>
    <hyperlink ref="T3" r:id="rId2" xr:uid="{E04A3C5F-E0D9-4A82-AFEB-D91D16A3E184}"/>
    <hyperlink ref="T7" r:id="rId3" xr:uid="{0E423844-7148-469E-9C88-74911358F674}"/>
    <hyperlink ref="T4" r:id="rId4" xr:uid="{704A2434-28DB-4AC5-BB33-F662D5FDFDEF}"/>
    <hyperlink ref="T5" r:id="rId5" xr:uid="{476546E9-6D9A-4083-810C-323B5ADCECB3}"/>
    <hyperlink ref="T9" r:id="rId6" xr:uid="{875920B3-F9B6-448C-8EE7-C425167A22C9}"/>
    <hyperlink ref="T8" r:id="rId7" xr:uid="{D3EE513E-98B1-4708-8260-F343C2D47D1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974D77B-E40F-4085-AC88-50DB5315C9D9}">
          <x14:formula1>
            <xm:f>Settings!$C$3:$C$20</xm:f>
          </x14:formula1>
          <xm:sqref>I2:I9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4D78D-70BA-4EF7-AD6D-0CBF2D349E34}">
  <dimension ref="A1:M4"/>
  <sheetViews>
    <sheetView topLeftCell="F1" workbookViewId="0">
      <selection activeCell="L3" sqref="L3"/>
    </sheetView>
  </sheetViews>
  <sheetFormatPr defaultRowHeight="12.75"/>
  <cols>
    <col min="1" max="1" width="22.28515625" style="70" customWidth="1"/>
    <col min="2" max="2" width="13.85546875" style="70" customWidth="1"/>
    <col min="3" max="3" width="9.7109375" style="70" customWidth="1"/>
    <col min="4" max="4" width="20.28515625" style="70" customWidth="1"/>
    <col min="5" max="5" width="13.85546875" style="70" customWidth="1"/>
    <col min="6" max="6" width="109.85546875" style="70" customWidth="1"/>
    <col min="7" max="8" width="9.140625" style="70" bestFit="1" customWidth="1"/>
    <col min="9" max="9" width="18.7109375" style="70" customWidth="1"/>
    <col min="10" max="10" width="19.85546875" style="70" customWidth="1"/>
    <col min="11" max="11" width="25.7109375" style="70" customWidth="1"/>
    <col min="12" max="12" width="15.7109375" style="70" customWidth="1"/>
    <col min="13" max="13" width="64.28515625" style="70" customWidth="1"/>
    <col min="14" max="16384" width="9.140625" style="70"/>
  </cols>
  <sheetData>
    <row r="1" spans="1:13" ht="24">
      <c r="A1" s="184" t="s">
        <v>11</v>
      </c>
      <c r="B1" s="184" t="s">
        <v>297</v>
      </c>
      <c r="C1" s="184" t="s">
        <v>298</v>
      </c>
      <c r="D1" s="184" t="s">
        <v>245</v>
      </c>
      <c r="E1" s="184" t="s">
        <v>299</v>
      </c>
      <c r="F1" s="184" t="s">
        <v>300</v>
      </c>
      <c r="G1" s="184" t="s">
        <v>301</v>
      </c>
      <c r="H1" s="184" t="s">
        <v>302</v>
      </c>
      <c r="I1" s="184" t="s">
        <v>303</v>
      </c>
      <c r="J1" s="184" t="s">
        <v>304</v>
      </c>
      <c r="K1" s="184" t="s">
        <v>248</v>
      </c>
      <c r="L1" s="499" t="s">
        <v>305</v>
      </c>
      <c r="M1" s="500" t="s">
        <v>306</v>
      </c>
    </row>
    <row r="2" spans="1:13" s="502" customFormat="1" ht="63" customHeight="1">
      <c r="A2" s="392" t="s">
        <v>411</v>
      </c>
      <c r="B2" s="318">
        <v>51380</v>
      </c>
      <c r="C2" s="501"/>
      <c r="D2" s="392" t="s">
        <v>432</v>
      </c>
      <c r="E2" s="67" t="s">
        <v>375</v>
      </c>
      <c r="F2" s="86" t="s">
        <v>433</v>
      </c>
      <c r="G2" s="67" t="s">
        <v>335</v>
      </c>
      <c r="H2" s="67" t="s">
        <v>336</v>
      </c>
      <c r="I2" s="67" t="s">
        <v>311</v>
      </c>
      <c r="J2" s="67" t="s">
        <v>329</v>
      </c>
      <c r="K2" s="67" t="s">
        <v>295</v>
      </c>
      <c r="L2" s="67" t="s">
        <v>313</v>
      </c>
      <c r="M2" s="67"/>
    </row>
    <row r="3" spans="1:13" s="502" customFormat="1" ht="39" customHeight="1">
      <c r="A3" s="392" t="s">
        <v>411</v>
      </c>
      <c r="B3" s="318">
        <v>51380</v>
      </c>
      <c r="C3" s="501"/>
      <c r="D3" s="392" t="s">
        <v>432</v>
      </c>
      <c r="E3" s="67" t="s">
        <v>375</v>
      </c>
      <c r="F3" s="502" t="s">
        <v>434</v>
      </c>
      <c r="G3" s="67" t="s">
        <v>335</v>
      </c>
      <c r="H3" s="67" t="s">
        <v>336</v>
      </c>
      <c r="I3" s="67" t="s">
        <v>311</v>
      </c>
      <c r="J3" s="67" t="s">
        <v>329</v>
      </c>
      <c r="K3" s="67" t="s">
        <v>295</v>
      </c>
      <c r="L3" s="67" t="s">
        <v>313</v>
      </c>
    </row>
    <row r="4" spans="1:13" ht="24">
      <c r="A4" s="460" t="s">
        <v>424</v>
      </c>
      <c r="B4" s="318">
        <v>51731</v>
      </c>
      <c r="C4" s="318"/>
      <c r="D4" s="318" t="s">
        <v>435</v>
      </c>
      <c r="E4" s="67" t="s">
        <v>375</v>
      </c>
      <c r="F4" s="502" t="s">
        <v>436</v>
      </c>
      <c r="G4" s="67" t="s">
        <v>335</v>
      </c>
      <c r="H4" s="67" t="s">
        <v>336</v>
      </c>
      <c r="I4" s="67" t="s">
        <v>311</v>
      </c>
      <c r="J4" s="67" t="s">
        <v>272</v>
      </c>
      <c r="K4" s="67" t="s">
        <v>295</v>
      </c>
      <c r="L4" s="67" t="s">
        <v>313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683BD-F936-46E0-83DC-4E77415ED8EA}">
  <dimension ref="A1:AE47"/>
  <sheetViews>
    <sheetView workbookViewId="0">
      <selection activeCell="AE6" sqref="AE6"/>
    </sheetView>
  </sheetViews>
  <sheetFormatPr defaultRowHeight="31.5" customHeight="1"/>
  <cols>
    <col min="1" max="1" width="9.85546875" customWidth="1"/>
    <col min="2" max="2" width="14.5703125" customWidth="1"/>
    <col min="3" max="3" width="16.85546875" customWidth="1"/>
    <col min="4" max="4" width="14.85546875" customWidth="1"/>
    <col min="5" max="5" width="25.85546875" customWidth="1"/>
    <col min="6" max="6" width="17.42578125" customWidth="1"/>
    <col min="7" max="7" width="19.140625" style="46" customWidth="1"/>
    <col min="8" max="8" width="49" customWidth="1"/>
    <col min="9" max="9" width="21.42578125" customWidth="1"/>
    <col min="10" max="10" width="13.42578125" customWidth="1"/>
    <col min="11" max="11" width="11.28515625" customWidth="1"/>
    <col min="12" max="12" width="10.140625"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5" width="9.140625" bestFit="1" customWidth="1"/>
    <col min="26" max="26" width="12.28515625" customWidth="1"/>
    <col min="27" max="28" width="9.140625" bestFit="1" customWidth="1"/>
    <col min="29" max="29" width="28.28515625" customWidth="1"/>
    <col min="30" max="30" width="42.7109375" customWidth="1"/>
    <col min="31" max="31" width="34.28515625" customWidth="1"/>
  </cols>
  <sheetData>
    <row r="1" spans="1:31" ht="78" customHeight="1">
      <c r="A1" s="433" t="s">
        <v>243</v>
      </c>
      <c r="B1" s="433" t="s">
        <v>4</v>
      </c>
      <c r="C1" s="433" t="s">
        <v>2</v>
      </c>
      <c r="D1" s="433" t="s">
        <v>3</v>
      </c>
      <c r="E1" s="433" t="s">
        <v>244</v>
      </c>
      <c r="F1" s="433" t="s">
        <v>245</v>
      </c>
      <c r="G1" s="433" t="s">
        <v>246</v>
      </c>
      <c r="H1" s="433"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s="46" customFormat="1" ht="31.5" customHeight="1">
      <c r="A2" s="325">
        <v>1</v>
      </c>
      <c r="B2" s="325" t="s">
        <v>379</v>
      </c>
      <c r="C2" s="436">
        <v>46045</v>
      </c>
      <c r="D2" s="436">
        <v>46058</v>
      </c>
      <c r="E2" s="325" t="s">
        <v>437</v>
      </c>
      <c r="F2" s="436" t="s">
        <v>275</v>
      </c>
      <c r="G2" s="325">
        <v>51246</v>
      </c>
      <c r="H2" s="436" t="s">
        <v>438</v>
      </c>
      <c r="I2" s="477" t="s">
        <v>280</v>
      </c>
      <c r="J2" s="325">
        <v>8</v>
      </c>
      <c r="K2" s="325">
        <v>6</v>
      </c>
      <c r="L2" s="325">
        <v>24</v>
      </c>
      <c r="M2" s="436">
        <v>46045</v>
      </c>
      <c r="N2" s="436">
        <v>46056</v>
      </c>
      <c r="O2" s="436" t="s">
        <v>13</v>
      </c>
      <c r="P2" s="436" t="s">
        <v>272</v>
      </c>
      <c r="Q2" s="436"/>
      <c r="R2" s="436"/>
      <c r="S2" s="436"/>
      <c r="T2" s="480" t="s">
        <v>439</v>
      </c>
      <c r="U2" s="436">
        <v>46056</v>
      </c>
      <c r="V2" s="436">
        <v>46056</v>
      </c>
      <c r="W2" s="436" t="s">
        <v>440</v>
      </c>
      <c r="X2" s="436"/>
      <c r="Y2" s="436" t="s">
        <v>441</v>
      </c>
      <c r="Z2" s="436">
        <v>46056</v>
      </c>
      <c r="AA2" s="436"/>
      <c r="AB2" s="436"/>
      <c r="AC2" s="436"/>
      <c r="AD2" s="436" t="s">
        <v>442</v>
      </c>
      <c r="AE2" s="325"/>
    </row>
    <row r="3" spans="1:31" s="48" customFormat="1" ht="48" customHeight="1">
      <c r="A3" s="325">
        <v>2</v>
      </c>
      <c r="B3" s="436" t="s">
        <v>379</v>
      </c>
      <c r="C3" s="436">
        <v>46045</v>
      </c>
      <c r="D3" s="436">
        <v>46058</v>
      </c>
      <c r="E3" s="325" t="s">
        <v>191</v>
      </c>
      <c r="F3" s="436" t="s">
        <v>287</v>
      </c>
      <c r="G3" s="488">
        <v>51377</v>
      </c>
      <c r="H3" s="436" t="s">
        <v>443</v>
      </c>
      <c r="I3" s="477" t="s">
        <v>280</v>
      </c>
      <c r="J3" s="325">
        <v>8</v>
      </c>
      <c r="K3" s="325">
        <v>8</v>
      </c>
      <c r="L3" s="325">
        <v>36</v>
      </c>
      <c r="M3" s="436">
        <v>46031</v>
      </c>
      <c r="N3" s="436">
        <v>46051</v>
      </c>
      <c r="O3" s="436" t="s">
        <v>13</v>
      </c>
      <c r="P3" s="436" t="s">
        <v>329</v>
      </c>
      <c r="Q3" s="436"/>
      <c r="R3" s="436"/>
      <c r="S3" s="436"/>
      <c r="T3" s="480" t="s">
        <v>444</v>
      </c>
      <c r="U3" s="436">
        <v>46051</v>
      </c>
      <c r="V3" s="436">
        <v>46052</v>
      </c>
      <c r="W3" s="436" t="s">
        <v>322</v>
      </c>
      <c r="X3" s="436"/>
      <c r="Y3" s="436" t="s">
        <v>322</v>
      </c>
      <c r="Z3" s="436">
        <v>46052</v>
      </c>
      <c r="AA3" s="436"/>
      <c r="AB3" s="436"/>
      <c r="AC3" s="436" t="s">
        <v>445</v>
      </c>
      <c r="AD3" s="436"/>
      <c r="AE3" s="436"/>
    </row>
    <row r="4" spans="1:31" ht="31.5" customHeight="1">
      <c r="A4" s="325">
        <v>3</v>
      </c>
      <c r="B4" s="436" t="s">
        <v>379</v>
      </c>
      <c r="C4" s="436">
        <v>46045</v>
      </c>
      <c r="D4" s="436">
        <v>46058</v>
      </c>
      <c r="E4" s="436" t="s">
        <v>437</v>
      </c>
      <c r="F4" s="436" t="s">
        <v>417</v>
      </c>
      <c r="G4" s="325">
        <v>51359</v>
      </c>
      <c r="H4" s="436" t="s">
        <v>446</v>
      </c>
      <c r="I4" s="477" t="s">
        <v>280</v>
      </c>
      <c r="J4" s="325">
        <v>3</v>
      </c>
      <c r="K4" s="325">
        <v>8</v>
      </c>
      <c r="L4" s="325">
        <v>12</v>
      </c>
      <c r="M4" s="436">
        <v>46023</v>
      </c>
      <c r="N4" s="436">
        <v>46050</v>
      </c>
      <c r="O4" s="436" t="s">
        <v>13</v>
      </c>
      <c r="P4" s="436" t="s">
        <v>329</v>
      </c>
      <c r="Q4" s="436"/>
      <c r="R4" s="436"/>
      <c r="S4" s="491"/>
      <c r="T4" s="66" t="s">
        <v>447</v>
      </c>
      <c r="U4" s="494">
        <v>46050</v>
      </c>
      <c r="V4" s="436" t="s">
        <v>448</v>
      </c>
      <c r="W4" s="436" t="s">
        <v>448</v>
      </c>
      <c r="X4" s="436"/>
      <c r="Y4" s="436" t="s">
        <v>448</v>
      </c>
      <c r="Z4" s="436" t="s">
        <v>448</v>
      </c>
      <c r="AA4" s="436"/>
      <c r="AB4" s="436"/>
      <c r="AC4" s="436"/>
      <c r="AD4" s="436" t="s">
        <v>449</v>
      </c>
      <c r="AE4" s="436"/>
    </row>
    <row r="5" spans="1:31" ht="31.5" customHeight="1">
      <c r="A5" s="325">
        <v>4</v>
      </c>
      <c r="B5" s="436" t="s">
        <v>379</v>
      </c>
      <c r="C5" s="436">
        <v>46045</v>
      </c>
      <c r="D5" s="436">
        <v>46058</v>
      </c>
      <c r="E5" s="436" t="s">
        <v>450</v>
      </c>
      <c r="F5" s="436" t="s">
        <v>417</v>
      </c>
      <c r="G5" s="325">
        <v>51380</v>
      </c>
      <c r="H5" s="436" t="s">
        <v>418</v>
      </c>
      <c r="I5" s="436" t="s">
        <v>274</v>
      </c>
      <c r="J5" s="325">
        <v>8</v>
      </c>
      <c r="K5" s="436"/>
      <c r="L5" s="436"/>
      <c r="M5" s="436">
        <v>46050</v>
      </c>
      <c r="N5" s="436"/>
      <c r="O5" s="436"/>
      <c r="P5" s="436"/>
      <c r="Q5" s="436"/>
      <c r="R5" s="436"/>
      <c r="S5" s="436"/>
      <c r="T5" s="493"/>
      <c r="U5" s="436"/>
      <c r="V5" s="436"/>
      <c r="W5" s="436"/>
      <c r="X5" s="436"/>
      <c r="Y5" s="436"/>
      <c r="Z5" s="436"/>
      <c r="AA5" s="436"/>
      <c r="AB5" s="436"/>
      <c r="AC5" s="436"/>
      <c r="AD5" s="436"/>
      <c r="AE5" s="436"/>
    </row>
    <row r="6" spans="1:31" ht="51" customHeight="1">
      <c r="A6" s="325">
        <v>5</v>
      </c>
      <c r="B6" s="436" t="s">
        <v>379</v>
      </c>
      <c r="C6" s="436">
        <v>46045</v>
      </c>
      <c r="D6" s="436">
        <v>46058</v>
      </c>
      <c r="E6" s="460" t="s">
        <v>450</v>
      </c>
      <c r="F6" s="325" t="s">
        <v>272</v>
      </c>
      <c r="G6" s="325">
        <v>51384</v>
      </c>
      <c r="H6" s="436" t="s">
        <v>425</v>
      </c>
      <c r="I6" s="436" t="s">
        <v>274</v>
      </c>
      <c r="J6" s="325">
        <v>8</v>
      </c>
      <c r="K6" s="325"/>
      <c r="L6" s="325"/>
      <c r="M6" s="436">
        <v>46028</v>
      </c>
      <c r="N6" s="436"/>
      <c r="O6" s="436"/>
      <c r="P6" s="436"/>
      <c r="Q6" s="436"/>
      <c r="R6" s="436"/>
      <c r="S6" s="436"/>
      <c r="T6" s="495" t="s">
        <v>426</v>
      </c>
      <c r="U6" s="436">
        <v>46043</v>
      </c>
      <c r="V6" s="436"/>
      <c r="W6" s="436" t="s">
        <v>283</v>
      </c>
      <c r="X6" s="436"/>
      <c r="Y6" s="436" t="s">
        <v>283</v>
      </c>
      <c r="Z6" s="436"/>
      <c r="AA6" s="436"/>
      <c r="AB6" s="436"/>
      <c r="AC6" s="436"/>
      <c r="AD6" s="436" t="s">
        <v>451</v>
      </c>
      <c r="AE6" s="436"/>
    </row>
    <row r="7" spans="1:31" ht="31.5" customHeight="1">
      <c r="A7" s="436"/>
      <c r="B7" s="436"/>
      <c r="C7" s="436"/>
      <c r="D7" s="436"/>
      <c r="E7" s="436"/>
      <c r="F7" s="436"/>
      <c r="G7" s="436"/>
      <c r="H7" s="436"/>
      <c r="I7" s="436"/>
      <c r="J7" s="436"/>
      <c r="K7" s="436"/>
      <c r="L7" s="436"/>
      <c r="M7" s="436"/>
      <c r="N7" s="436"/>
      <c r="O7" s="436"/>
      <c r="P7" s="436"/>
      <c r="Q7" s="436"/>
      <c r="R7" s="436"/>
      <c r="S7" s="436"/>
      <c r="T7" s="436"/>
      <c r="U7" s="436"/>
      <c r="V7" s="436"/>
      <c r="W7" s="436"/>
      <c r="X7" s="436"/>
      <c r="Y7" s="436"/>
      <c r="Z7" s="436"/>
      <c r="AA7" s="436"/>
      <c r="AB7" s="436"/>
      <c r="AC7" s="436"/>
      <c r="AD7" s="436"/>
      <c r="AE7" s="436"/>
    </row>
    <row r="8" spans="1:31" ht="31.5" customHeight="1">
      <c r="A8" s="436"/>
      <c r="B8" s="436"/>
      <c r="C8" s="436"/>
      <c r="D8" s="436"/>
      <c r="E8" s="436"/>
      <c r="F8" s="436"/>
      <c r="G8" s="436"/>
      <c r="H8" s="436"/>
      <c r="I8" s="436"/>
      <c r="J8" s="436"/>
      <c r="K8" s="436"/>
      <c r="L8" s="436"/>
      <c r="M8" s="436"/>
      <c r="N8" s="436"/>
      <c r="O8" s="436"/>
      <c r="P8" s="436"/>
      <c r="Q8" s="436"/>
      <c r="R8" s="436"/>
      <c r="S8" s="436"/>
      <c r="T8" s="436"/>
      <c r="U8" s="436"/>
      <c r="V8" s="436"/>
      <c r="W8" s="436"/>
      <c r="X8" s="436"/>
      <c r="Y8" s="436"/>
      <c r="Z8" s="436"/>
      <c r="AA8" s="436"/>
      <c r="AB8" s="436"/>
      <c r="AC8" s="436"/>
      <c r="AD8" s="436"/>
      <c r="AE8" s="436"/>
    </row>
    <row r="9" spans="1:31" ht="31.5" customHeight="1">
      <c r="A9" s="436"/>
      <c r="B9" s="436"/>
      <c r="C9" s="436"/>
      <c r="D9" s="436"/>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row>
    <row r="10" spans="1:31" ht="31.5" customHeight="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row>
    <row r="11" spans="1:31" ht="31.5" customHeight="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c r="AE11" s="436"/>
    </row>
    <row r="12" spans="1:31" ht="31.5" customHeight="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1" ht="31.5" customHeight="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1" ht="31.5" customHeight="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1" ht="31.5" customHeight="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1" ht="31.5" customHeight="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ht="31.5" customHeight="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ht="31.5" customHeight="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ht="31.5" customHeight="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ht="31.5" customHeight="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ht="31.5"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ht="31.5" customHeight="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ht="31.5" customHeight="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ht="31.5" customHeight="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row>
    <row r="25" spans="1:31" ht="31.5" customHeight="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c r="AE25" s="436"/>
    </row>
    <row r="26" spans="1:31" ht="31.5" customHeight="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c r="AE26" s="436"/>
    </row>
    <row r="27" spans="1:31" ht="31.5" customHeight="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c r="AE27" s="436"/>
    </row>
    <row r="28" spans="1:31" ht="31.5" customHeight="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c r="AE28" s="436"/>
    </row>
    <row r="29" spans="1:31" ht="31.5" customHeight="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c r="AE29" s="436"/>
    </row>
    <row r="30" spans="1:31" ht="31.5" customHeight="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row>
    <row r="31" spans="1:31" ht="31.5" customHeight="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1" ht="31.5" customHeight="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ht="31.5" customHeight="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ht="31.5" customHeight="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ht="31.5" customHeight="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ht="31.5" customHeight="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ht="31.5" customHeight="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ht="31.5" customHeight="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ht="31.5" customHeight="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ht="31.5" customHeight="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ht="31.5" customHeight="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0" ht="31.5" customHeight="1">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0" ht="31.5" customHeight="1">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row r="44" spans="1:30" ht="31.5" customHeight="1">
      <c r="A44" s="436"/>
      <c r="B44" s="436"/>
      <c r="C44" s="436"/>
      <c r="D44" s="436"/>
      <c r="E44" s="436"/>
      <c r="F44" s="436"/>
      <c r="G44" s="436"/>
      <c r="H44" s="436"/>
      <c r="I44" s="436"/>
      <c r="J44" s="436"/>
      <c r="K44" s="436"/>
      <c r="L44" s="436"/>
      <c r="M44" s="436"/>
      <c r="N44" s="436"/>
      <c r="O44" s="436"/>
      <c r="P44" s="436"/>
      <c r="Q44" s="436"/>
      <c r="R44" s="436"/>
      <c r="S44" s="436"/>
      <c r="T44" s="436"/>
      <c r="U44" s="436"/>
      <c r="V44" s="436"/>
      <c r="W44" s="436"/>
      <c r="X44" s="436"/>
      <c r="Y44" s="436"/>
      <c r="Z44" s="436"/>
      <c r="AA44" s="436"/>
      <c r="AB44" s="436"/>
      <c r="AC44" s="436"/>
      <c r="AD44" s="436"/>
    </row>
    <row r="45" spans="1:30" ht="31.5" customHeight="1">
      <c r="A45" s="436"/>
      <c r="B45" s="436"/>
      <c r="C45" s="436"/>
      <c r="D45" s="436"/>
      <c r="E45" s="436"/>
      <c r="F45" s="436"/>
      <c r="G45" s="436"/>
      <c r="H45" s="436"/>
      <c r="I45" s="436"/>
      <c r="J45" s="436"/>
      <c r="K45" s="436"/>
      <c r="L45" s="436"/>
      <c r="M45" s="436"/>
      <c r="N45" s="436"/>
      <c r="O45" s="436"/>
      <c r="P45" s="436"/>
      <c r="Q45" s="436"/>
      <c r="R45" s="436"/>
      <c r="S45" s="436"/>
      <c r="T45" s="436"/>
      <c r="U45" s="436"/>
      <c r="V45" s="436"/>
      <c r="W45" s="436"/>
      <c r="X45" s="436"/>
      <c r="Y45" s="436"/>
      <c r="Z45" s="436"/>
      <c r="AA45" s="436"/>
      <c r="AB45" s="436"/>
      <c r="AC45" s="436"/>
      <c r="AD45" s="436"/>
    </row>
    <row r="46" spans="1:30" ht="31.5" customHeight="1">
      <c r="A46" s="436"/>
      <c r="B46" s="436"/>
      <c r="C46" s="436"/>
      <c r="D46" s="436"/>
      <c r="E46" s="436"/>
      <c r="F46" s="436"/>
      <c r="G46" s="436"/>
      <c r="H46" s="436"/>
      <c r="I46" s="436"/>
      <c r="J46" s="436"/>
      <c r="K46" s="436"/>
      <c r="L46" s="436"/>
      <c r="M46" s="436"/>
      <c r="N46" s="436"/>
      <c r="O46" s="436"/>
      <c r="P46" s="436"/>
      <c r="Q46" s="436"/>
      <c r="R46" s="436"/>
      <c r="S46" s="436"/>
      <c r="T46" s="436"/>
      <c r="U46" s="436"/>
      <c r="V46" s="436"/>
      <c r="W46" s="436"/>
      <c r="X46" s="436"/>
      <c r="Y46" s="436"/>
      <c r="Z46" s="436"/>
      <c r="AA46" s="436"/>
      <c r="AB46" s="436"/>
      <c r="AC46" s="436"/>
      <c r="AD46" s="436"/>
    </row>
    <row r="47" spans="1:30" ht="31.5" customHeight="1">
      <c r="A47" s="436"/>
      <c r="B47" s="436"/>
      <c r="C47" s="436"/>
      <c r="D47" s="436"/>
      <c r="E47" s="436"/>
      <c r="F47" s="436"/>
      <c r="G47" s="436"/>
      <c r="H47" s="436"/>
      <c r="I47" s="436"/>
      <c r="J47" s="436"/>
      <c r="K47" s="436"/>
      <c r="L47" s="436"/>
      <c r="M47" s="436"/>
      <c r="N47" s="436"/>
      <c r="O47" s="436"/>
      <c r="P47" s="436"/>
      <c r="Q47" s="436"/>
      <c r="R47" s="436"/>
      <c r="S47" s="436"/>
      <c r="T47" s="436"/>
      <c r="U47" s="436"/>
      <c r="V47" s="436"/>
      <c r="W47" s="436"/>
      <c r="X47" s="436"/>
      <c r="Y47" s="436"/>
      <c r="Z47" s="436"/>
      <c r="AA47" s="436"/>
      <c r="AB47" s="436"/>
      <c r="AC47" s="436"/>
      <c r="AD47" s="436"/>
    </row>
  </sheetData>
  <hyperlinks>
    <hyperlink ref="T6" r:id="rId1" xr:uid="{D84EDD2E-BC2D-4646-9F33-C210955C6F0E}"/>
    <hyperlink ref="T2" r:id="rId2" xr:uid="{7853BDDA-3ADF-43AF-9201-FE546A2EE1E2}"/>
    <hyperlink ref="T4" r:id="rId3" xr:uid="{36D3697D-0038-4E99-B2C9-CF26CA3350C7}"/>
    <hyperlink ref="T3" r:id="rId4" xr:uid="{0E558F14-7409-4380-8E8A-8977C132D7F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B3BF228-AF44-42D7-9DA9-22880697DAAC}">
          <x14:formula1>
            <xm:f>Settings!$C$3:$C$20</xm:f>
          </x14:formula1>
          <xm:sqref>I2:I4 I6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D8F7E-92D9-4CB3-834F-6D6292E1CE01}">
  <dimension ref="A1:AE52"/>
  <sheetViews>
    <sheetView topLeftCell="B1" workbookViewId="0">
      <selection activeCell="I4" sqref="I4"/>
    </sheetView>
  </sheetViews>
  <sheetFormatPr defaultRowHeight="12.75"/>
  <cols>
    <col min="1" max="1" width="14.85546875" customWidth="1"/>
    <col min="2" max="2" width="12" customWidth="1"/>
    <col min="3" max="3" width="11" customWidth="1"/>
    <col min="4" max="4" width="12.42578125" customWidth="1"/>
    <col min="5" max="5" width="24.140625" customWidth="1"/>
    <col min="6" max="6" width="14.28515625" customWidth="1"/>
    <col min="7" max="7" width="17.140625" style="46" customWidth="1"/>
    <col min="8" max="8" width="64.7109375" customWidth="1"/>
    <col min="9" max="9" width="21.140625" customWidth="1"/>
    <col min="10" max="12" width="9.140625" bestFit="1"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5" width="9.140625" bestFit="1" customWidth="1"/>
    <col min="26" max="26" width="12.28515625" customWidth="1"/>
    <col min="27" max="28" width="9.140625" bestFit="1" customWidth="1"/>
    <col min="29" max="29" width="28.28515625" customWidth="1"/>
    <col min="30" max="30" width="42.7109375" customWidth="1"/>
    <col min="31" max="31" width="34.28515625" customWidth="1"/>
  </cols>
  <sheetData>
    <row r="1" spans="1:31" ht="55.5" customHeight="1">
      <c r="A1" s="433" t="s">
        <v>243</v>
      </c>
      <c r="B1" s="433" t="s">
        <v>4</v>
      </c>
      <c r="C1" s="433" t="s">
        <v>2</v>
      </c>
      <c r="D1" s="433" t="s">
        <v>3</v>
      </c>
      <c r="E1" s="433" t="s">
        <v>244</v>
      </c>
      <c r="F1" s="433" t="s">
        <v>245</v>
      </c>
      <c r="G1" s="433" t="s">
        <v>246</v>
      </c>
      <c r="H1" s="434"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40.5" customHeight="1">
      <c r="A2" s="325">
        <v>1</v>
      </c>
      <c r="B2" s="325" t="s">
        <v>379</v>
      </c>
      <c r="C2" s="436">
        <v>46031</v>
      </c>
      <c r="D2" s="436">
        <v>46044</v>
      </c>
      <c r="E2" s="325" t="s">
        <v>452</v>
      </c>
      <c r="F2" s="436" t="s">
        <v>275</v>
      </c>
      <c r="G2" s="325">
        <v>50838</v>
      </c>
      <c r="H2" s="436" t="s">
        <v>453</v>
      </c>
      <c r="I2" s="477" t="s">
        <v>280</v>
      </c>
      <c r="J2" s="325">
        <v>8</v>
      </c>
      <c r="K2" s="325">
        <v>6</v>
      </c>
      <c r="L2" s="325">
        <v>29</v>
      </c>
      <c r="M2" s="436">
        <v>46031</v>
      </c>
      <c r="N2" s="436">
        <v>46042</v>
      </c>
      <c r="O2" s="436" t="s">
        <v>13</v>
      </c>
      <c r="P2" s="436" t="s">
        <v>329</v>
      </c>
      <c r="Q2" s="436"/>
      <c r="R2" s="436"/>
      <c r="S2" s="436"/>
      <c r="T2" s="480" t="s">
        <v>454</v>
      </c>
      <c r="U2" s="436">
        <v>46042</v>
      </c>
      <c r="V2" s="436">
        <v>46042</v>
      </c>
      <c r="W2" s="436" t="s">
        <v>287</v>
      </c>
      <c r="X2" s="436"/>
      <c r="Y2" s="436" t="s">
        <v>322</v>
      </c>
      <c r="Z2" s="436">
        <v>46042</v>
      </c>
      <c r="AA2" s="436"/>
      <c r="AB2" s="436"/>
      <c r="AC2" s="436"/>
      <c r="AD2" s="436" t="s">
        <v>455</v>
      </c>
      <c r="AE2" s="325"/>
    </row>
    <row r="3" spans="1:31" ht="30" customHeight="1">
      <c r="A3" s="325">
        <v>2</v>
      </c>
      <c r="B3" s="436" t="s">
        <v>379</v>
      </c>
      <c r="C3" s="436">
        <v>46031</v>
      </c>
      <c r="D3" s="436">
        <v>46044</v>
      </c>
      <c r="E3" s="325" t="s">
        <v>456</v>
      </c>
      <c r="F3" s="325" t="s">
        <v>272</v>
      </c>
      <c r="G3" s="325">
        <v>51384</v>
      </c>
      <c r="H3" s="436" t="s">
        <v>457</v>
      </c>
      <c r="I3" s="436" t="s">
        <v>274</v>
      </c>
      <c r="J3" s="325">
        <v>8</v>
      </c>
      <c r="K3" s="325">
        <v>8</v>
      </c>
      <c r="L3" s="325">
        <v>32</v>
      </c>
      <c r="M3" s="436">
        <v>46028</v>
      </c>
      <c r="N3" s="436">
        <v>46043</v>
      </c>
      <c r="O3" s="436" t="s">
        <v>13</v>
      </c>
      <c r="P3" s="436" t="s">
        <v>272</v>
      </c>
      <c r="Q3" s="436"/>
      <c r="R3" s="436"/>
      <c r="S3" s="436"/>
      <c r="T3" s="480" t="s">
        <v>426</v>
      </c>
      <c r="U3" s="436">
        <v>46043</v>
      </c>
      <c r="V3" s="436"/>
      <c r="W3" s="436" t="s">
        <v>283</v>
      </c>
      <c r="X3" s="436"/>
      <c r="Y3" s="436" t="s">
        <v>283</v>
      </c>
      <c r="Z3" s="436"/>
      <c r="AA3" s="436"/>
      <c r="AB3" s="436"/>
      <c r="AC3" s="436"/>
      <c r="AD3" s="436" t="s">
        <v>458</v>
      </c>
      <c r="AE3" s="436"/>
    </row>
    <row r="4" spans="1:31" ht="29.25" customHeight="1">
      <c r="A4" s="325">
        <v>3</v>
      </c>
      <c r="B4" s="436" t="s">
        <v>379</v>
      </c>
      <c r="C4" s="436">
        <v>46031</v>
      </c>
      <c r="D4" s="436">
        <v>46044</v>
      </c>
      <c r="E4" s="325" t="s">
        <v>452</v>
      </c>
      <c r="F4" s="325" t="s">
        <v>272</v>
      </c>
      <c r="G4" s="325">
        <v>51122</v>
      </c>
      <c r="H4" s="325" t="s">
        <v>459</v>
      </c>
      <c r="I4" s="477" t="s">
        <v>280</v>
      </c>
      <c r="J4" s="325">
        <v>8</v>
      </c>
      <c r="K4" s="325">
        <v>8</v>
      </c>
      <c r="L4" s="325">
        <v>32</v>
      </c>
      <c r="M4" s="436">
        <v>46031</v>
      </c>
      <c r="N4" s="436">
        <v>46042</v>
      </c>
      <c r="O4" s="436" t="s">
        <v>13</v>
      </c>
      <c r="P4" s="436" t="s">
        <v>272</v>
      </c>
      <c r="Q4" s="436"/>
      <c r="R4" s="436"/>
      <c r="S4" s="436"/>
      <c r="T4" s="480" t="s">
        <v>460</v>
      </c>
      <c r="U4" s="436">
        <v>46031</v>
      </c>
      <c r="V4" s="436">
        <v>46043</v>
      </c>
      <c r="W4" s="436" t="s">
        <v>283</v>
      </c>
      <c r="X4" s="436"/>
      <c r="Y4" s="436" t="s">
        <v>283</v>
      </c>
      <c r="Z4" s="436">
        <v>46043</v>
      </c>
      <c r="AA4" s="436"/>
      <c r="AB4" s="436"/>
      <c r="AC4" s="436"/>
      <c r="AD4" s="436"/>
      <c r="AE4" s="436"/>
    </row>
    <row r="5" spans="1:31" s="70" customFormat="1" ht="30.75" customHeight="1">
      <c r="A5" s="325">
        <v>4</v>
      </c>
      <c r="B5" s="436" t="s">
        <v>379</v>
      </c>
      <c r="C5" s="436">
        <v>46031</v>
      </c>
      <c r="D5" s="436">
        <v>46044</v>
      </c>
      <c r="E5" s="325" t="s">
        <v>456</v>
      </c>
      <c r="F5" s="436" t="s">
        <v>287</v>
      </c>
      <c r="G5" s="488">
        <v>51377</v>
      </c>
      <c r="H5" s="436" t="s">
        <v>443</v>
      </c>
      <c r="I5" s="436" t="s">
        <v>274</v>
      </c>
      <c r="J5" s="325">
        <v>13</v>
      </c>
      <c r="K5" s="325"/>
      <c r="L5" s="325"/>
      <c r="M5" s="436">
        <v>46031</v>
      </c>
      <c r="N5" s="436"/>
      <c r="O5" s="436"/>
      <c r="P5" s="436"/>
      <c r="Q5" s="436"/>
      <c r="R5" s="436"/>
      <c r="S5" s="436"/>
      <c r="T5" s="480"/>
      <c r="U5" s="436"/>
      <c r="V5" s="436"/>
      <c r="W5" s="436"/>
      <c r="X5" s="436"/>
      <c r="Y5" s="436"/>
      <c r="Z5" s="436"/>
      <c r="AA5" s="436"/>
      <c r="AB5" s="436"/>
      <c r="AC5" s="436"/>
      <c r="AD5" s="436"/>
      <c r="AE5" s="436"/>
    </row>
    <row r="6" spans="1:31" ht="27.75" customHeight="1">
      <c r="A6" s="325">
        <v>5</v>
      </c>
      <c r="B6" s="436" t="s">
        <v>379</v>
      </c>
      <c r="C6" s="436">
        <v>46031</v>
      </c>
      <c r="D6" s="436">
        <v>46044</v>
      </c>
      <c r="E6" s="325" t="s">
        <v>456</v>
      </c>
      <c r="F6" s="436" t="s">
        <v>417</v>
      </c>
      <c r="G6" s="325">
        <v>51359</v>
      </c>
      <c r="H6" s="436" t="s">
        <v>446</v>
      </c>
      <c r="I6" s="436" t="s">
        <v>274</v>
      </c>
      <c r="J6" s="325">
        <v>8</v>
      </c>
      <c r="K6" s="325">
        <v>11</v>
      </c>
      <c r="L6" s="325">
        <v>52</v>
      </c>
      <c r="M6" s="436">
        <v>46037</v>
      </c>
      <c r="N6" s="436"/>
      <c r="O6" s="436"/>
      <c r="P6" s="436"/>
      <c r="Q6" s="436"/>
      <c r="R6" s="436"/>
      <c r="S6" s="436"/>
      <c r="T6" s="436"/>
      <c r="U6" s="436"/>
      <c r="V6" s="436"/>
      <c r="W6" s="436"/>
      <c r="X6" s="436"/>
      <c r="Y6" s="436"/>
      <c r="Z6" s="436"/>
      <c r="AA6" s="436"/>
      <c r="AB6" s="436"/>
      <c r="AC6" s="436"/>
      <c r="AD6" s="436"/>
      <c r="AE6" s="436"/>
    </row>
    <row r="7" spans="1:31">
      <c r="A7" s="325"/>
      <c r="B7" s="436"/>
      <c r="C7" s="436"/>
      <c r="D7" s="436"/>
      <c r="E7" s="325"/>
      <c r="F7" s="436"/>
      <c r="G7" s="409"/>
      <c r="H7" s="436"/>
      <c r="I7" s="436"/>
      <c r="J7" s="325"/>
      <c r="K7" s="325"/>
      <c r="L7" s="325"/>
      <c r="M7" s="436"/>
      <c r="N7" s="436"/>
      <c r="O7" s="436"/>
      <c r="P7" s="436"/>
      <c r="Q7" s="436"/>
      <c r="R7" s="436"/>
      <c r="S7" s="436"/>
      <c r="T7" s="480"/>
      <c r="U7" s="436"/>
      <c r="V7" s="436"/>
      <c r="W7" s="436"/>
      <c r="X7" s="436"/>
      <c r="Y7" s="436"/>
      <c r="Z7" s="436"/>
      <c r="AA7" s="436"/>
      <c r="AB7" s="436"/>
      <c r="AC7" s="436"/>
      <c r="AD7" s="436"/>
      <c r="AE7" s="436"/>
    </row>
    <row r="8" spans="1:31">
      <c r="A8" s="436"/>
      <c r="B8" s="436"/>
      <c r="C8" s="436"/>
      <c r="D8" s="436"/>
      <c r="E8" s="436"/>
      <c r="F8" s="436"/>
      <c r="G8" s="325"/>
      <c r="H8" s="436"/>
      <c r="I8" s="436"/>
      <c r="J8" s="436"/>
      <c r="K8" s="436"/>
      <c r="L8" s="325"/>
      <c r="M8" s="436"/>
      <c r="N8" s="436"/>
      <c r="O8" s="436"/>
      <c r="P8" s="436"/>
      <c r="Q8" s="436"/>
      <c r="R8" s="436"/>
      <c r="S8" s="436"/>
      <c r="T8" s="436"/>
      <c r="U8" s="436"/>
      <c r="V8" s="436"/>
      <c r="W8" s="436"/>
      <c r="X8" s="436"/>
      <c r="Y8" s="436"/>
      <c r="Z8" s="436"/>
      <c r="AA8" s="436"/>
      <c r="AB8" s="436"/>
      <c r="AC8" s="436"/>
      <c r="AD8" s="436"/>
      <c r="AE8" s="436"/>
    </row>
    <row r="9" spans="1:31">
      <c r="A9" s="436"/>
      <c r="B9" s="436"/>
      <c r="C9" s="436"/>
      <c r="D9" s="436"/>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row>
    <row r="10" spans="1:3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row>
    <row r="11" spans="1:3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c r="AE11" s="436"/>
    </row>
    <row r="12" spans="1:3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row>
    <row r="25" spans="1:3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c r="AE25" s="436"/>
    </row>
    <row r="26" spans="1:3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c r="AE26" s="436"/>
    </row>
    <row r="27" spans="1:3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c r="AE27" s="436"/>
    </row>
    <row r="28" spans="1:3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c r="AE28" s="436"/>
    </row>
    <row r="29" spans="1:3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c r="AE29" s="436"/>
    </row>
    <row r="30" spans="1:3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c r="AE30" s="436"/>
    </row>
    <row r="31" spans="1:3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c r="AE31" s="436"/>
    </row>
    <row r="32" spans="1:3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c r="AE32" s="436"/>
    </row>
    <row r="33" spans="1:3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c r="AE33" s="436"/>
    </row>
    <row r="34" spans="1:3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c r="AE34" s="436"/>
    </row>
    <row r="35" spans="1:3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1">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1">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row r="44" spans="1:31">
      <c r="A44" s="436"/>
      <c r="B44" s="436"/>
      <c r="C44" s="436"/>
      <c r="D44" s="436"/>
      <c r="E44" s="436"/>
      <c r="F44" s="436"/>
      <c r="G44" s="436"/>
      <c r="H44" s="436"/>
      <c r="I44" s="436"/>
      <c r="J44" s="436"/>
      <c r="K44" s="436"/>
      <c r="L44" s="436"/>
      <c r="M44" s="436"/>
      <c r="N44" s="436"/>
      <c r="O44" s="436"/>
      <c r="P44" s="436"/>
      <c r="Q44" s="436"/>
      <c r="R44" s="436"/>
      <c r="S44" s="436"/>
      <c r="T44" s="436"/>
      <c r="U44" s="436"/>
      <c r="V44" s="436"/>
      <c r="W44" s="436"/>
      <c r="X44" s="436"/>
      <c r="Y44" s="436"/>
      <c r="Z44" s="436"/>
      <c r="AA44" s="436"/>
      <c r="AB44" s="436"/>
      <c r="AC44" s="436"/>
      <c r="AD44" s="436"/>
    </row>
    <row r="45" spans="1:31">
      <c r="A45" s="436"/>
      <c r="B45" s="436"/>
      <c r="C45" s="436"/>
      <c r="D45" s="436"/>
      <c r="E45" s="436"/>
      <c r="F45" s="436"/>
      <c r="G45" s="436"/>
      <c r="H45" s="436"/>
      <c r="I45" s="436"/>
      <c r="J45" s="436"/>
      <c r="K45" s="436"/>
      <c r="L45" s="436"/>
      <c r="M45" s="436"/>
      <c r="N45" s="436"/>
      <c r="O45" s="436"/>
      <c r="P45" s="436"/>
      <c r="Q45" s="436"/>
      <c r="R45" s="436"/>
      <c r="S45" s="436"/>
      <c r="T45" s="436"/>
      <c r="U45" s="436"/>
      <c r="V45" s="436"/>
      <c r="W45" s="436"/>
      <c r="X45" s="436"/>
      <c r="Y45" s="436"/>
      <c r="Z45" s="436"/>
      <c r="AA45" s="436"/>
      <c r="AB45" s="436"/>
      <c r="AC45" s="436"/>
      <c r="AD45" s="436"/>
    </row>
    <row r="46" spans="1:31">
      <c r="A46" s="436"/>
      <c r="B46" s="436"/>
      <c r="C46" s="436"/>
      <c r="D46" s="436"/>
      <c r="E46" s="436"/>
      <c r="F46" s="436"/>
      <c r="G46" s="436"/>
      <c r="H46" s="436"/>
      <c r="I46" s="436"/>
      <c r="J46" s="436"/>
      <c r="K46" s="436"/>
      <c r="L46" s="436"/>
      <c r="M46" s="436"/>
      <c r="N46" s="436"/>
      <c r="O46" s="436"/>
      <c r="P46" s="436"/>
      <c r="Q46" s="436"/>
      <c r="R46" s="436"/>
      <c r="S46" s="436"/>
      <c r="T46" s="436"/>
      <c r="U46" s="436"/>
      <c r="V46" s="436"/>
      <c r="W46" s="436"/>
      <c r="X46" s="436"/>
      <c r="Y46" s="436"/>
      <c r="Z46" s="436"/>
      <c r="AA46" s="436"/>
      <c r="AB46" s="436"/>
      <c r="AC46" s="436"/>
      <c r="AD46" s="436"/>
    </row>
    <row r="47" spans="1:31">
      <c r="A47" s="436"/>
      <c r="B47" s="436"/>
      <c r="C47" s="436"/>
      <c r="D47" s="436"/>
      <c r="E47" s="436"/>
      <c r="F47" s="436"/>
      <c r="G47" s="436"/>
      <c r="H47" s="436"/>
      <c r="I47" s="436"/>
      <c r="J47" s="436"/>
      <c r="K47" s="436"/>
      <c r="L47" s="436"/>
      <c r="M47" s="436"/>
      <c r="N47" s="436"/>
      <c r="O47" s="436"/>
      <c r="P47" s="436"/>
      <c r="Q47" s="436"/>
      <c r="R47" s="436"/>
      <c r="S47" s="436"/>
      <c r="T47" s="436"/>
      <c r="U47" s="436"/>
      <c r="V47" s="436"/>
      <c r="W47" s="436"/>
      <c r="X47" s="436"/>
      <c r="Y47" s="436"/>
      <c r="Z47" s="436"/>
      <c r="AA47" s="436"/>
      <c r="AB47" s="436"/>
      <c r="AC47" s="436"/>
      <c r="AD47" s="436"/>
    </row>
    <row r="48" spans="1:31">
      <c r="A48" s="436"/>
      <c r="B48" s="436"/>
      <c r="C48" s="436"/>
      <c r="D48" s="436"/>
      <c r="E48" s="436"/>
      <c r="F48" s="436"/>
      <c r="G48" s="436"/>
      <c r="H48" s="436"/>
      <c r="I48" s="436"/>
      <c r="J48" s="436"/>
      <c r="K48" s="436"/>
      <c r="L48" s="436"/>
      <c r="M48" s="436"/>
      <c r="N48" s="436"/>
      <c r="O48" s="436"/>
      <c r="P48" s="436"/>
      <c r="Q48" s="436"/>
      <c r="R48" s="436"/>
      <c r="S48" s="436"/>
      <c r="T48" s="436"/>
      <c r="U48" s="436"/>
      <c r="V48" s="436"/>
      <c r="W48" s="436"/>
      <c r="X48" s="436"/>
      <c r="Y48" s="436"/>
      <c r="Z48" s="436"/>
      <c r="AA48" s="436"/>
      <c r="AB48" s="436"/>
      <c r="AC48" s="436"/>
      <c r="AD48" s="436"/>
    </row>
    <row r="49" spans="1:30">
      <c r="A49" s="436"/>
      <c r="B49" s="436"/>
      <c r="C49" s="436"/>
      <c r="D49" s="436"/>
      <c r="E49" s="436"/>
      <c r="F49" s="436"/>
      <c r="G49" s="436"/>
      <c r="H49" s="436"/>
      <c r="I49" s="436"/>
      <c r="J49" s="436"/>
      <c r="K49" s="436"/>
      <c r="L49" s="436"/>
      <c r="M49" s="436"/>
      <c r="N49" s="436"/>
      <c r="O49" s="436"/>
      <c r="P49" s="436"/>
      <c r="Q49" s="436"/>
      <c r="R49" s="436"/>
      <c r="S49" s="436"/>
      <c r="T49" s="436"/>
      <c r="U49" s="436"/>
      <c r="V49" s="436"/>
      <c r="W49" s="436"/>
      <c r="X49" s="436"/>
      <c r="Y49" s="436"/>
      <c r="Z49" s="436"/>
      <c r="AA49" s="436"/>
      <c r="AB49" s="436"/>
      <c r="AC49" s="436"/>
      <c r="AD49" s="436"/>
    </row>
    <row r="50" spans="1:30">
      <c r="A50" s="436"/>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36"/>
      <c r="AD50" s="436"/>
    </row>
    <row r="51" spans="1:30">
      <c r="A51" s="436"/>
      <c r="B51" s="436"/>
      <c r="C51" s="436"/>
      <c r="D51" s="436"/>
      <c r="E51" s="436"/>
      <c r="F51" s="436"/>
      <c r="G51" s="436"/>
      <c r="H51" s="436"/>
      <c r="I51" s="436"/>
      <c r="J51" s="436"/>
      <c r="K51" s="436"/>
      <c r="L51" s="436"/>
      <c r="M51" s="436"/>
      <c r="N51" s="436"/>
      <c r="O51" s="436"/>
      <c r="P51" s="436"/>
      <c r="Q51" s="436"/>
      <c r="R51" s="436"/>
      <c r="S51" s="436"/>
      <c r="T51" s="436"/>
      <c r="U51" s="436"/>
      <c r="V51" s="436"/>
      <c r="W51" s="436"/>
      <c r="X51" s="436"/>
      <c r="Y51" s="436"/>
      <c r="Z51" s="436"/>
      <c r="AA51" s="436"/>
      <c r="AB51" s="436"/>
      <c r="AC51" s="436"/>
      <c r="AD51" s="436"/>
    </row>
    <row r="52" spans="1:30">
      <c r="A52" s="436"/>
      <c r="B52" s="436"/>
      <c r="C52" s="436"/>
      <c r="D52" s="436"/>
      <c r="E52" s="436"/>
      <c r="F52" s="436"/>
      <c r="G52" s="436"/>
      <c r="H52" s="436"/>
      <c r="I52" s="436"/>
      <c r="J52" s="436"/>
      <c r="K52" s="436"/>
      <c r="L52" s="436"/>
      <c r="M52" s="436"/>
      <c r="N52" s="436"/>
      <c r="O52" s="436"/>
      <c r="P52" s="436"/>
      <c r="Q52" s="436"/>
      <c r="R52" s="436"/>
      <c r="S52" s="436"/>
      <c r="T52" s="436"/>
      <c r="U52" s="436"/>
      <c r="V52" s="436"/>
      <c r="W52" s="436"/>
      <c r="X52" s="436"/>
      <c r="Y52" s="436"/>
      <c r="Z52" s="436"/>
      <c r="AA52" s="436"/>
      <c r="AB52" s="436"/>
      <c r="AC52" s="436"/>
      <c r="AD52" s="436"/>
    </row>
  </sheetData>
  <hyperlinks>
    <hyperlink ref="T2" r:id="rId1" xr:uid="{1F95988F-B93C-4571-AB4D-DFA7572E347F}"/>
    <hyperlink ref="T3" r:id="rId2" xr:uid="{4D78A669-7F32-4880-A545-320BD0EC7593}"/>
    <hyperlink ref="T4" r:id="rId3" xr:uid="{730F7741-4527-4969-A61F-93F83F6D931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6CA6A53-6C7B-4636-8DED-60DD7D1BC328}">
          <x14:formula1>
            <xm:f>Settings!$C$3:$C$20</xm:f>
          </x14:formula1>
          <xm:sqref>I2:I7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CB87C-DFB2-4680-A652-B92F0DF8A054}">
  <dimension ref="A1:M2"/>
  <sheetViews>
    <sheetView workbookViewId="0">
      <selection activeCell="A2" sqref="A2"/>
    </sheetView>
  </sheetViews>
  <sheetFormatPr defaultRowHeight="12.75"/>
  <cols>
    <col min="1" max="1" width="22.28515625" customWidth="1"/>
    <col min="2" max="2" width="13.85546875" customWidth="1"/>
    <col min="3" max="3" width="9.7109375" customWidth="1"/>
    <col min="4" max="4" width="10.5703125" customWidth="1"/>
    <col min="5" max="5" width="13.85546875" customWidth="1"/>
    <col min="6" max="6" width="109.85546875" customWidth="1"/>
    <col min="7" max="8" width="9.140625" bestFit="1" customWidth="1"/>
    <col min="9" max="9" width="18.7109375" customWidth="1"/>
    <col min="10" max="10" width="19.85546875" customWidth="1"/>
    <col min="11" max="11" width="20.5703125" customWidth="1"/>
    <col min="12" max="12" width="15.7109375" customWidth="1"/>
    <col min="13" max="13" width="64.28515625" customWidth="1"/>
  </cols>
  <sheetData>
    <row r="1" spans="1:13" ht="24">
      <c r="A1" s="167" t="s">
        <v>11</v>
      </c>
      <c r="B1" s="167" t="s">
        <v>297</v>
      </c>
      <c r="C1" s="167" t="s">
        <v>298</v>
      </c>
      <c r="D1" s="167" t="s">
        <v>245</v>
      </c>
      <c r="E1" s="167" t="s">
        <v>299</v>
      </c>
      <c r="F1" s="167" t="s">
        <v>300</v>
      </c>
      <c r="G1" s="167" t="s">
        <v>301</v>
      </c>
      <c r="H1" s="167" t="s">
        <v>302</v>
      </c>
      <c r="I1" s="167" t="s">
        <v>303</v>
      </c>
      <c r="J1" s="167" t="s">
        <v>304</v>
      </c>
      <c r="K1" s="167" t="s">
        <v>248</v>
      </c>
      <c r="L1" s="423" t="s">
        <v>305</v>
      </c>
      <c r="M1" s="424" t="s">
        <v>306</v>
      </c>
    </row>
    <row r="2" spans="1:13" ht="63" customHeight="1">
      <c r="A2" s="413"/>
      <c r="B2" s="484"/>
      <c r="C2" s="485"/>
      <c r="D2" s="486"/>
      <c r="E2" s="413"/>
      <c r="F2" s="487"/>
      <c r="G2" s="413"/>
      <c r="H2" s="89"/>
      <c r="I2" s="89"/>
      <c r="J2" s="413"/>
      <c r="K2" s="413"/>
      <c r="L2" s="419"/>
      <c r="M2" s="104"/>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09BD3-0CAC-4B80-8943-9474938612BF}">
  <dimension ref="A1:AE56"/>
  <sheetViews>
    <sheetView workbookViewId="0">
      <selection activeCell="A4" sqref="A4:XFD4"/>
    </sheetView>
  </sheetViews>
  <sheetFormatPr defaultRowHeight="12.75"/>
  <cols>
    <col min="1" max="1" width="14.85546875" customWidth="1"/>
    <col min="2" max="2" width="12" customWidth="1"/>
    <col min="3" max="3" width="13.85546875" customWidth="1"/>
    <col min="4" max="4" width="14.85546875" customWidth="1"/>
    <col min="5" max="5" width="25.85546875" customWidth="1"/>
    <col min="6" max="6" width="17.42578125" customWidth="1"/>
    <col min="7" max="7" width="25.5703125" style="46" customWidth="1"/>
    <col min="8" max="8" width="12.85546875" customWidth="1"/>
    <col min="9" max="9" width="23.7109375" customWidth="1"/>
    <col min="10" max="12" width="9.140625" bestFit="1"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5" width="9.140625" bestFit="1" customWidth="1"/>
    <col min="26" max="26" width="12.28515625" customWidth="1"/>
    <col min="27" max="28" width="9.140625" bestFit="1" customWidth="1"/>
    <col min="29" max="29" width="28.28515625" customWidth="1"/>
    <col min="30" max="30" width="42.7109375" customWidth="1"/>
    <col min="31" max="31" width="34.28515625" customWidth="1"/>
  </cols>
  <sheetData>
    <row r="1" spans="1:31" ht="55.5" customHeight="1">
      <c r="A1" s="433" t="s">
        <v>243</v>
      </c>
      <c r="B1" s="433" t="s">
        <v>4</v>
      </c>
      <c r="C1" s="433" t="s">
        <v>2</v>
      </c>
      <c r="D1" s="433" t="s">
        <v>3</v>
      </c>
      <c r="E1" s="433" t="s">
        <v>244</v>
      </c>
      <c r="F1" s="433" t="s">
        <v>245</v>
      </c>
      <c r="G1" s="433" t="s">
        <v>246</v>
      </c>
      <c r="H1" s="434"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40.5" customHeight="1">
      <c r="A2" s="325">
        <v>1</v>
      </c>
      <c r="B2" s="325" t="s">
        <v>379</v>
      </c>
      <c r="C2" s="436">
        <v>46003</v>
      </c>
      <c r="D2" s="436">
        <v>46030</v>
      </c>
      <c r="E2" s="325" t="s">
        <v>461</v>
      </c>
      <c r="F2" s="436" t="s">
        <v>272</v>
      </c>
      <c r="G2" s="325">
        <v>50670</v>
      </c>
      <c r="H2" s="436" t="s">
        <v>462</v>
      </c>
      <c r="I2" s="436" t="s">
        <v>280</v>
      </c>
      <c r="J2" s="325">
        <v>1</v>
      </c>
      <c r="K2" s="325">
        <v>1</v>
      </c>
      <c r="L2" s="325">
        <v>4</v>
      </c>
      <c r="M2" s="436">
        <v>46003</v>
      </c>
      <c r="N2" s="436">
        <v>46009</v>
      </c>
      <c r="O2" s="436" t="s">
        <v>272</v>
      </c>
      <c r="P2" s="436"/>
      <c r="Q2" s="436"/>
      <c r="R2" s="436" t="s">
        <v>283</v>
      </c>
      <c r="S2" s="436"/>
      <c r="T2" s="480" t="s">
        <v>463</v>
      </c>
      <c r="U2" s="436">
        <v>46009</v>
      </c>
      <c r="V2" s="436">
        <v>46009</v>
      </c>
      <c r="W2" s="436" t="s">
        <v>283</v>
      </c>
      <c r="X2" s="436"/>
      <c r="Y2" s="436" t="s">
        <v>448</v>
      </c>
      <c r="Z2" s="436"/>
      <c r="AA2" s="436"/>
      <c r="AB2" s="436"/>
      <c r="AC2" s="436"/>
      <c r="AD2" s="436"/>
      <c r="AE2" s="325"/>
    </row>
    <row r="3" spans="1:31" ht="45.75" customHeight="1">
      <c r="A3" s="325">
        <v>2</v>
      </c>
      <c r="B3" s="325" t="s">
        <v>379</v>
      </c>
      <c r="C3" s="436">
        <v>46003</v>
      </c>
      <c r="D3" s="436">
        <v>46030</v>
      </c>
      <c r="E3" s="325" t="s">
        <v>461</v>
      </c>
      <c r="F3" s="436" t="s">
        <v>275</v>
      </c>
      <c r="G3" s="325">
        <v>50839</v>
      </c>
      <c r="H3" s="436" t="s">
        <v>464</v>
      </c>
      <c r="I3" s="436" t="s">
        <v>280</v>
      </c>
      <c r="J3" s="325">
        <v>8</v>
      </c>
      <c r="K3" s="325">
        <v>8</v>
      </c>
      <c r="L3" s="325">
        <v>41</v>
      </c>
      <c r="M3" s="436">
        <v>46003</v>
      </c>
      <c r="N3" s="436">
        <v>46024</v>
      </c>
      <c r="O3" s="436" t="s">
        <v>13</v>
      </c>
      <c r="P3" s="436" t="s">
        <v>329</v>
      </c>
      <c r="Q3" s="436"/>
      <c r="R3" s="436" t="s">
        <v>287</v>
      </c>
      <c r="S3" s="436"/>
      <c r="T3" s="480" t="s">
        <v>465</v>
      </c>
      <c r="U3" s="436">
        <v>46027</v>
      </c>
      <c r="V3" s="436">
        <v>46027</v>
      </c>
      <c r="W3" s="436" t="s">
        <v>287</v>
      </c>
      <c r="X3" s="436"/>
      <c r="Y3" s="436" t="s">
        <v>466</v>
      </c>
      <c r="Z3" s="436">
        <v>46027</v>
      </c>
      <c r="AA3" s="436"/>
      <c r="AB3" s="436"/>
      <c r="AC3" s="436"/>
      <c r="AD3" s="436"/>
      <c r="AE3" s="325"/>
    </row>
    <row r="4" spans="1:31" ht="24">
      <c r="A4" s="325">
        <v>3</v>
      </c>
      <c r="B4" s="436" t="s">
        <v>379</v>
      </c>
      <c r="C4" s="436">
        <v>46003</v>
      </c>
      <c r="D4" s="436">
        <v>46030</v>
      </c>
      <c r="E4" s="325" t="s">
        <v>461</v>
      </c>
      <c r="F4" s="436" t="s">
        <v>417</v>
      </c>
      <c r="G4" s="325">
        <v>49084</v>
      </c>
      <c r="H4" s="436" t="s">
        <v>467</v>
      </c>
      <c r="I4" s="436" t="s">
        <v>280</v>
      </c>
      <c r="J4" s="325">
        <v>8</v>
      </c>
      <c r="K4" s="325">
        <v>15</v>
      </c>
      <c r="L4" s="325">
        <v>70</v>
      </c>
      <c r="M4" s="436">
        <v>46003</v>
      </c>
      <c r="N4" s="436">
        <v>46027</v>
      </c>
      <c r="O4" s="436" t="s">
        <v>13</v>
      </c>
      <c r="P4" s="436" t="s">
        <v>275</v>
      </c>
      <c r="Q4" s="436"/>
      <c r="R4" s="436" t="s">
        <v>275</v>
      </c>
      <c r="S4" s="436"/>
      <c r="T4" s="480" t="s">
        <v>468</v>
      </c>
      <c r="U4" s="436">
        <v>46027</v>
      </c>
      <c r="V4" s="436">
        <v>46027</v>
      </c>
      <c r="W4" s="436" t="s">
        <v>287</v>
      </c>
      <c r="X4" s="436"/>
      <c r="Y4" s="436" t="s">
        <v>469</v>
      </c>
      <c r="Z4" s="436">
        <v>46027</v>
      </c>
      <c r="AA4" s="436"/>
      <c r="AB4" s="436"/>
      <c r="AC4" s="436"/>
      <c r="AD4" s="436"/>
    </row>
    <row r="5" spans="1:31" ht="36">
      <c r="A5" s="325">
        <v>4</v>
      </c>
      <c r="B5" s="436" t="s">
        <v>379</v>
      </c>
      <c r="C5" s="436">
        <v>46003</v>
      </c>
      <c r="D5" s="436">
        <v>46030</v>
      </c>
      <c r="E5" s="325" t="s">
        <v>461</v>
      </c>
      <c r="F5" s="436" t="s">
        <v>470</v>
      </c>
      <c r="G5" s="325">
        <v>50980</v>
      </c>
      <c r="H5" s="436" t="s">
        <v>471</v>
      </c>
      <c r="I5" s="436" t="s">
        <v>280</v>
      </c>
      <c r="J5" s="325">
        <v>8</v>
      </c>
      <c r="K5" s="325">
        <v>22</v>
      </c>
      <c r="L5" s="325">
        <v>90</v>
      </c>
      <c r="M5" s="436">
        <v>46003</v>
      </c>
      <c r="N5" s="436">
        <v>46029</v>
      </c>
      <c r="O5" s="436" t="s">
        <v>13</v>
      </c>
      <c r="P5" s="436" t="s">
        <v>329</v>
      </c>
      <c r="Q5" s="436"/>
      <c r="R5" s="436" t="s">
        <v>275</v>
      </c>
      <c r="S5" s="436"/>
      <c r="T5" s="480" t="s">
        <v>472</v>
      </c>
      <c r="U5" s="436">
        <v>46029</v>
      </c>
      <c r="V5" s="436">
        <v>46029</v>
      </c>
      <c r="W5" s="436" t="s">
        <v>287</v>
      </c>
      <c r="X5" s="436"/>
      <c r="Y5" s="436" t="s">
        <v>466</v>
      </c>
      <c r="Z5" s="436">
        <v>46030</v>
      </c>
      <c r="AA5" s="436"/>
      <c r="AB5" s="436"/>
      <c r="AC5" s="436"/>
      <c r="AD5" s="436" t="s">
        <v>473</v>
      </c>
      <c r="AE5" s="436"/>
    </row>
    <row r="6" spans="1:31" ht="24">
      <c r="A6" s="325">
        <v>5</v>
      </c>
      <c r="B6" s="436" t="s">
        <v>379</v>
      </c>
      <c r="C6" s="436">
        <v>46003</v>
      </c>
      <c r="D6" s="436">
        <v>46030</v>
      </c>
      <c r="E6" s="325" t="s">
        <v>474</v>
      </c>
      <c r="F6" s="325" t="s">
        <v>272</v>
      </c>
      <c r="G6" s="325">
        <v>51122</v>
      </c>
      <c r="H6" s="325" t="s">
        <v>459</v>
      </c>
      <c r="I6" s="436" t="s">
        <v>428</v>
      </c>
      <c r="J6" s="325">
        <v>8</v>
      </c>
      <c r="K6" s="325">
        <v>8</v>
      </c>
      <c r="L6" s="325">
        <v>36</v>
      </c>
      <c r="M6" s="436">
        <v>46022</v>
      </c>
      <c r="N6" s="436"/>
      <c r="O6" s="436" t="s">
        <v>13</v>
      </c>
      <c r="P6" s="436" t="s">
        <v>272</v>
      </c>
      <c r="Q6" s="436"/>
      <c r="R6" s="436" t="s">
        <v>283</v>
      </c>
      <c r="S6" s="436"/>
      <c r="T6" s="480" t="s">
        <v>460</v>
      </c>
      <c r="U6" s="436"/>
      <c r="V6" s="436"/>
      <c r="W6" s="436"/>
      <c r="X6" s="436"/>
      <c r="Y6" s="436"/>
      <c r="Z6" s="436"/>
      <c r="AA6" s="436"/>
      <c r="AB6" s="436"/>
      <c r="AC6" s="436"/>
      <c r="AD6" s="436"/>
      <c r="AE6" s="436"/>
    </row>
    <row r="7" spans="1:31" ht="24">
      <c r="A7" s="325">
        <v>6</v>
      </c>
      <c r="B7" s="436" t="s">
        <v>379</v>
      </c>
      <c r="C7" s="436">
        <v>46003</v>
      </c>
      <c r="D7" s="436">
        <v>46030</v>
      </c>
      <c r="E7" s="325" t="s">
        <v>474</v>
      </c>
      <c r="F7" s="325" t="s">
        <v>272</v>
      </c>
      <c r="G7" s="325">
        <v>51384</v>
      </c>
      <c r="H7" s="436" t="s">
        <v>457</v>
      </c>
      <c r="I7" s="436" t="s">
        <v>274</v>
      </c>
      <c r="J7" s="325">
        <v>8</v>
      </c>
      <c r="K7" s="325">
        <v>8</v>
      </c>
      <c r="L7" s="325">
        <v>40</v>
      </c>
      <c r="M7" s="436">
        <v>46028</v>
      </c>
      <c r="N7" s="436"/>
      <c r="O7" s="436"/>
      <c r="P7" s="436"/>
      <c r="Q7" s="436"/>
      <c r="R7" s="436"/>
      <c r="S7" s="436"/>
      <c r="T7" s="480"/>
      <c r="U7" s="436"/>
      <c r="V7" s="436"/>
      <c r="W7" s="436"/>
      <c r="X7" s="436"/>
      <c r="Y7" s="436"/>
      <c r="Z7" s="436"/>
      <c r="AA7" s="436"/>
      <c r="AB7" s="436"/>
      <c r="AC7" s="436"/>
      <c r="AD7" s="436"/>
      <c r="AE7" s="436"/>
    </row>
    <row r="8" spans="1:31">
      <c r="A8" s="325"/>
      <c r="B8" s="436"/>
      <c r="C8" s="436"/>
      <c r="D8" s="436"/>
      <c r="E8" s="453"/>
      <c r="H8" s="436"/>
      <c r="I8" s="436"/>
      <c r="J8" s="325"/>
      <c r="K8" s="436"/>
      <c r="L8" s="436"/>
      <c r="M8" s="436"/>
      <c r="N8" s="436"/>
      <c r="O8" s="436"/>
      <c r="P8" s="436"/>
      <c r="Q8" s="436"/>
      <c r="R8" s="436"/>
      <c r="S8" s="436"/>
      <c r="T8" s="436"/>
      <c r="U8" s="436"/>
      <c r="V8" s="436"/>
      <c r="W8" s="436"/>
      <c r="X8" s="436"/>
      <c r="Y8" s="436"/>
      <c r="Z8" s="436"/>
      <c r="AA8" s="436"/>
      <c r="AB8" s="436"/>
      <c r="AC8" s="436"/>
      <c r="AD8" s="436"/>
      <c r="AE8" s="436"/>
    </row>
    <row r="9" spans="1:31">
      <c r="A9" s="325"/>
      <c r="B9" s="436"/>
      <c r="C9" s="436"/>
      <c r="D9" s="491"/>
      <c r="E9" s="489"/>
      <c r="F9" s="490" t="s">
        <v>475</v>
      </c>
      <c r="G9" s="489" t="s">
        <v>476</v>
      </c>
      <c r="H9" t="s">
        <v>235</v>
      </c>
      <c r="I9" s="436"/>
      <c r="J9" s="325"/>
      <c r="K9" s="325"/>
      <c r="L9" s="325"/>
      <c r="M9" s="436"/>
      <c r="N9" s="436"/>
      <c r="O9" s="436"/>
      <c r="P9" s="436"/>
      <c r="Q9" s="436"/>
      <c r="R9" s="436"/>
      <c r="S9" s="436"/>
      <c r="T9" s="480"/>
      <c r="U9" s="436"/>
      <c r="V9" s="436"/>
      <c r="W9" s="436"/>
      <c r="X9" s="436"/>
      <c r="Y9" s="436"/>
      <c r="Z9" s="436"/>
      <c r="AA9" s="436"/>
      <c r="AB9" s="436"/>
      <c r="AC9" s="436"/>
      <c r="AD9" s="436"/>
      <c r="AE9" s="436"/>
    </row>
    <row r="10" spans="1:31">
      <c r="A10" s="325"/>
      <c r="B10" s="436"/>
      <c r="C10" s="436"/>
      <c r="D10" s="491"/>
      <c r="E10" s="489" t="s">
        <v>477</v>
      </c>
      <c r="F10" s="65">
        <v>8</v>
      </c>
      <c r="G10" s="65">
        <v>19</v>
      </c>
      <c r="H10" s="65">
        <v>27</v>
      </c>
      <c r="I10" s="436"/>
      <c r="J10" s="325"/>
      <c r="K10" s="325"/>
      <c r="L10" s="325"/>
      <c r="M10" s="436"/>
      <c r="N10" s="436"/>
      <c r="O10" s="436"/>
      <c r="P10" s="436"/>
      <c r="Q10" s="436"/>
      <c r="R10" s="436"/>
      <c r="S10" s="436"/>
      <c r="T10" s="436"/>
      <c r="U10" s="436"/>
      <c r="V10" s="436"/>
      <c r="W10" s="436"/>
      <c r="X10" s="436"/>
      <c r="Y10" s="436"/>
      <c r="Z10" s="436"/>
      <c r="AA10" s="436"/>
      <c r="AB10" s="436"/>
      <c r="AC10" s="436"/>
      <c r="AD10" s="436"/>
      <c r="AE10" s="436"/>
    </row>
    <row r="11" spans="1:31">
      <c r="A11" s="325"/>
      <c r="B11" s="436"/>
      <c r="C11" s="436"/>
      <c r="D11" s="436"/>
      <c r="E11" s="492"/>
      <c r="F11" s="493"/>
      <c r="G11" s="409"/>
      <c r="H11" s="436"/>
      <c r="I11" s="436"/>
      <c r="J11" s="325"/>
      <c r="K11" s="325"/>
      <c r="L11" s="325"/>
      <c r="M11" s="436"/>
      <c r="N11" s="436"/>
      <c r="O11" s="436"/>
      <c r="P11" s="436"/>
      <c r="Q11" s="436"/>
      <c r="R11" s="436"/>
      <c r="S11" s="436"/>
      <c r="T11" s="480"/>
      <c r="U11" s="436"/>
      <c r="V11" s="436"/>
      <c r="W11" s="436"/>
      <c r="X11" s="436"/>
      <c r="Y11" s="436"/>
      <c r="Z11" s="436"/>
      <c r="AA11" s="436"/>
      <c r="AB11" s="436"/>
      <c r="AC11" s="436"/>
      <c r="AD11" s="436"/>
      <c r="AE11" s="436"/>
    </row>
    <row r="12" spans="1:3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row>
    <row r="18" spans="1:3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row>
    <row r="25" spans="1:3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c r="AE25" s="436"/>
    </row>
    <row r="26" spans="1:3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c r="AE26" s="436"/>
    </row>
    <row r="27" spans="1:3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c r="AE27" s="436"/>
    </row>
    <row r="28" spans="1:3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c r="AE28" s="436"/>
    </row>
    <row r="29" spans="1:3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c r="AE29" s="436"/>
    </row>
    <row r="30" spans="1:3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c r="AE30" s="436"/>
    </row>
    <row r="31" spans="1:3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c r="AE31" s="436"/>
    </row>
    <row r="32" spans="1:3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c r="AE32" s="436"/>
    </row>
    <row r="33" spans="1:3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c r="AE33" s="436"/>
    </row>
    <row r="34" spans="1:3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c r="AE34" s="436"/>
    </row>
    <row r="35" spans="1:3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c r="AE35" s="436"/>
    </row>
    <row r="36" spans="1:3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c r="AE36" s="436"/>
    </row>
    <row r="37" spans="1:3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c r="AE37" s="436"/>
    </row>
    <row r="38" spans="1:3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c r="AE38" s="436"/>
    </row>
    <row r="39" spans="1:3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1">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1">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row r="44" spans="1:31">
      <c r="A44" s="436"/>
      <c r="B44" s="436"/>
      <c r="C44" s="436"/>
      <c r="D44" s="436"/>
      <c r="E44" s="436"/>
      <c r="F44" s="436"/>
      <c r="G44" s="436"/>
      <c r="H44" s="436"/>
      <c r="I44" s="436"/>
      <c r="J44" s="436"/>
      <c r="K44" s="436"/>
      <c r="L44" s="436"/>
      <c r="M44" s="436"/>
      <c r="N44" s="436"/>
      <c r="O44" s="436"/>
      <c r="P44" s="436"/>
      <c r="Q44" s="436"/>
      <c r="R44" s="436"/>
      <c r="S44" s="436"/>
      <c r="T44" s="436"/>
      <c r="U44" s="436"/>
      <c r="V44" s="436"/>
      <c r="W44" s="436"/>
      <c r="X44" s="436"/>
      <c r="Y44" s="436"/>
      <c r="Z44" s="436"/>
      <c r="AA44" s="436"/>
      <c r="AB44" s="436"/>
      <c r="AC44" s="436"/>
      <c r="AD44" s="436"/>
    </row>
    <row r="45" spans="1:31">
      <c r="A45" s="436"/>
      <c r="B45" s="436"/>
      <c r="C45" s="436"/>
      <c r="D45" s="436"/>
      <c r="E45" s="436"/>
      <c r="F45" s="436"/>
      <c r="G45" s="436"/>
      <c r="H45" s="436"/>
      <c r="I45" s="436"/>
      <c r="J45" s="436"/>
      <c r="K45" s="436"/>
      <c r="L45" s="436"/>
      <c r="M45" s="436"/>
      <c r="N45" s="436"/>
      <c r="O45" s="436"/>
      <c r="P45" s="436"/>
      <c r="Q45" s="436"/>
      <c r="R45" s="436"/>
      <c r="S45" s="436"/>
      <c r="T45" s="436"/>
      <c r="U45" s="436"/>
      <c r="V45" s="436"/>
      <c r="W45" s="436"/>
      <c r="X45" s="436"/>
      <c r="Y45" s="436"/>
      <c r="Z45" s="436"/>
      <c r="AA45" s="436"/>
      <c r="AB45" s="436"/>
      <c r="AC45" s="436"/>
      <c r="AD45" s="436"/>
    </row>
    <row r="46" spans="1:31">
      <c r="A46" s="436"/>
      <c r="B46" s="436"/>
      <c r="C46" s="436"/>
      <c r="D46" s="436"/>
      <c r="E46" s="436"/>
      <c r="F46" s="436"/>
      <c r="G46" s="436"/>
      <c r="H46" s="436"/>
      <c r="I46" s="436"/>
      <c r="J46" s="436"/>
      <c r="K46" s="436"/>
      <c r="L46" s="436"/>
      <c r="M46" s="436"/>
      <c r="N46" s="436"/>
      <c r="O46" s="436"/>
      <c r="P46" s="436"/>
      <c r="Q46" s="436"/>
      <c r="R46" s="436"/>
      <c r="S46" s="436"/>
      <c r="T46" s="436"/>
      <c r="U46" s="436"/>
      <c r="V46" s="436"/>
      <c r="W46" s="436"/>
      <c r="X46" s="436"/>
      <c r="Y46" s="436"/>
      <c r="Z46" s="436"/>
      <c r="AA46" s="436"/>
      <c r="AB46" s="436"/>
      <c r="AC46" s="436"/>
      <c r="AD46" s="436"/>
    </row>
    <row r="47" spans="1:31">
      <c r="A47" s="436"/>
      <c r="B47" s="436"/>
      <c r="C47" s="436"/>
      <c r="D47" s="436"/>
      <c r="E47" s="436"/>
      <c r="F47" s="436"/>
      <c r="G47" s="436"/>
      <c r="H47" s="436"/>
      <c r="I47" s="436"/>
      <c r="J47" s="436"/>
      <c r="K47" s="436"/>
      <c r="L47" s="436"/>
      <c r="M47" s="436"/>
      <c r="N47" s="436"/>
      <c r="O47" s="436"/>
      <c r="P47" s="436"/>
      <c r="Q47" s="436"/>
      <c r="R47" s="436"/>
      <c r="S47" s="436"/>
      <c r="T47" s="436"/>
      <c r="U47" s="436"/>
      <c r="V47" s="436"/>
      <c r="W47" s="436"/>
      <c r="X47" s="436"/>
      <c r="Y47" s="436"/>
      <c r="Z47" s="436"/>
      <c r="AA47" s="436"/>
      <c r="AB47" s="436"/>
      <c r="AC47" s="436"/>
      <c r="AD47" s="436"/>
    </row>
    <row r="48" spans="1:31">
      <c r="A48" s="436"/>
      <c r="B48" s="436"/>
      <c r="C48" s="436"/>
      <c r="D48" s="436"/>
      <c r="E48" s="436"/>
      <c r="F48" s="436"/>
      <c r="G48" s="436"/>
      <c r="H48" s="436"/>
      <c r="I48" s="436"/>
      <c r="J48" s="436"/>
      <c r="K48" s="436"/>
      <c r="L48" s="436"/>
      <c r="M48" s="436"/>
      <c r="N48" s="436"/>
      <c r="O48" s="436"/>
      <c r="P48" s="436"/>
      <c r="Q48" s="436"/>
      <c r="R48" s="436"/>
      <c r="S48" s="436"/>
      <c r="T48" s="436"/>
      <c r="U48" s="436"/>
      <c r="V48" s="436"/>
      <c r="W48" s="436"/>
      <c r="X48" s="436"/>
      <c r="Y48" s="436"/>
      <c r="Z48" s="436"/>
      <c r="AA48" s="436"/>
      <c r="AB48" s="436"/>
      <c r="AC48" s="436"/>
      <c r="AD48" s="436"/>
    </row>
    <row r="49" spans="1:30">
      <c r="A49" s="436"/>
      <c r="B49" s="436"/>
      <c r="C49" s="436"/>
      <c r="D49" s="436"/>
      <c r="E49" s="436"/>
      <c r="F49" s="436"/>
      <c r="G49" s="436"/>
      <c r="H49" s="436"/>
      <c r="I49" s="436"/>
      <c r="J49" s="436"/>
      <c r="K49" s="436"/>
      <c r="L49" s="436"/>
      <c r="M49" s="436"/>
      <c r="N49" s="436"/>
      <c r="O49" s="436"/>
      <c r="P49" s="436"/>
      <c r="Q49" s="436"/>
      <c r="R49" s="436"/>
      <c r="S49" s="436"/>
      <c r="T49" s="436"/>
      <c r="U49" s="436"/>
      <c r="V49" s="436"/>
      <c r="W49" s="436"/>
      <c r="X49" s="436"/>
      <c r="Y49" s="436"/>
      <c r="Z49" s="436"/>
      <c r="AA49" s="436"/>
      <c r="AB49" s="436"/>
      <c r="AC49" s="436"/>
      <c r="AD49" s="436"/>
    </row>
    <row r="50" spans="1:30">
      <c r="A50" s="436"/>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36"/>
      <c r="AD50" s="436"/>
    </row>
    <row r="51" spans="1:30">
      <c r="A51" s="436"/>
      <c r="B51" s="436"/>
      <c r="C51" s="436"/>
      <c r="D51" s="436"/>
      <c r="E51" s="436"/>
      <c r="F51" s="436"/>
      <c r="G51" s="436"/>
      <c r="H51" s="436"/>
      <c r="I51" s="436"/>
      <c r="J51" s="436"/>
      <c r="K51" s="436"/>
      <c r="L51" s="436"/>
      <c r="M51" s="436"/>
      <c r="N51" s="436"/>
      <c r="O51" s="436"/>
      <c r="P51" s="436"/>
      <c r="Q51" s="436"/>
      <c r="R51" s="436"/>
      <c r="S51" s="436"/>
      <c r="T51" s="436"/>
      <c r="U51" s="436"/>
      <c r="V51" s="436"/>
      <c r="W51" s="436"/>
      <c r="X51" s="436"/>
      <c r="Y51" s="436"/>
      <c r="Z51" s="436"/>
      <c r="AA51" s="436"/>
      <c r="AB51" s="436"/>
      <c r="AC51" s="436"/>
      <c r="AD51" s="436"/>
    </row>
    <row r="52" spans="1:30">
      <c r="A52" s="436"/>
      <c r="B52" s="436"/>
      <c r="C52" s="436"/>
      <c r="D52" s="436"/>
      <c r="E52" s="436"/>
      <c r="F52" s="436"/>
      <c r="G52" s="436"/>
      <c r="H52" s="436"/>
      <c r="I52" s="436"/>
      <c r="J52" s="436"/>
      <c r="K52" s="436"/>
      <c r="L52" s="436"/>
      <c r="M52" s="436"/>
      <c r="N52" s="436"/>
      <c r="O52" s="436"/>
      <c r="P52" s="436"/>
      <c r="Q52" s="436"/>
      <c r="R52" s="436"/>
      <c r="S52" s="436"/>
      <c r="T52" s="436"/>
      <c r="U52" s="436"/>
      <c r="V52" s="436"/>
      <c r="W52" s="436"/>
      <c r="X52" s="436"/>
      <c r="Y52" s="436"/>
      <c r="Z52" s="436"/>
      <c r="AA52" s="436"/>
      <c r="AB52" s="436"/>
      <c r="AC52" s="436"/>
      <c r="AD52" s="436"/>
    </row>
    <row r="53" spans="1:30">
      <c r="A53" s="436"/>
      <c r="B53" s="436"/>
      <c r="C53" s="436"/>
      <c r="D53" s="436"/>
      <c r="E53" s="436"/>
      <c r="F53" s="436"/>
      <c r="G53" s="436"/>
      <c r="H53" s="436"/>
      <c r="I53" s="436"/>
      <c r="J53" s="436"/>
      <c r="K53" s="436"/>
      <c r="L53" s="436"/>
      <c r="M53" s="436"/>
      <c r="N53" s="436"/>
      <c r="O53" s="436"/>
      <c r="P53" s="436"/>
      <c r="Q53" s="436"/>
      <c r="R53" s="436"/>
      <c r="S53" s="436"/>
      <c r="T53" s="436"/>
      <c r="U53" s="436"/>
      <c r="V53" s="436"/>
      <c r="W53" s="436"/>
      <c r="X53" s="436"/>
      <c r="Y53" s="436"/>
      <c r="Z53" s="436"/>
      <c r="AA53" s="436"/>
      <c r="AB53" s="436"/>
      <c r="AC53" s="436"/>
      <c r="AD53" s="436"/>
    </row>
    <row r="54" spans="1:30">
      <c r="A54" s="436"/>
      <c r="B54" s="436"/>
      <c r="C54" s="436"/>
      <c r="D54" s="436"/>
      <c r="E54" s="436"/>
      <c r="F54" s="436"/>
      <c r="G54" s="436"/>
      <c r="H54" s="436"/>
      <c r="I54" s="436"/>
      <c r="J54" s="436"/>
      <c r="K54" s="436"/>
      <c r="L54" s="436"/>
      <c r="M54" s="436"/>
      <c r="N54" s="436"/>
      <c r="O54" s="436"/>
      <c r="P54" s="436"/>
      <c r="Q54" s="436"/>
      <c r="R54" s="436"/>
      <c r="S54" s="436"/>
      <c r="T54" s="436"/>
      <c r="U54" s="436"/>
      <c r="V54" s="436"/>
      <c r="W54" s="436"/>
      <c r="X54" s="436"/>
      <c r="Y54" s="436"/>
      <c r="Z54" s="436"/>
      <c r="AA54" s="436"/>
      <c r="AB54" s="436"/>
      <c r="AC54" s="436"/>
      <c r="AD54" s="436"/>
    </row>
    <row r="55" spans="1:30">
      <c r="A55" s="436"/>
      <c r="B55" s="436"/>
      <c r="C55" s="436"/>
      <c r="D55" s="436"/>
      <c r="E55" s="436"/>
      <c r="F55" s="436"/>
      <c r="G55" s="436"/>
      <c r="H55" s="436"/>
      <c r="I55" s="436"/>
      <c r="J55" s="436"/>
      <c r="K55" s="436"/>
      <c r="L55" s="436"/>
      <c r="M55" s="436"/>
      <c r="N55" s="436"/>
      <c r="O55" s="436"/>
      <c r="P55" s="436"/>
      <c r="Q55" s="436"/>
      <c r="R55" s="436"/>
      <c r="S55" s="436"/>
      <c r="T55" s="436"/>
      <c r="U55" s="436"/>
      <c r="V55" s="436"/>
      <c r="W55" s="436"/>
      <c r="X55" s="436"/>
      <c r="Y55" s="436"/>
      <c r="Z55" s="436"/>
      <c r="AA55" s="436"/>
      <c r="AB55" s="436"/>
      <c r="AC55" s="436"/>
      <c r="AD55" s="436"/>
    </row>
    <row r="56" spans="1:30">
      <c r="A56" s="436"/>
      <c r="B56" s="436"/>
      <c r="C56" s="436"/>
      <c r="D56" s="436"/>
      <c r="E56" s="436"/>
      <c r="F56" s="436"/>
      <c r="G56" s="436"/>
      <c r="H56" s="436"/>
      <c r="I56" s="436"/>
      <c r="J56" s="436"/>
      <c r="K56" s="436"/>
      <c r="L56" s="436"/>
      <c r="M56" s="436"/>
      <c r="N56" s="436"/>
      <c r="O56" s="436"/>
      <c r="P56" s="436"/>
      <c r="Q56" s="436"/>
      <c r="R56" s="436"/>
      <c r="S56" s="436"/>
      <c r="T56" s="436"/>
      <c r="U56" s="436"/>
      <c r="V56" s="436"/>
      <c r="W56" s="436"/>
      <c r="X56" s="436"/>
      <c r="Y56" s="436"/>
      <c r="Z56" s="436"/>
      <c r="AA56" s="436"/>
      <c r="AB56" s="436"/>
      <c r="AC56" s="436"/>
      <c r="AD56" s="436"/>
    </row>
  </sheetData>
  <dataValidations count="1">
    <dataValidation type="list" allowBlank="1" showInputMessage="1" showErrorMessage="1" sqref="AE3" xr:uid="{78888DB8-1AAC-42A9-A008-DC3A0F0CFB54}">
      <formula1>"Exceeds Expectation, Meets Expectation, Needs improvements"</formula1>
    </dataValidation>
  </dataValidations>
  <hyperlinks>
    <hyperlink ref="T3" r:id="rId1" xr:uid="{62E3702D-F6FC-41D2-9AEE-ADE61BAC5777}"/>
    <hyperlink ref="T6" r:id="rId2" xr:uid="{C52DA0B4-995F-4326-ACA6-E0E2D69A95AA}"/>
    <hyperlink ref="T2" r:id="rId3" xr:uid="{2938B1E7-D7B2-42E6-8071-FF62EDA35A9A}"/>
    <hyperlink ref="T4" r:id="rId4" xr:uid="{13B2B47A-2448-4465-A2DA-6ABE71ECFEB6}"/>
    <hyperlink ref="T5" r:id="rId5" xr:uid="{E514A096-9C20-4693-A5D0-CED40EA665B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60E5C74-D69D-4D75-A2AB-89CE66C1B45F}">
          <x14:formula1>
            <xm:f>Settings!$C$3:$C$20</xm:f>
          </x14:formula1>
          <xm:sqref>I9:I11 I2:I7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3D77A-9825-47E5-9B44-31F979AD9128}">
  <sheetPr>
    <tabColor rgb="FFFFFF00"/>
    <outlinePr summaryBelow="0" summaryRight="0"/>
  </sheetPr>
  <dimension ref="A1:AB992"/>
  <sheetViews>
    <sheetView topLeftCell="B1" workbookViewId="0">
      <selection activeCell="B2" sqref="B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360" t="s">
        <v>243</v>
      </c>
      <c r="B1" s="1" t="s">
        <v>11</v>
      </c>
      <c r="C1" s="1" t="s">
        <v>297</v>
      </c>
      <c r="D1" s="1" t="s">
        <v>298</v>
      </c>
      <c r="E1" s="1" t="s">
        <v>245</v>
      </c>
      <c r="F1" s="1" t="s">
        <v>299</v>
      </c>
      <c r="G1" s="1" t="s">
        <v>300</v>
      </c>
      <c r="H1" s="1" t="s">
        <v>301</v>
      </c>
      <c r="I1" s="1" t="s">
        <v>302</v>
      </c>
      <c r="J1" s="1" t="s">
        <v>303</v>
      </c>
      <c r="K1" s="1" t="s">
        <v>248</v>
      </c>
      <c r="L1" s="130" t="s">
        <v>305</v>
      </c>
      <c r="M1" s="131" t="s">
        <v>269</v>
      </c>
      <c r="N1" s="25"/>
      <c r="O1" s="25"/>
      <c r="P1" s="25"/>
      <c r="Q1" s="25"/>
      <c r="R1" s="25"/>
      <c r="S1" s="25"/>
      <c r="T1" s="25"/>
      <c r="U1" s="25"/>
      <c r="V1" s="25"/>
      <c r="W1" s="25"/>
      <c r="X1" s="25"/>
      <c r="Y1" s="25"/>
      <c r="Z1" s="25"/>
      <c r="AA1" s="25"/>
      <c r="AB1" s="25"/>
    </row>
    <row r="2" spans="1:28" ht="70.5" customHeight="1">
      <c r="A2" s="48"/>
      <c r="B2" s="222"/>
      <c r="C2" s="361"/>
      <c r="D2" s="362"/>
      <c r="E2" s="83"/>
      <c r="F2" s="363" t="s">
        <v>281</v>
      </c>
      <c r="G2" s="127"/>
      <c r="H2" s="222"/>
      <c r="I2" s="363"/>
      <c r="J2" s="222"/>
      <c r="K2" s="363"/>
      <c r="L2" s="222"/>
      <c r="M2" s="83"/>
    </row>
    <row r="3" spans="1:28" ht="33.75" customHeight="1">
      <c r="B3" s="358"/>
      <c r="C3" s="66"/>
      <c r="D3" s="66"/>
      <c r="E3" s="358"/>
      <c r="F3" s="358"/>
      <c r="G3" s="359"/>
      <c r="H3" s="358"/>
      <c r="I3" s="358"/>
      <c r="J3" s="358"/>
      <c r="K3" s="358"/>
      <c r="L3" s="358"/>
      <c r="M3" s="65"/>
    </row>
    <row r="4" spans="1:28" ht="15.75" customHeight="1"/>
    <row r="5" spans="1:28" ht="15.75" customHeight="1"/>
    <row r="6" spans="1:28" ht="15.75" customHeight="1"/>
    <row r="7" spans="1:28" ht="15.75" customHeight="1">
      <c r="F7" s="43"/>
    </row>
    <row r="8" spans="1:28" ht="15.75" customHeight="1"/>
    <row r="9" spans="1:28" ht="15.75" customHeight="1"/>
    <row r="10" spans="1:28" ht="15.75" customHeight="1">
      <c r="K10" s="43"/>
    </row>
    <row r="11" spans="1:28" ht="15.75" customHeight="1"/>
    <row r="12" spans="1:28" ht="15.75" customHeight="1"/>
    <row r="13" spans="1:28" ht="15.75" customHeight="1"/>
    <row r="14" spans="1:28" ht="15.75" customHeight="1">
      <c r="N14" s="43"/>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E14DEB21-61E4-46C4-A0D0-4AE79932637C}">
      <formula1>"Internal,External"</formula1>
    </dataValidation>
    <dataValidation type="list" allowBlank="1" showErrorMessage="1" sqref="K3" xr:uid="{CF721EF5-F465-4444-83C7-E0D03E531155}">
      <formula1>"Open,Inprogress,Closed"</formula1>
    </dataValidation>
    <dataValidation type="list" allowBlank="1" showErrorMessage="1" sqref="H2:H3" xr:uid="{FA007DAB-B7E1-440E-80C2-7E0A852517EB}">
      <formula1>"Minor,Significant,Major"</formula1>
    </dataValidation>
    <dataValidation type="list" allowBlank="1" showErrorMessage="1" sqref="F3" xr:uid="{21761648-1FCC-429F-9F1E-83342B8B0154}">
      <formula1>"Bounceback,Defect,None"</formula1>
    </dataValidation>
    <dataValidation type="list" allowBlank="1" showErrorMessage="1" sqref="F2" xr:uid="{FC039387-5589-4AF3-B9CC-82410913AC83}">
      <formula1>"Bounceback/Sub-Defect,Defect,None"</formula1>
    </dataValidation>
    <dataValidation type="list" allowBlank="1" showErrorMessage="1" sqref="I2:I3" xr:uid="{F1724335-6283-4B87-AF5A-7F177FA11CD3}">
      <formula1>"Manual, Automation"</formula1>
    </dataValidation>
    <dataValidation type="list" allowBlank="1" showErrorMessage="1" sqref="K2" xr:uid="{B0C58A5F-5237-452A-87A6-5F3B18F33315}">
      <formula1>"Open,Inprogress,Closed/Rejected"</formula1>
    </dataValidation>
    <dataValidation type="list" allowBlank="1" showErrorMessage="1" sqref="L2:L3" xr:uid="{DFC0A2C7-E130-4176-B293-FAF3B1107657}">
      <formula1>$A$2:$A$10</formula1>
    </dataValidation>
  </dataValidations>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9D8A9-C052-40E2-B0C7-35975782C709}">
  <dimension ref="A1:AE56"/>
  <sheetViews>
    <sheetView topLeftCell="A2" workbookViewId="0">
      <selection activeCell="AE18" sqref="AE18"/>
    </sheetView>
  </sheetViews>
  <sheetFormatPr defaultRowHeight="12.75"/>
  <cols>
    <col min="1" max="1" width="14.85546875" customWidth="1"/>
    <col min="2" max="2" width="12" customWidth="1"/>
    <col min="3" max="3" width="13.85546875" customWidth="1"/>
    <col min="4" max="4" width="14.85546875" customWidth="1"/>
    <col min="5" max="5" width="25.85546875" customWidth="1"/>
    <col min="6" max="6" width="17.42578125" customWidth="1"/>
    <col min="7" max="7" width="17.5703125" style="46" customWidth="1"/>
    <col min="8" max="8" width="69.140625" customWidth="1"/>
    <col min="9" max="9" width="23.7109375" customWidth="1"/>
    <col min="10" max="12" width="9.140625" bestFit="1"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5" width="9.140625" bestFit="1" customWidth="1"/>
    <col min="26" max="26" width="12.28515625" customWidth="1"/>
    <col min="27" max="28" width="9.140625" bestFit="1" customWidth="1"/>
    <col min="29" max="29" width="28.28515625" customWidth="1"/>
    <col min="30" max="30" width="42.7109375" customWidth="1"/>
    <col min="31" max="31" width="34.28515625" customWidth="1"/>
  </cols>
  <sheetData>
    <row r="1" spans="1:31" ht="55.5" customHeight="1">
      <c r="A1" s="433" t="s">
        <v>243</v>
      </c>
      <c r="B1" s="433" t="s">
        <v>4</v>
      </c>
      <c r="C1" s="433" t="s">
        <v>2</v>
      </c>
      <c r="D1" s="433" t="s">
        <v>3</v>
      </c>
      <c r="E1" s="433" t="s">
        <v>244</v>
      </c>
      <c r="F1" s="433" t="s">
        <v>245</v>
      </c>
      <c r="G1" s="433" t="s">
        <v>246</v>
      </c>
      <c r="H1" s="434"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40.5" customHeight="1">
      <c r="A2" s="325">
        <v>1</v>
      </c>
      <c r="B2" s="436" t="s">
        <v>379</v>
      </c>
      <c r="C2" s="436">
        <v>45975</v>
      </c>
      <c r="D2" s="436">
        <v>46002</v>
      </c>
      <c r="E2" s="436" t="s">
        <v>478</v>
      </c>
      <c r="F2" s="436" t="s">
        <v>275</v>
      </c>
      <c r="G2" s="325">
        <v>50774</v>
      </c>
      <c r="H2" s="436" t="s">
        <v>479</v>
      </c>
      <c r="I2" s="481" t="s">
        <v>280</v>
      </c>
      <c r="J2" s="325">
        <v>2</v>
      </c>
      <c r="K2" s="325">
        <v>2</v>
      </c>
      <c r="L2" s="325">
        <v>8</v>
      </c>
      <c r="M2" s="436">
        <v>45975</v>
      </c>
      <c r="N2" s="436">
        <v>45978</v>
      </c>
      <c r="O2" s="436" t="s">
        <v>13</v>
      </c>
      <c r="P2" s="436" t="s">
        <v>329</v>
      </c>
      <c r="Q2" s="436"/>
      <c r="R2" s="436" t="s">
        <v>287</v>
      </c>
      <c r="S2" s="436"/>
      <c r="T2" s="480" t="s">
        <v>480</v>
      </c>
      <c r="U2" s="436">
        <v>45978</v>
      </c>
      <c r="V2" s="436">
        <v>45978</v>
      </c>
      <c r="W2" s="436" t="s">
        <v>287</v>
      </c>
      <c r="X2" s="436"/>
      <c r="Y2" s="436" t="s">
        <v>466</v>
      </c>
      <c r="Z2" s="436">
        <v>45978</v>
      </c>
      <c r="AA2" s="436"/>
      <c r="AB2" s="436"/>
      <c r="AC2" s="436"/>
      <c r="AD2" s="436"/>
      <c r="AE2" s="325" t="s">
        <v>481</v>
      </c>
    </row>
    <row r="3" spans="1:31" ht="40.5" customHeight="1">
      <c r="A3" s="325">
        <v>2</v>
      </c>
      <c r="B3" s="436" t="s">
        <v>379</v>
      </c>
      <c r="C3" s="436">
        <v>45975</v>
      </c>
      <c r="D3" s="436">
        <v>46002</v>
      </c>
      <c r="E3" s="325" t="s">
        <v>179</v>
      </c>
      <c r="F3" s="436" t="s">
        <v>482</v>
      </c>
      <c r="G3" s="436" t="s">
        <v>483</v>
      </c>
      <c r="H3" s="436" t="s">
        <v>484</v>
      </c>
      <c r="I3" s="481" t="s">
        <v>280</v>
      </c>
      <c r="J3" s="325">
        <v>13</v>
      </c>
      <c r="K3" s="325">
        <v>13</v>
      </c>
      <c r="L3" s="325">
        <v>52</v>
      </c>
      <c r="M3" s="436">
        <v>45975</v>
      </c>
      <c r="N3" s="436">
        <v>46001</v>
      </c>
      <c r="O3" s="436" t="s">
        <v>13</v>
      </c>
      <c r="P3" s="436" t="s">
        <v>448</v>
      </c>
      <c r="Q3" s="436"/>
      <c r="R3" s="436" t="s">
        <v>448</v>
      </c>
      <c r="S3" s="436"/>
      <c r="T3" s="436" t="s">
        <v>448</v>
      </c>
      <c r="U3" s="436"/>
      <c r="V3" s="436"/>
      <c r="W3" s="436"/>
      <c r="X3" s="436"/>
      <c r="Y3" s="436"/>
      <c r="Z3" s="436"/>
      <c r="AA3" s="436"/>
      <c r="AB3" s="436"/>
      <c r="AC3" s="436"/>
      <c r="AD3" s="436" t="s">
        <v>485</v>
      </c>
      <c r="AE3" s="325" t="s">
        <v>481</v>
      </c>
    </row>
    <row r="4" spans="1:31" ht="40.5" customHeight="1">
      <c r="A4" s="325">
        <v>3</v>
      </c>
      <c r="B4" s="436" t="s">
        <v>379</v>
      </c>
      <c r="C4" s="436">
        <v>45975</v>
      </c>
      <c r="D4" s="436">
        <v>46002</v>
      </c>
      <c r="E4" s="325" t="s">
        <v>179</v>
      </c>
      <c r="F4" s="436" t="s">
        <v>287</v>
      </c>
      <c r="G4" s="409">
        <v>50463</v>
      </c>
      <c r="H4" s="436" t="s">
        <v>486</v>
      </c>
      <c r="I4" s="481" t="s">
        <v>280</v>
      </c>
      <c r="J4" s="325">
        <v>8</v>
      </c>
      <c r="K4" s="325">
        <v>8</v>
      </c>
      <c r="L4" s="325">
        <v>32</v>
      </c>
      <c r="M4" s="436">
        <v>45975</v>
      </c>
      <c r="N4" s="436">
        <v>45995</v>
      </c>
      <c r="O4" s="436" t="s">
        <v>13</v>
      </c>
      <c r="P4" s="436" t="s">
        <v>329</v>
      </c>
      <c r="Q4" s="436"/>
      <c r="R4" s="436" t="s">
        <v>448</v>
      </c>
      <c r="S4" s="436"/>
      <c r="T4" s="480" t="s">
        <v>487</v>
      </c>
      <c r="U4" s="436">
        <v>45995</v>
      </c>
      <c r="V4" s="436">
        <v>45995</v>
      </c>
      <c r="W4" s="436" t="s">
        <v>287</v>
      </c>
      <c r="X4" s="436"/>
      <c r="Y4" s="436" t="s">
        <v>466</v>
      </c>
      <c r="Z4" s="436">
        <v>45995</v>
      </c>
      <c r="AA4" s="436"/>
      <c r="AB4" s="436"/>
      <c r="AC4" s="436"/>
      <c r="AD4" s="436"/>
      <c r="AE4" s="325" t="s">
        <v>481</v>
      </c>
    </row>
    <row r="5" spans="1:31" ht="45.75" customHeight="1">
      <c r="A5" s="325">
        <v>4</v>
      </c>
      <c r="B5" s="436" t="s">
        <v>379</v>
      </c>
      <c r="C5" s="436">
        <v>45975</v>
      </c>
      <c r="D5" s="436">
        <v>46002</v>
      </c>
      <c r="E5" s="436" t="s">
        <v>478</v>
      </c>
      <c r="F5" s="436" t="s">
        <v>275</v>
      </c>
      <c r="G5" s="325">
        <v>50132</v>
      </c>
      <c r="H5" s="436" t="s">
        <v>488</v>
      </c>
      <c r="I5" s="481" t="s">
        <v>280</v>
      </c>
      <c r="J5" s="325">
        <v>3</v>
      </c>
      <c r="K5" s="325">
        <v>3</v>
      </c>
      <c r="L5" s="325">
        <v>12</v>
      </c>
      <c r="M5" s="436">
        <v>45965</v>
      </c>
      <c r="N5" s="436">
        <v>45974</v>
      </c>
      <c r="O5" s="436" t="s">
        <v>13</v>
      </c>
      <c r="P5" s="436" t="s">
        <v>337</v>
      </c>
      <c r="Q5" s="436"/>
      <c r="R5" s="436" t="s">
        <v>275</v>
      </c>
      <c r="S5" s="436"/>
      <c r="T5" s="480" t="s">
        <v>489</v>
      </c>
      <c r="U5" s="436">
        <v>45965</v>
      </c>
      <c r="V5" s="436">
        <v>45974</v>
      </c>
      <c r="W5" s="436" t="s">
        <v>287</v>
      </c>
      <c r="X5" s="436"/>
      <c r="Y5" s="436" t="s">
        <v>490</v>
      </c>
      <c r="Z5" s="436">
        <v>45974</v>
      </c>
      <c r="AA5" s="436"/>
      <c r="AB5" s="436"/>
      <c r="AC5" s="436"/>
      <c r="AD5" s="436"/>
      <c r="AE5" s="325" t="s">
        <v>481</v>
      </c>
    </row>
    <row r="6" spans="1:31" ht="36">
      <c r="A6" s="325">
        <v>5</v>
      </c>
      <c r="B6" s="436" t="s">
        <v>379</v>
      </c>
      <c r="C6" s="436">
        <v>45975</v>
      </c>
      <c r="D6" s="436">
        <v>46002</v>
      </c>
      <c r="E6" s="325" t="s">
        <v>179</v>
      </c>
      <c r="F6" s="436" t="s">
        <v>417</v>
      </c>
      <c r="G6" s="325">
        <v>50465</v>
      </c>
      <c r="H6" s="436" t="s">
        <v>491</v>
      </c>
      <c r="I6" s="481" t="s">
        <v>280</v>
      </c>
      <c r="J6" s="325">
        <v>13</v>
      </c>
      <c r="K6" s="325">
        <v>13</v>
      </c>
      <c r="L6" s="325">
        <v>52</v>
      </c>
      <c r="M6" s="436">
        <v>45995</v>
      </c>
      <c r="N6" s="436">
        <v>45996</v>
      </c>
      <c r="O6" s="436" t="s">
        <v>13</v>
      </c>
      <c r="P6" s="436" t="s">
        <v>329</v>
      </c>
      <c r="Q6" s="436"/>
      <c r="R6" s="436" t="s">
        <v>275</v>
      </c>
      <c r="S6" s="436"/>
      <c r="T6" s="480" t="s">
        <v>492</v>
      </c>
      <c r="U6" s="436">
        <v>45996</v>
      </c>
      <c r="V6" s="436">
        <v>45996</v>
      </c>
      <c r="W6" s="436" t="s">
        <v>287</v>
      </c>
      <c r="X6" s="436"/>
      <c r="Y6" s="436" t="s">
        <v>466</v>
      </c>
      <c r="Z6" s="436">
        <v>45996</v>
      </c>
      <c r="AA6" s="436"/>
      <c r="AB6" s="436"/>
      <c r="AC6" s="436"/>
      <c r="AD6" s="436"/>
      <c r="AE6" s="325" t="s">
        <v>481</v>
      </c>
    </row>
    <row r="7" spans="1:31" ht="36">
      <c r="A7" s="325">
        <v>6</v>
      </c>
      <c r="B7" s="436" t="s">
        <v>379</v>
      </c>
      <c r="C7" s="436">
        <v>45975</v>
      </c>
      <c r="D7" s="436">
        <v>46002</v>
      </c>
      <c r="E7" s="436" t="s">
        <v>493</v>
      </c>
      <c r="F7" s="436" t="s">
        <v>275</v>
      </c>
      <c r="G7" s="325">
        <v>50896</v>
      </c>
      <c r="H7" s="436" t="s">
        <v>494</v>
      </c>
      <c r="I7" s="481" t="s">
        <v>280</v>
      </c>
      <c r="J7" s="325">
        <v>3</v>
      </c>
      <c r="K7" s="325">
        <v>3</v>
      </c>
      <c r="L7" s="325">
        <v>12</v>
      </c>
      <c r="M7" s="436">
        <v>45980</v>
      </c>
      <c r="N7" s="436">
        <v>45982</v>
      </c>
      <c r="O7" s="436" t="s">
        <v>13</v>
      </c>
      <c r="P7" s="436" t="s">
        <v>329</v>
      </c>
      <c r="Q7" s="436"/>
      <c r="R7" s="436" t="s">
        <v>287</v>
      </c>
      <c r="S7" s="436"/>
      <c r="T7" s="480" t="s">
        <v>495</v>
      </c>
      <c r="U7" s="436">
        <v>45985</v>
      </c>
      <c r="V7" s="436">
        <v>45986</v>
      </c>
      <c r="W7" s="436" t="s">
        <v>287</v>
      </c>
      <c r="X7" s="436"/>
      <c r="Y7" s="436" t="s">
        <v>490</v>
      </c>
      <c r="Z7" s="436">
        <v>45986</v>
      </c>
      <c r="AA7" s="436"/>
      <c r="AB7" s="436"/>
      <c r="AC7" s="436"/>
      <c r="AD7" s="436"/>
      <c r="AE7" s="325" t="s">
        <v>481</v>
      </c>
    </row>
    <row r="8" spans="1:31" ht="36">
      <c r="A8" s="325">
        <v>7</v>
      </c>
      <c r="B8" s="436" t="s">
        <v>379</v>
      </c>
      <c r="C8" s="436">
        <v>45975</v>
      </c>
      <c r="D8" s="436">
        <v>46002</v>
      </c>
      <c r="E8" s="436" t="s">
        <v>493</v>
      </c>
      <c r="F8" s="436" t="s">
        <v>275</v>
      </c>
      <c r="G8" s="325">
        <v>26326</v>
      </c>
      <c r="H8" s="436" t="s">
        <v>496</v>
      </c>
      <c r="I8" s="481" t="s">
        <v>280</v>
      </c>
      <c r="J8" s="325">
        <v>3</v>
      </c>
      <c r="K8" s="325">
        <v>3</v>
      </c>
      <c r="L8" s="325">
        <v>12</v>
      </c>
      <c r="M8" s="436">
        <v>45985</v>
      </c>
      <c r="N8" s="436">
        <v>45988</v>
      </c>
      <c r="O8" s="436" t="s">
        <v>13</v>
      </c>
      <c r="P8" s="436" t="s">
        <v>329</v>
      </c>
      <c r="Q8" s="436"/>
      <c r="R8" s="436" t="s">
        <v>287</v>
      </c>
      <c r="S8" s="436"/>
      <c r="T8" s="480" t="s">
        <v>497</v>
      </c>
      <c r="U8" s="436">
        <v>46018</v>
      </c>
      <c r="V8" s="436">
        <v>45992</v>
      </c>
      <c r="W8" s="436" t="s">
        <v>287</v>
      </c>
      <c r="X8" s="436"/>
      <c r="Y8" s="436" t="s">
        <v>466</v>
      </c>
      <c r="Z8" s="436">
        <v>45992</v>
      </c>
      <c r="AA8" s="436"/>
      <c r="AB8" s="436"/>
      <c r="AC8" s="436"/>
      <c r="AD8" s="436"/>
      <c r="AE8" s="325" t="s">
        <v>481</v>
      </c>
    </row>
    <row r="9" spans="1:31" ht="36">
      <c r="A9" s="325">
        <v>8</v>
      </c>
      <c r="B9" s="436" t="s">
        <v>379</v>
      </c>
      <c r="C9" s="436">
        <v>45975</v>
      </c>
      <c r="D9" s="436">
        <v>46002</v>
      </c>
      <c r="E9" s="436" t="s">
        <v>493</v>
      </c>
      <c r="F9" s="436" t="s">
        <v>275</v>
      </c>
      <c r="G9" s="409">
        <v>26420</v>
      </c>
      <c r="H9" s="436" t="s">
        <v>498</v>
      </c>
      <c r="I9" s="481" t="s">
        <v>280</v>
      </c>
      <c r="J9" s="325">
        <v>1</v>
      </c>
      <c r="K9" s="325">
        <v>1</v>
      </c>
      <c r="L9" s="325">
        <v>4</v>
      </c>
      <c r="M9" s="436">
        <v>45999</v>
      </c>
      <c r="N9" s="436">
        <v>45999</v>
      </c>
      <c r="O9" s="436" t="s">
        <v>13</v>
      </c>
      <c r="P9" s="436" t="s">
        <v>337</v>
      </c>
      <c r="Q9" s="436"/>
      <c r="R9" s="436" t="s">
        <v>287</v>
      </c>
      <c r="S9" s="436"/>
      <c r="T9" s="480" t="s">
        <v>499</v>
      </c>
      <c r="U9" s="436">
        <v>45999</v>
      </c>
      <c r="V9" s="436">
        <v>45999</v>
      </c>
      <c r="W9" s="436" t="s">
        <v>287</v>
      </c>
      <c r="X9" s="436"/>
      <c r="Y9" s="436" t="s">
        <v>466</v>
      </c>
      <c r="Z9" s="436">
        <v>45999</v>
      </c>
      <c r="AA9" s="436"/>
      <c r="AB9" s="436"/>
      <c r="AC9" s="436"/>
      <c r="AD9" s="436"/>
      <c r="AE9" s="325" t="s">
        <v>481</v>
      </c>
    </row>
    <row r="10" spans="1:31" ht="36">
      <c r="A10" s="325">
        <v>9</v>
      </c>
      <c r="B10" s="325" t="s">
        <v>379</v>
      </c>
      <c r="C10" s="436">
        <v>45975</v>
      </c>
      <c r="D10" s="436">
        <v>46002</v>
      </c>
      <c r="E10" s="325" t="s">
        <v>493</v>
      </c>
      <c r="F10" s="436" t="s">
        <v>272</v>
      </c>
      <c r="G10" s="325">
        <v>50670</v>
      </c>
      <c r="H10" s="436" t="s">
        <v>462</v>
      </c>
      <c r="I10" s="436" t="s">
        <v>274</v>
      </c>
      <c r="J10" s="325">
        <v>8</v>
      </c>
      <c r="K10" s="325">
        <v>8</v>
      </c>
      <c r="L10" s="325">
        <v>32</v>
      </c>
      <c r="M10" s="436">
        <v>45978</v>
      </c>
      <c r="N10" s="436">
        <v>45999</v>
      </c>
      <c r="O10" s="436" t="s">
        <v>13</v>
      </c>
      <c r="P10" s="436" t="s">
        <v>500</v>
      </c>
      <c r="Q10" s="436"/>
      <c r="R10" s="436" t="s">
        <v>384</v>
      </c>
      <c r="S10" s="436"/>
      <c r="T10" s="480" t="s">
        <v>501</v>
      </c>
      <c r="U10" s="436">
        <v>46000</v>
      </c>
      <c r="V10" s="436"/>
      <c r="W10" s="436" t="s">
        <v>283</v>
      </c>
      <c r="X10" s="436"/>
      <c r="Y10" s="436" t="s">
        <v>384</v>
      </c>
      <c r="Z10" s="436"/>
      <c r="AA10" s="436"/>
      <c r="AB10" s="436"/>
      <c r="AC10" s="436"/>
      <c r="AD10" s="436" t="s">
        <v>502</v>
      </c>
      <c r="AE10" s="325"/>
    </row>
    <row r="11" spans="1:31" ht="36">
      <c r="A11" s="325">
        <v>10</v>
      </c>
      <c r="B11" s="436" t="s">
        <v>379</v>
      </c>
      <c r="C11" s="436">
        <v>45975</v>
      </c>
      <c r="D11" s="436">
        <v>46002</v>
      </c>
      <c r="E11" s="436" t="s">
        <v>493</v>
      </c>
      <c r="F11" s="436" t="s">
        <v>275</v>
      </c>
      <c r="G11" s="409">
        <v>50838</v>
      </c>
      <c r="H11" s="436" t="s">
        <v>503</v>
      </c>
      <c r="I11" s="436" t="s">
        <v>274</v>
      </c>
      <c r="J11" s="325">
        <v>8</v>
      </c>
      <c r="K11" s="436"/>
      <c r="L11" s="436"/>
      <c r="M11" s="436">
        <v>45992</v>
      </c>
      <c r="N11" s="436"/>
      <c r="O11" s="436"/>
      <c r="P11" s="436"/>
      <c r="Q11" s="436"/>
      <c r="R11" s="436"/>
      <c r="S11" s="436"/>
      <c r="T11" s="436"/>
      <c r="U11" s="436"/>
      <c r="V11" s="436"/>
      <c r="W11" s="436"/>
      <c r="X11" s="436"/>
      <c r="Y11" s="436"/>
      <c r="Z11" s="436"/>
      <c r="AA11" s="436"/>
      <c r="AB11" s="436"/>
      <c r="AC11" s="436"/>
      <c r="AD11" s="436"/>
      <c r="AE11" s="436"/>
    </row>
    <row r="12" spans="1:3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c r="AE12" s="436"/>
    </row>
    <row r="13" spans="1:3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row>
    <row r="14" spans="1:3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c r="AE14" s="436"/>
    </row>
    <row r="15" spans="1:3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c r="AE15" s="436"/>
    </row>
    <row r="16" spans="1:3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row>
    <row r="17" spans="1:31">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c r="AE17" s="436"/>
    </row>
    <row r="18" spans="1:31">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row>
    <row r="19" spans="1:31">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row>
    <row r="20" spans="1:31">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row>
    <row r="21" spans="1:3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row>
    <row r="22" spans="1:31">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row>
    <row r="23" spans="1:31">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row>
    <row r="24" spans="1:31">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row>
    <row r="25" spans="1:31">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c r="AE25" s="436"/>
    </row>
    <row r="26" spans="1:31">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c r="AE26" s="436"/>
    </row>
    <row r="27" spans="1:31">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c r="AE27" s="436"/>
    </row>
    <row r="28" spans="1:31">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c r="AE28" s="436"/>
    </row>
    <row r="29" spans="1:31">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c r="AE29" s="436"/>
    </row>
    <row r="30" spans="1:31">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c r="AE30" s="436"/>
    </row>
    <row r="31" spans="1:31">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c r="AE31" s="436"/>
    </row>
    <row r="32" spans="1:31">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c r="AE32" s="436"/>
    </row>
    <row r="33" spans="1:31">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c r="AE33" s="436"/>
    </row>
    <row r="34" spans="1:31">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c r="AE34" s="436"/>
    </row>
    <row r="35" spans="1:31">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c r="AE35" s="436"/>
    </row>
    <row r="36" spans="1:31">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c r="AE36" s="436"/>
    </row>
    <row r="37" spans="1:31">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c r="AE37" s="436"/>
    </row>
    <row r="38" spans="1:31">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c r="AE38" s="436"/>
    </row>
    <row r="39" spans="1:31">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1">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1">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1">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1">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row r="44" spans="1:31">
      <c r="A44" s="436"/>
      <c r="B44" s="436"/>
      <c r="C44" s="436"/>
      <c r="D44" s="436"/>
      <c r="E44" s="436"/>
      <c r="F44" s="436"/>
      <c r="G44" s="436"/>
      <c r="H44" s="436"/>
      <c r="I44" s="436"/>
      <c r="J44" s="436"/>
      <c r="K44" s="436"/>
      <c r="L44" s="436"/>
      <c r="M44" s="436"/>
      <c r="N44" s="436"/>
      <c r="O44" s="436"/>
      <c r="P44" s="436"/>
      <c r="Q44" s="436"/>
      <c r="R44" s="436"/>
      <c r="S44" s="436"/>
      <c r="T44" s="436"/>
      <c r="U44" s="436"/>
      <c r="V44" s="436"/>
      <c r="W44" s="436"/>
      <c r="X44" s="436"/>
      <c r="Y44" s="436"/>
      <c r="Z44" s="436"/>
      <c r="AA44" s="436"/>
      <c r="AB44" s="436"/>
      <c r="AC44" s="436"/>
      <c r="AD44" s="436"/>
    </row>
    <row r="45" spans="1:31">
      <c r="A45" s="436"/>
      <c r="B45" s="436"/>
      <c r="C45" s="436"/>
      <c r="D45" s="436"/>
      <c r="E45" s="436"/>
      <c r="F45" s="436"/>
      <c r="G45" s="436"/>
      <c r="H45" s="436"/>
      <c r="I45" s="436"/>
      <c r="J45" s="436"/>
      <c r="K45" s="436"/>
      <c r="L45" s="436"/>
      <c r="M45" s="436"/>
      <c r="N45" s="436"/>
      <c r="O45" s="436"/>
      <c r="P45" s="436"/>
      <c r="Q45" s="436"/>
      <c r="R45" s="436"/>
      <c r="S45" s="436"/>
      <c r="T45" s="436"/>
      <c r="U45" s="436"/>
      <c r="V45" s="436"/>
      <c r="W45" s="436"/>
      <c r="X45" s="436"/>
      <c r="Y45" s="436"/>
      <c r="Z45" s="436"/>
      <c r="AA45" s="436"/>
      <c r="AB45" s="436"/>
      <c r="AC45" s="436"/>
      <c r="AD45" s="436"/>
    </row>
    <row r="46" spans="1:31">
      <c r="A46" s="436"/>
      <c r="B46" s="436"/>
      <c r="C46" s="436"/>
      <c r="D46" s="436"/>
      <c r="E46" s="436"/>
      <c r="F46" s="436"/>
      <c r="G46" s="436"/>
      <c r="H46" s="436"/>
      <c r="I46" s="436"/>
      <c r="J46" s="436"/>
      <c r="K46" s="436"/>
      <c r="L46" s="436"/>
      <c r="M46" s="436"/>
      <c r="N46" s="436"/>
      <c r="O46" s="436"/>
      <c r="P46" s="436"/>
      <c r="Q46" s="436"/>
      <c r="R46" s="436"/>
      <c r="S46" s="436"/>
      <c r="T46" s="436"/>
      <c r="U46" s="436"/>
      <c r="V46" s="436"/>
      <c r="W46" s="436"/>
      <c r="X46" s="436"/>
      <c r="Y46" s="436"/>
      <c r="Z46" s="436"/>
      <c r="AA46" s="436"/>
      <c r="AB46" s="436"/>
      <c r="AC46" s="436"/>
      <c r="AD46" s="436"/>
    </row>
    <row r="47" spans="1:31">
      <c r="A47" s="436"/>
      <c r="B47" s="436"/>
      <c r="C47" s="436"/>
      <c r="D47" s="436"/>
      <c r="E47" s="436"/>
      <c r="F47" s="436"/>
      <c r="G47" s="436"/>
      <c r="H47" s="436"/>
      <c r="I47" s="436"/>
      <c r="J47" s="436"/>
      <c r="K47" s="436"/>
      <c r="L47" s="436"/>
      <c r="M47" s="436"/>
      <c r="N47" s="436"/>
      <c r="O47" s="436"/>
      <c r="P47" s="436"/>
      <c r="Q47" s="436"/>
      <c r="R47" s="436"/>
      <c r="S47" s="436"/>
      <c r="T47" s="436"/>
      <c r="U47" s="436"/>
      <c r="V47" s="436"/>
      <c r="W47" s="436"/>
      <c r="X47" s="436"/>
      <c r="Y47" s="436"/>
      <c r="Z47" s="436"/>
      <c r="AA47" s="436"/>
      <c r="AB47" s="436"/>
      <c r="AC47" s="436"/>
      <c r="AD47" s="436"/>
    </row>
    <row r="48" spans="1:31">
      <c r="A48" s="436"/>
      <c r="B48" s="436"/>
      <c r="C48" s="436"/>
      <c r="D48" s="436"/>
      <c r="E48" s="436"/>
      <c r="F48" s="436"/>
      <c r="G48" s="436"/>
      <c r="H48" s="436"/>
      <c r="I48" s="436"/>
      <c r="J48" s="436"/>
      <c r="K48" s="436"/>
      <c r="L48" s="436"/>
      <c r="M48" s="436"/>
      <c r="N48" s="436"/>
      <c r="O48" s="436"/>
      <c r="P48" s="436"/>
      <c r="Q48" s="436"/>
      <c r="R48" s="436"/>
      <c r="S48" s="436"/>
      <c r="T48" s="436"/>
      <c r="U48" s="436"/>
      <c r="V48" s="436"/>
      <c r="W48" s="436"/>
      <c r="X48" s="436"/>
      <c r="Y48" s="436"/>
      <c r="Z48" s="436"/>
      <c r="AA48" s="436"/>
      <c r="AB48" s="436"/>
      <c r="AC48" s="436"/>
      <c r="AD48" s="436"/>
    </row>
    <row r="49" spans="1:30">
      <c r="A49" s="436"/>
      <c r="B49" s="436"/>
      <c r="C49" s="436"/>
      <c r="D49" s="436"/>
      <c r="E49" s="436"/>
      <c r="F49" s="436"/>
      <c r="G49" s="436"/>
      <c r="H49" s="436"/>
      <c r="I49" s="436"/>
      <c r="J49" s="436"/>
      <c r="K49" s="436"/>
      <c r="L49" s="436"/>
      <c r="M49" s="436"/>
      <c r="N49" s="436"/>
      <c r="O49" s="436"/>
      <c r="P49" s="436"/>
      <c r="Q49" s="436"/>
      <c r="R49" s="436"/>
      <c r="S49" s="436"/>
      <c r="T49" s="436"/>
      <c r="U49" s="436"/>
      <c r="V49" s="436"/>
      <c r="W49" s="436"/>
      <c r="X49" s="436"/>
      <c r="Y49" s="436"/>
      <c r="Z49" s="436"/>
      <c r="AA49" s="436"/>
      <c r="AB49" s="436"/>
      <c r="AC49" s="436"/>
      <c r="AD49" s="436"/>
    </row>
    <row r="50" spans="1:30">
      <c r="A50" s="436"/>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36"/>
      <c r="AD50" s="436"/>
    </row>
    <row r="51" spans="1:30">
      <c r="A51" s="436"/>
      <c r="B51" s="436"/>
      <c r="C51" s="436"/>
      <c r="D51" s="436"/>
      <c r="E51" s="436"/>
      <c r="F51" s="436"/>
      <c r="G51" s="436"/>
      <c r="H51" s="436"/>
      <c r="I51" s="436"/>
      <c r="J51" s="436"/>
      <c r="K51" s="436"/>
      <c r="L51" s="436"/>
      <c r="M51" s="436"/>
      <c r="N51" s="436"/>
      <c r="O51" s="436"/>
      <c r="P51" s="436"/>
      <c r="Q51" s="436"/>
      <c r="R51" s="436"/>
      <c r="S51" s="436"/>
      <c r="T51" s="436"/>
      <c r="U51" s="436"/>
      <c r="V51" s="436"/>
      <c r="W51" s="436"/>
      <c r="X51" s="436"/>
      <c r="Y51" s="436"/>
      <c r="Z51" s="436"/>
      <c r="AA51" s="436"/>
      <c r="AB51" s="436"/>
      <c r="AC51" s="436"/>
      <c r="AD51" s="436"/>
    </row>
    <row r="52" spans="1:30">
      <c r="A52" s="436"/>
      <c r="B52" s="436"/>
      <c r="C52" s="436"/>
      <c r="D52" s="436"/>
      <c r="E52" s="436"/>
      <c r="F52" s="436"/>
      <c r="G52" s="436"/>
      <c r="H52" s="436"/>
      <c r="I52" s="436"/>
      <c r="J52" s="436"/>
      <c r="K52" s="436"/>
      <c r="L52" s="436"/>
      <c r="M52" s="436"/>
      <c r="N52" s="436"/>
      <c r="O52" s="436"/>
      <c r="P52" s="436"/>
      <c r="Q52" s="436"/>
      <c r="R52" s="436"/>
      <c r="S52" s="436"/>
      <c r="T52" s="436"/>
      <c r="U52" s="436"/>
      <c r="V52" s="436"/>
      <c r="W52" s="436"/>
      <c r="X52" s="436"/>
      <c r="Y52" s="436"/>
      <c r="Z52" s="436"/>
      <c r="AA52" s="436"/>
      <c r="AB52" s="436"/>
      <c r="AC52" s="436"/>
      <c r="AD52" s="436"/>
    </row>
    <row r="53" spans="1:30">
      <c r="A53" s="436"/>
      <c r="B53" s="436"/>
      <c r="C53" s="436"/>
      <c r="D53" s="436"/>
      <c r="E53" s="436"/>
      <c r="F53" s="436"/>
      <c r="G53" s="436"/>
      <c r="H53" s="436"/>
      <c r="I53" s="436"/>
      <c r="J53" s="436"/>
      <c r="K53" s="436"/>
      <c r="L53" s="436"/>
      <c r="M53" s="436"/>
      <c r="N53" s="436"/>
      <c r="O53" s="436"/>
      <c r="P53" s="436"/>
      <c r="Q53" s="436"/>
      <c r="R53" s="436"/>
      <c r="S53" s="436"/>
      <c r="T53" s="436"/>
      <c r="U53" s="436"/>
      <c r="V53" s="436"/>
      <c r="W53" s="436"/>
      <c r="X53" s="436"/>
      <c r="Y53" s="436"/>
      <c r="Z53" s="436"/>
      <c r="AA53" s="436"/>
      <c r="AB53" s="436"/>
      <c r="AC53" s="436"/>
      <c r="AD53" s="436"/>
    </row>
    <row r="54" spans="1:30">
      <c r="A54" s="436"/>
      <c r="B54" s="436"/>
      <c r="C54" s="436"/>
      <c r="D54" s="436"/>
      <c r="E54" s="436"/>
      <c r="F54" s="436"/>
      <c r="G54" s="436"/>
      <c r="H54" s="436"/>
      <c r="I54" s="436"/>
      <c r="J54" s="436"/>
      <c r="K54" s="436"/>
      <c r="L54" s="436"/>
      <c r="M54" s="436"/>
      <c r="N54" s="436"/>
      <c r="O54" s="436"/>
      <c r="P54" s="436"/>
      <c r="Q54" s="436"/>
      <c r="R54" s="436"/>
      <c r="S54" s="436"/>
      <c r="T54" s="436"/>
      <c r="U54" s="436"/>
      <c r="V54" s="436"/>
      <c r="W54" s="436"/>
      <c r="X54" s="436"/>
      <c r="Y54" s="436"/>
      <c r="Z54" s="436"/>
      <c r="AA54" s="436"/>
      <c r="AB54" s="436"/>
      <c r="AC54" s="436"/>
      <c r="AD54" s="436"/>
    </row>
    <row r="55" spans="1:30">
      <c r="A55" s="436"/>
      <c r="B55" s="436"/>
      <c r="C55" s="436"/>
      <c r="D55" s="436"/>
      <c r="E55" s="436"/>
      <c r="F55" s="436"/>
      <c r="G55" s="436"/>
      <c r="H55" s="436"/>
      <c r="I55" s="436"/>
      <c r="J55" s="436"/>
      <c r="K55" s="436"/>
      <c r="L55" s="436"/>
      <c r="M55" s="436"/>
      <c r="N55" s="436"/>
      <c r="O55" s="436"/>
      <c r="P55" s="436"/>
      <c r="Q55" s="436"/>
      <c r="R55" s="436"/>
      <c r="S55" s="436"/>
      <c r="T55" s="436"/>
      <c r="U55" s="436"/>
      <c r="V55" s="436"/>
      <c r="W55" s="436"/>
      <c r="X55" s="436"/>
      <c r="Y55" s="436"/>
      <c r="Z55" s="436"/>
      <c r="AA55" s="436"/>
      <c r="AB55" s="436"/>
      <c r="AC55" s="436"/>
      <c r="AD55" s="436"/>
    </row>
    <row r="56" spans="1:30">
      <c r="A56" s="436"/>
      <c r="B56" s="436"/>
      <c r="C56" s="436"/>
      <c r="D56" s="436"/>
      <c r="E56" s="436"/>
      <c r="F56" s="436"/>
      <c r="G56" s="436"/>
      <c r="H56" s="436"/>
      <c r="I56" s="436"/>
      <c r="J56" s="436"/>
      <c r="K56" s="436"/>
      <c r="L56" s="436"/>
      <c r="M56" s="436"/>
      <c r="N56" s="436"/>
      <c r="O56" s="436"/>
      <c r="P56" s="436"/>
      <c r="Q56" s="436"/>
      <c r="R56" s="436"/>
      <c r="S56" s="436"/>
      <c r="T56" s="436"/>
      <c r="U56" s="436"/>
      <c r="V56" s="436"/>
      <c r="W56" s="436"/>
      <c r="X56" s="436"/>
      <c r="Y56" s="436"/>
      <c r="Z56" s="436"/>
      <c r="AA56" s="436"/>
      <c r="AB56" s="436"/>
      <c r="AC56" s="436"/>
      <c r="AD56" s="436"/>
    </row>
  </sheetData>
  <dataValidations count="1">
    <dataValidation type="list" allowBlank="1" showInputMessage="1" showErrorMessage="1" sqref="AE2:AE9" xr:uid="{219DCBBC-A9DF-4D40-A567-4AA9144BC689}">
      <formula1>"Exceeds Expectation, Meets Expectation, Needs improvements"</formula1>
    </dataValidation>
  </dataValidations>
  <hyperlinks>
    <hyperlink ref="T5" r:id="rId1" xr:uid="{709B0A65-DF24-4513-9648-AF24BC3211FC}"/>
    <hyperlink ref="T7" r:id="rId2" xr:uid="{5A2519B1-CDB1-413A-9F4A-314D1075E5C9}"/>
    <hyperlink ref="T8" r:id="rId3" xr:uid="{EB4B16ED-E18E-4019-91E4-88D91B2A0CCD}"/>
    <hyperlink ref="T2" r:id="rId4" xr:uid="{AFD182A4-9164-4F5C-AA3C-3C396CAD6A95}"/>
    <hyperlink ref="T6" r:id="rId5" xr:uid="{EF68F08B-AF09-41CB-9196-3BCD76DE9148}"/>
    <hyperlink ref="T9" r:id="rId6" xr:uid="{C1C85683-5231-43EE-875D-F5DD4D352E32}"/>
    <hyperlink ref="T4" r:id="rId7" xr:uid="{7D577923-DF54-425F-9B71-042620B078F8}"/>
    <hyperlink ref="T10" r:id="rId8" xr:uid="{BC22E05B-D7D1-4060-8E81-F1DEB2D02DF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1D196C4-2233-4F87-9542-299E67F7EACA}">
          <x14:formula1>
            <xm:f>Settings!$C$3:$C$20</xm:f>
          </x14:formula1>
          <xm:sqref>I2:I10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48C8D-02BC-4D90-81F5-B1D01D8FB866}">
  <dimension ref="A1:AE59"/>
  <sheetViews>
    <sheetView topLeftCell="A3" workbookViewId="0">
      <selection activeCell="H5" sqref="H5"/>
    </sheetView>
  </sheetViews>
  <sheetFormatPr defaultRowHeight="12.75"/>
  <cols>
    <col min="1" max="1" width="14.85546875" customWidth="1"/>
    <col min="2" max="2" width="12" customWidth="1"/>
    <col min="3" max="3" width="13.85546875" customWidth="1"/>
    <col min="4" max="4" width="14.85546875" customWidth="1"/>
    <col min="5" max="5" width="26.140625" customWidth="1"/>
    <col min="6" max="6" width="17.42578125" customWidth="1"/>
    <col min="7" max="7" width="17.5703125" customWidth="1"/>
    <col min="8" max="8" width="70.42578125" customWidth="1"/>
    <col min="9" max="9" width="23.7109375" customWidth="1"/>
    <col min="10" max="12" width="9.140625" bestFit="1" customWidth="1"/>
    <col min="13" max="13" width="11.5703125" customWidth="1"/>
    <col min="14" max="14" width="12.5703125" customWidth="1"/>
    <col min="15" max="15" width="12.140625" customWidth="1"/>
    <col min="16" max="16" width="11.85546875" customWidth="1"/>
    <col min="17" max="19" width="9.140625" bestFit="1" customWidth="1"/>
    <col min="20" max="20" width="72.42578125" customWidth="1"/>
    <col min="21" max="21" width="12.85546875" customWidth="1"/>
    <col min="22" max="22" width="15.140625" customWidth="1"/>
    <col min="23" max="25" width="9.140625" bestFit="1" customWidth="1"/>
    <col min="26" max="26" width="12.28515625" customWidth="1"/>
    <col min="27" max="28" width="9.140625" bestFit="1" customWidth="1"/>
    <col min="29" max="29" width="28.28515625" customWidth="1"/>
    <col min="30" max="30" width="42.7109375" customWidth="1"/>
    <col min="31" max="31" width="34.28515625" customWidth="1"/>
  </cols>
  <sheetData>
    <row r="1" spans="1:31" ht="55.5" customHeight="1">
      <c r="A1" s="433" t="s">
        <v>243</v>
      </c>
      <c r="B1" s="433" t="s">
        <v>4</v>
      </c>
      <c r="C1" s="433" t="s">
        <v>2</v>
      </c>
      <c r="D1" s="433" t="s">
        <v>3</v>
      </c>
      <c r="E1" s="433" t="s">
        <v>244</v>
      </c>
      <c r="F1" s="433" t="s">
        <v>245</v>
      </c>
      <c r="G1" s="433" t="s">
        <v>246</v>
      </c>
      <c r="H1" s="434"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40.5" customHeight="1">
      <c r="A2" s="325">
        <v>1</v>
      </c>
      <c r="B2" s="325" t="s">
        <v>379</v>
      </c>
      <c r="C2" s="436">
        <v>45961</v>
      </c>
      <c r="D2" s="436">
        <v>45974</v>
      </c>
      <c r="E2" s="325" t="s">
        <v>504</v>
      </c>
      <c r="F2" s="436" t="s">
        <v>272</v>
      </c>
      <c r="G2" s="325">
        <v>50670</v>
      </c>
      <c r="H2" s="436" t="s">
        <v>462</v>
      </c>
      <c r="I2" s="481" t="s">
        <v>280</v>
      </c>
      <c r="J2" s="325">
        <v>8</v>
      </c>
      <c r="K2" s="325">
        <v>8</v>
      </c>
      <c r="L2" s="325">
        <v>32</v>
      </c>
      <c r="M2" s="436">
        <v>45967</v>
      </c>
      <c r="N2" s="436">
        <v>45993</v>
      </c>
      <c r="O2" s="436" t="s">
        <v>272</v>
      </c>
      <c r="P2" s="436"/>
      <c r="Q2" s="436"/>
      <c r="R2" s="436" t="s">
        <v>409</v>
      </c>
      <c r="S2" s="436"/>
      <c r="T2" s="480" t="s">
        <v>501</v>
      </c>
      <c r="U2" s="436">
        <v>45993</v>
      </c>
      <c r="V2" s="436">
        <v>46000</v>
      </c>
      <c r="W2" s="436" t="s">
        <v>283</v>
      </c>
      <c r="X2" s="436"/>
      <c r="Y2" s="436" t="s">
        <v>283</v>
      </c>
      <c r="Z2" s="436">
        <v>46000</v>
      </c>
      <c r="AA2" s="436"/>
      <c r="AB2" s="436"/>
      <c r="AC2" s="436"/>
      <c r="AD2" s="436"/>
      <c r="AE2" s="325"/>
    </row>
    <row r="3" spans="1:31" ht="81">
      <c r="A3" s="325">
        <v>2</v>
      </c>
      <c r="B3" s="436" t="s">
        <v>379</v>
      </c>
      <c r="C3" s="436">
        <v>45961</v>
      </c>
      <c r="D3" s="436">
        <v>45974</v>
      </c>
      <c r="E3" s="436" t="s">
        <v>505</v>
      </c>
      <c r="F3" s="436" t="s">
        <v>275</v>
      </c>
      <c r="G3" s="325">
        <v>50132</v>
      </c>
      <c r="H3" s="436" t="s">
        <v>488</v>
      </c>
      <c r="I3" s="436" t="s">
        <v>506</v>
      </c>
      <c r="J3" s="325">
        <v>8</v>
      </c>
      <c r="K3" s="325">
        <v>10</v>
      </c>
      <c r="L3" s="325">
        <v>40</v>
      </c>
      <c r="M3" s="436">
        <v>45961</v>
      </c>
      <c r="N3" s="436">
        <v>45968</v>
      </c>
      <c r="O3" s="436" t="s">
        <v>13</v>
      </c>
      <c r="P3" s="436" t="s">
        <v>329</v>
      </c>
      <c r="Q3" s="436"/>
      <c r="R3" s="436" t="s">
        <v>287</v>
      </c>
      <c r="S3" s="436"/>
      <c r="T3" s="480" t="s">
        <v>489</v>
      </c>
      <c r="U3" s="436">
        <v>45965</v>
      </c>
      <c r="V3" s="436">
        <v>45974</v>
      </c>
      <c r="W3" s="436" t="s">
        <v>287</v>
      </c>
      <c r="X3" s="436"/>
      <c r="Y3" s="436" t="s">
        <v>490</v>
      </c>
      <c r="Z3" s="436">
        <v>45974</v>
      </c>
      <c r="AA3" s="436"/>
      <c r="AB3" s="436"/>
      <c r="AC3" s="436"/>
      <c r="AD3" s="436" t="s">
        <v>507</v>
      </c>
      <c r="AE3" s="429"/>
    </row>
    <row r="4" spans="1:31" ht="40.5" customHeight="1">
      <c r="A4" s="325">
        <v>3</v>
      </c>
      <c r="B4" s="436" t="s">
        <v>379</v>
      </c>
      <c r="C4" s="436">
        <v>45961</v>
      </c>
      <c r="D4" s="436">
        <v>45974</v>
      </c>
      <c r="E4" s="436" t="s">
        <v>505</v>
      </c>
      <c r="F4" s="436" t="s">
        <v>417</v>
      </c>
      <c r="G4" s="325">
        <v>50133</v>
      </c>
      <c r="H4" s="436" t="s">
        <v>508</v>
      </c>
      <c r="I4" s="481" t="s">
        <v>280</v>
      </c>
      <c r="J4" s="325">
        <v>2</v>
      </c>
      <c r="K4" s="325">
        <v>2</v>
      </c>
      <c r="L4" s="325">
        <v>6</v>
      </c>
      <c r="M4" s="436">
        <v>45961</v>
      </c>
      <c r="N4" s="436">
        <v>45961</v>
      </c>
      <c r="O4" s="436"/>
      <c r="P4" s="436" t="s">
        <v>329</v>
      </c>
      <c r="Q4" s="436"/>
      <c r="R4" s="436" t="s">
        <v>275</v>
      </c>
      <c r="S4" s="436"/>
      <c r="T4" s="480" t="s">
        <v>509</v>
      </c>
      <c r="U4" s="436">
        <v>45961</v>
      </c>
      <c r="V4" s="436">
        <v>45964</v>
      </c>
      <c r="W4" s="436" t="s">
        <v>287</v>
      </c>
      <c r="X4" s="436"/>
      <c r="Y4" s="436" t="s">
        <v>490</v>
      </c>
      <c r="Z4" s="436">
        <v>45964</v>
      </c>
      <c r="AA4" s="436"/>
      <c r="AB4" s="436"/>
      <c r="AC4" s="436"/>
      <c r="AD4" s="436"/>
      <c r="AE4" s="429" t="s">
        <v>481</v>
      </c>
    </row>
    <row r="5" spans="1:31" ht="40.5" customHeight="1">
      <c r="A5" s="325">
        <v>4</v>
      </c>
      <c r="B5" s="436" t="s">
        <v>379</v>
      </c>
      <c r="C5" s="436">
        <v>45961</v>
      </c>
      <c r="D5" s="436">
        <v>45974</v>
      </c>
      <c r="E5" s="436" t="s">
        <v>175</v>
      </c>
      <c r="F5" s="436" t="s">
        <v>287</v>
      </c>
      <c r="G5" s="325">
        <v>50146</v>
      </c>
      <c r="H5" s="436" t="s">
        <v>510</v>
      </c>
      <c r="I5" s="481" t="s">
        <v>280</v>
      </c>
      <c r="J5" s="325">
        <v>4</v>
      </c>
      <c r="K5" s="325">
        <v>4</v>
      </c>
      <c r="L5" s="325">
        <v>24</v>
      </c>
      <c r="M5" s="436">
        <v>45961</v>
      </c>
      <c r="N5" s="436">
        <v>45969</v>
      </c>
      <c r="O5" s="436"/>
      <c r="P5" s="436" t="s">
        <v>329</v>
      </c>
      <c r="Q5" s="436"/>
      <c r="R5" s="436" t="s">
        <v>275</v>
      </c>
      <c r="S5" s="436"/>
      <c r="T5" s="480" t="s">
        <v>511</v>
      </c>
      <c r="U5" s="436">
        <v>45969</v>
      </c>
      <c r="V5" s="436">
        <v>45969</v>
      </c>
      <c r="W5" s="436" t="s">
        <v>512</v>
      </c>
      <c r="X5" s="436"/>
      <c r="Y5" s="436" t="s">
        <v>466</v>
      </c>
      <c r="Z5" s="436">
        <v>45969</v>
      </c>
      <c r="AA5" s="436"/>
      <c r="AB5" s="436"/>
      <c r="AC5" s="436"/>
      <c r="AD5" s="436"/>
      <c r="AE5" s="429" t="s">
        <v>481</v>
      </c>
    </row>
    <row r="6" spans="1:31" ht="32.25" customHeight="1">
      <c r="A6" s="325">
        <v>5</v>
      </c>
      <c r="B6" s="436" t="s">
        <v>379</v>
      </c>
      <c r="C6" s="436">
        <v>45961</v>
      </c>
      <c r="D6" s="436">
        <v>45974</v>
      </c>
      <c r="E6" s="436" t="s">
        <v>175</v>
      </c>
      <c r="F6" s="436" t="s">
        <v>417</v>
      </c>
      <c r="G6" s="325">
        <v>50602</v>
      </c>
      <c r="H6" s="483" t="s">
        <v>513</v>
      </c>
      <c r="I6" s="481" t="s">
        <v>280</v>
      </c>
      <c r="J6" s="325">
        <v>3</v>
      </c>
      <c r="K6" s="325">
        <v>3</v>
      </c>
      <c r="L6" s="325">
        <v>12</v>
      </c>
      <c r="M6" s="436">
        <v>45964</v>
      </c>
      <c r="N6" s="436">
        <v>45966</v>
      </c>
      <c r="O6" s="436"/>
      <c r="P6" s="436" t="s">
        <v>272</v>
      </c>
      <c r="Q6" s="436"/>
      <c r="R6" s="436" t="s">
        <v>287</v>
      </c>
      <c r="S6" s="436"/>
      <c r="T6" s="480" t="s">
        <v>514</v>
      </c>
      <c r="U6" s="436">
        <v>45967</v>
      </c>
      <c r="V6" s="436">
        <v>45968</v>
      </c>
      <c r="W6" s="436" t="s">
        <v>287</v>
      </c>
      <c r="X6" s="436"/>
      <c r="Y6" s="436" t="s">
        <v>441</v>
      </c>
      <c r="Z6" s="436">
        <v>45968</v>
      </c>
      <c r="AA6" s="436"/>
      <c r="AB6" s="436"/>
      <c r="AC6" s="436"/>
      <c r="AD6" s="436"/>
      <c r="AE6" s="429" t="s">
        <v>481</v>
      </c>
    </row>
    <row r="7" spans="1:31" ht="45" customHeight="1">
      <c r="A7" s="325">
        <v>6</v>
      </c>
      <c r="B7" s="436" t="s">
        <v>379</v>
      </c>
      <c r="C7" s="436">
        <v>45961</v>
      </c>
      <c r="D7" s="436">
        <v>45974</v>
      </c>
      <c r="E7" s="325" t="s">
        <v>504</v>
      </c>
      <c r="F7" s="436" t="s">
        <v>417</v>
      </c>
      <c r="G7" s="325">
        <v>50465</v>
      </c>
      <c r="H7" s="436" t="s">
        <v>491</v>
      </c>
      <c r="I7" s="481" t="s">
        <v>280</v>
      </c>
      <c r="J7" s="325">
        <v>13</v>
      </c>
      <c r="K7" s="325">
        <v>13</v>
      </c>
      <c r="L7" s="325">
        <v>52</v>
      </c>
      <c r="M7" s="436">
        <v>45967</v>
      </c>
      <c r="N7" s="436">
        <v>46000</v>
      </c>
      <c r="O7" s="436" t="s">
        <v>13</v>
      </c>
      <c r="P7" s="436" t="s">
        <v>329</v>
      </c>
      <c r="Q7" s="436"/>
      <c r="R7" s="436" t="s">
        <v>287</v>
      </c>
      <c r="S7" s="436"/>
      <c r="T7" s="436"/>
      <c r="U7" s="436">
        <v>46000</v>
      </c>
      <c r="V7" s="436">
        <v>46001</v>
      </c>
      <c r="W7" s="436" t="s">
        <v>287</v>
      </c>
      <c r="X7" s="436"/>
      <c r="Y7" s="436" t="s">
        <v>441</v>
      </c>
      <c r="Z7" s="436">
        <v>46001</v>
      </c>
      <c r="AA7" s="436"/>
      <c r="AB7" s="436"/>
      <c r="AC7" s="436"/>
      <c r="AD7" s="436"/>
      <c r="AE7" s="429" t="s">
        <v>481</v>
      </c>
    </row>
    <row r="8" spans="1:31">
      <c r="A8" s="436"/>
      <c r="B8" s="436"/>
      <c r="C8" s="436"/>
      <c r="D8" s="436"/>
      <c r="E8" s="436"/>
      <c r="F8" s="436"/>
      <c r="G8" s="436"/>
      <c r="H8" s="436"/>
      <c r="I8" s="436"/>
      <c r="J8" s="436"/>
      <c r="K8" s="436"/>
      <c r="L8" s="436"/>
      <c r="M8" s="436"/>
      <c r="N8" s="436"/>
      <c r="O8" s="436"/>
      <c r="P8" s="436"/>
      <c r="Q8" s="436"/>
      <c r="R8" s="436"/>
      <c r="S8" s="436"/>
      <c r="T8" s="436"/>
      <c r="U8" s="436"/>
      <c r="V8" s="436"/>
      <c r="W8" s="436"/>
      <c r="X8" s="436"/>
      <c r="Y8" s="436"/>
      <c r="Z8" s="436"/>
      <c r="AA8" s="436"/>
      <c r="AB8" s="436"/>
      <c r="AC8" s="436"/>
      <c r="AD8" s="436"/>
    </row>
    <row r="9" spans="1:31">
      <c r="A9" s="436"/>
      <c r="B9" s="436"/>
      <c r="C9" s="436"/>
      <c r="D9" s="436"/>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row>
    <row r="10" spans="1:3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row>
    <row r="11" spans="1:3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row>
    <row r="12" spans="1:31">
      <c r="A12" s="436"/>
      <c r="B12" s="436"/>
      <c r="C12" s="436"/>
      <c r="D12" s="436"/>
      <c r="E12" s="436"/>
      <c r="F12" s="436"/>
      <c r="G12" s="436"/>
      <c r="H12" s="436"/>
      <c r="I12" s="436"/>
      <c r="J12" s="436"/>
      <c r="K12" s="436"/>
      <c r="L12" s="436"/>
      <c r="M12" s="436"/>
      <c r="N12" s="436"/>
      <c r="O12" s="436"/>
      <c r="P12" s="436"/>
      <c r="Q12" s="436"/>
      <c r="R12" s="436"/>
      <c r="S12" s="436"/>
      <c r="T12" s="436"/>
      <c r="U12" s="436"/>
      <c r="V12" s="436"/>
      <c r="W12" s="436"/>
      <c r="X12" s="436"/>
      <c r="Y12" s="436"/>
      <c r="Z12" s="436"/>
      <c r="AA12" s="436"/>
      <c r="AB12" s="436"/>
      <c r="AC12" s="436"/>
      <c r="AD12" s="436"/>
    </row>
    <row r="13" spans="1:31">
      <c r="A13" s="436"/>
      <c r="B13" s="436"/>
      <c r="C13" s="436"/>
      <c r="D13" s="436"/>
      <c r="E13" s="436"/>
      <c r="F13" s="436"/>
      <c r="G13" s="436"/>
      <c r="H13" s="436"/>
      <c r="I13" s="436"/>
      <c r="J13" s="436"/>
      <c r="K13" s="436"/>
      <c r="L13" s="325"/>
      <c r="M13" s="436"/>
      <c r="N13" s="436"/>
      <c r="O13" s="436"/>
      <c r="P13" s="436"/>
      <c r="Q13" s="436"/>
      <c r="R13" s="436"/>
      <c r="S13" s="436"/>
      <c r="T13" s="436"/>
      <c r="U13" s="436"/>
      <c r="V13" s="436"/>
      <c r="W13" s="436"/>
      <c r="X13" s="436"/>
      <c r="Y13" s="436"/>
      <c r="Z13" s="436"/>
      <c r="AA13" s="436"/>
      <c r="AB13" s="436"/>
      <c r="AC13" s="436"/>
      <c r="AD13" s="436"/>
    </row>
    <row r="14" spans="1:3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row>
    <row r="15" spans="1:3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row>
    <row r="16" spans="1:3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row>
    <row r="17" spans="1:30">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row>
    <row r="18" spans="1:30">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row>
    <row r="19" spans="1:30">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row>
    <row r="20" spans="1:30">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row>
    <row r="21" spans="1:30">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row>
    <row r="22" spans="1:30">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row>
    <row r="23" spans="1:30">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row>
    <row r="24" spans="1:30">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row>
    <row r="25" spans="1:30">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row>
    <row r="26" spans="1:30">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row>
    <row r="27" spans="1:30">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row>
    <row r="28" spans="1:30">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row>
    <row r="29" spans="1:30">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row>
    <row r="30" spans="1:30">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row>
    <row r="31" spans="1:30">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0">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0">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0">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row r="44" spans="1:30">
      <c r="A44" s="436"/>
      <c r="B44" s="436"/>
      <c r="C44" s="436"/>
      <c r="D44" s="436"/>
      <c r="E44" s="436"/>
      <c r="F44" s="436"/>
      <c r="G44" s="436"/>
      <c r="H44" s="436"/>
      <c r="I44" s="436"/>
      <c r="J44" s="436"/>
      <c r="K44" s="436"/>
      <c r="L44" s="436"/>
      <c r="M44" s="436"/>
      <c r="N44" s="436"/>
      <c r="O44" s="436"/>
      <c r="P44" s="436"/>
      <c r="Q44" s="436"/>
      <c r="R44" s="436"/>
      <c r="S44" s="436"/>
      <c r="T44" s="436"/>
      <c r="U44" s="436"/>
      <c r="V44" s="436"/>
      <c r="W44" s="436"/>
      <c r="X44" s="436"/>
      <c r="Y44" s="436"/>
      <c r="Z44" s="436"/>
      <c r="AA44" s="436"/>
      <c r="AB44" s="436"/>
      <c r="AC44" s="436"/>
      <c r="AD44" s="436"/>
    </row>
    <row r="45" spans="1:30">
      <c r="A45" s="436"/>
      <c r="B45" s="436"/>
      <c r="C45" s="436"/>
      <c r="D45" s="436"/>
      <c r="E45" s="436"/>
      <c r="F45" s="436"/>
      <c r="G45" s="436"/>
      <c r="H45" s="436"/>
      <c r="I45" s="436"/>
      <c r="J45" s="436"/>
      <c r="K45" s="436"/>
      <c r="L45" s="436"/>
      <c r="M45" s="436"/>
      <c r="N45" s="436"/>
      <c r="O45" s="436"/>
      <c r="P45" s="436"/>
      <c r="Q45" s="436"/>
      <c r="R45" s="436"/>
      <c r="S45" s="436"/>
      <c r="T45" s="436"/>
      <c r="U45" s="436"/>
      <c r="V45" s="436"/>
      <c r="W45" s="436"/>
      <c r="X45" s="436"/>
      <c r="Y45" s="436"/>
      <c r="Z45" s="436"/>
      <c r="AA45" s="436"/>
      <c r="AB45" s="436"/>
      <c r="AC45" s="436"/>
      <c r="AD45" s="436"/>
    </row>
    <row r="46" spans="1:30">
      <c r="A46" s="436"/>
      <c r="B46" s="436"/>
      <c r="C46" s="436"/>
      <c r="D46" s="436"/>
      <c r="E46" s="436"/>
      <c r="F46" s="436"/>
      <c r="G46" s="436"/>
      <c r="H46" s="436"/>
      <c r="I46" s="436"/>
      <c r="J46" s="436"/>
      <c r="K46" s="436"/>
      <c r="L46" s="436"/>
      <c r="M46" s="436"/>
      <c r="N46" s="436"/>
      <c r="O46" s="436"/>
      <c r="P46" s="436"/>
      <c r="Q46" s="436"/>
      <c r="R46" s="436"/>
      <c r="S46" s="436"/>
      <c r="T46" s="436"/>
      <c r="U46" s="436"/>
      <c r="V46" s="436"/>
      <c r="W46" s="436"/>
      <c r="X46" s="436"/>
      <c r="Y46" s="436"/>
      <c r="Z46" s="436"/>
      <c r="AA46" s="436"/>
      <c r="AB46" s="436"/>
      <c r="AC46" s="436"/>
      <c r="AD46" s="436"/>
    </row>
    <row r="47" spans="1:30">
      <c r="A47" s="436"/>
      <c r="B47" s="436"/>
      <c r="C47" s="436"/>
      <c r="D47" s="436"/>
      <c r="E47" s="436"/>
      <c r="F47" s="436"/>
      <c r="G47" s="436"/>
      <c r="H47" s="436"/>
      <c r="I47" s="436"/>
      <c r="J47" s="436"/>
      <c r="K47" s="436"/>
      <c r="L47" s="436"/>
      <c r="M47" s="436"/>
      <c r="N47" s="436"/>
      <c r="O47" s="436"/>
      <c r="P47" s="436"/>
      <c r="Q47" s="436"/>
      <c r="R47" s="436"/>
      <c r="S47" s="436"/>
      <c r="T47" s="436"/>
      <c r="U47" s="436"/>
      <c r="V47" s="436"/>
      <c r="W47" s="436"/>
      <c r="X47" s="436"/>
      <c r="Y47" s="436"/>
      <c r="Z47" s="436"/>
      <c r="AA47" s="436"/>
      <c r="AB47" s="436"/>
      <c r="AC47" s="436"/>
      <c r="AD47" s="436"/>
    </row>
    <row r="48" spans="1:30">
      <c r="A48" s="436"/>
      <c r="B48" s="436"/>
      <c r="C48" s="436"/>
      <c r="D48" s="436"/>
      <c r="E48" s="436"/>
      <c r="F48" s="436"/>
      <c r="G48" s="436"/>
      <c r="H48" s="436"/>
      <c r="I48" s="436"/>
      <c r="J48" s="436"/>
      <c r="K48" s="436"/>
      <c r="L48" s="436"/>
      <c r="M48" s="436"/>
      <c r="N48" s="436"/>
      <c r="O48" s="436"/>
      <c r="P48" s="436"/>
      <c r="Q48" s="436"/>
      <c r="R48" s="436"/>
      <c r="S48" s="436"/>
      <c r="T48" s="436"/>
      <c r="U48" s="436"/>
      <c r="V48" s="436"/>
      <c r="W48" s="436"/>
      <c r="X48" s="436"/>
      <c r="Y48" s="436"/>
      <c r="Z48" s="436"/>
      <c r="AA48" s="436"/>
      <c r="AB48" s="436"/>
      <c r="AC48" s="436"/>
      <c r="AD48" s="436"/>
    </row>
    <row r="49" spans="1:30">
      <c r="A49" s="436"/>
      <c r="B49" s="436"/>
      <c r="C49" s="436"/>
      <c r="D49" s="436"/>
      <c r="E49" s="436"/>
      <c r="F49" s="436"/>
      <c r="G49" s="436"/>
      <c r="H49" s="436"/>
      <c r="I49" s="436"/>
      <c r="J49" s="436"/>
      <c r="K49" s="436"/>
      <c r="L49" s="436"/>
      <c r="M49" s="436"/>
      <c r="N49" s="436"/>
      <c r="O49" s="436"/>
      <c r="P49" s="436"/>
      <c r="Q49" s="436"/>
      <c r="R49" s="436"/>
      <c r="S49" s="436"/>
      <c r="T49" s="436"/>
      <c r="U49" s="436"/>
      <c r="V49" s="436"/>
      <c r="W49" s="436"/>
      <c r="X49" s="436"/>
      <c r="Y49" s="436"/>
      <c r="Z49" s="436"/>
      <c r="AA49" s="436"/>
      <c r="AB49" s="436"/>
      <c r="AC49" s="436"/>
      <c r="AD49" s="436"/>
    </row>
    <row r="50" spans="1:30">
      <c r="A50" s="436"/>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36"/>
      <c r="AD50" s="436"/>
    </row>
    <row r="51" spans="1:30">
      <c r="A51" s="436"/>
      <c r="B51" s="436"/>
      <c r="C51" s="436"/>
      <c r="D51" s="436"/>
      <c r="E51" s="436"/>
      <c r="F51" s="436"/>
      <c r="G51" s="436"/>
      <c r="H51" s="436"/>
      <c r="I51" s="436"/>
      <c r="J51" s="436"/>
      <c r="K51" s="436"/>
      <c r="L51" s="436"/>
      <c r="M51" s="436"/>
      <c r="N51" s="436"/>
      <c r="O51" s="436"/>
      <c r="P51" s="436"/>
      <c r="Q51" s="436"/>
      <c r="R51" s="436"/>
      <c r="S51" s="436"/>
      <c r="T51" s="436"/>
      <c r="U51" s="436"/>
      <c r="V51" s="436"/>
      <c r="W51" s="436"/>
      <c r="X51" s="436"/>
      <c r="Y51" s="436"/>
      <c r="Z51" s="436"/>
      <c r="AA51" s="436"/>
      <c r="AB51" s="436"/>
      <c r="AC51" s="436"/>
      <c r="AD51" s="436"/>
    </row>
    <row r="52" spans="1:30">
      <c r="A52" s="436"/>
      <c r="B52" s="436"/>
      <c r="C52" s="436"/>
      <c r="D52" s="436"/>
      <c r="E52" s="436"/>
      <c r="F52" s="436"/>
      <c r="G52" s="436"/>
      <c r="H52" s="436"/>
      <c r="I52" s="436"/>
      <c r="J52" s="436"/>
      <c r="K52" s="436"/>
      <c r="L52" s="436"/>
      <c r="M52" s="436"/>
      <c r="N52" s="436"/>
      <c r="O52" s="436"/>
      <c r="P52" s="436"/>
      <c r="Q52" s="436"/>
      <c r="R52" s="436"/>
      <c r="S52" s="436"/>
      <c r="T52" s="436"/>
      <c r="U52" s="436"/>
      <c r="V52" s="436"/>
      <c r="W52" s="436"/>
      <c r="X52" s="436"/>
      <c r="Y52" s="436"/>
      <c r="Z52" s="436"/>
      <c r="AA52" s="436"/>
      <c r="AB52" s="436"/>
      <c r="AC52" s="436"/>
      <c r="AD52" s="436"/>
    </row>
    <row r="53" spans="1:30">
      <c r="A53" s="436"/>
      <c r="B53" s="436"/>
      <c r="C53" s="436"/>
      <c r="D53" s="436"/>
      <c r="E53" s="436"/>
      <c r="F53" s="436"/>
      <c r="G53" s="436"/>
      <c r="H53" s="436"/>
      <c r="I53" s="436"/>
      <c r="J53" s="436"/>
      <c r="K53" s="436"/>
      <c r="L53" s="436"/>
      <c r="M53" s="436"/>
      <c r="N53" s="436"/>
      <c r="O53" s="436"/>
      <c r="P53" s="436"/>
      <c r="Q53" s="436"/>
      <c r="R53" s="436"/>
      <c r="S53" s="436"/>
      <c r="T53" s="436"/>
      <c r="U53" s="436"/>
      <c r="V53" s="436"/>
      <c r="W53" s="436"/>
      <c r="X53" s="436"/>
      <c r="Y53" s="436"/>
      <c r="Z53" s="436"/>
      <c r="AA53" s="436"/>
      <c r="AB53" s="436"/>
      <c r="AC53" s="436"/>
      <c r="AD53" s="436"/>
    </row>
    <row r="54" spans="1:30">
      <c r="A54" s="436"/>
      <c r="B54" s="436"/>
      <c r="C54" s="436"/>
      <c r="D54" s="436"/>
      <c r="E54" s="436"/>
      <c r="F54" s="436"/>
      <c r="G54" s="436"/>
      <c r="H54" s="436"/>
      <c r="I54" s="436"/>
      <c r="J54" s="436"/>
      <c r="K54" s="436"/>
      <c r="L54" s="436"/>
      <c r="M54" s="436"/>
      <c r="N54" s="436"/>
      <c r="O54" s="436"/>
      <c r="P54" s="436"/>
      <c r="Q54" s="436"/>
      <c r="R54" s="436"/>
      <c r="S54" s="436"/>
      <c r="T54" s="436"/>
      <c r="U54" s="436"/>
      <c r="V54" s="436"/>
      <c r="W54" s="436"/>
      <c r="X54" s="436"/>
      <c r="Y54" s="436"/>
      <c r="Z54" s="436"/>
      <c r="AA54" s="436"/>
      <c r="AB54" s="436"/>
      <c r="AC54" s="436"/>
      <c r="AD54" s="436"/>
    </row>
    <row r="55" spans="1:30">
      <c r="A55" s="436"/>
      <c r="B55" s="436"/>
      <c r="C55" s="436"/>
      <c r="D55" s="436"/>
      <c r="E55" s="436"/>
      <c r="F55" s="436"/>
      <c r="G55" s="436"/>
      <c r="H55" s="436"/>
      <c r="I55" s="436"/>
      <c r="J55" s="436"/>
      <c r="K55" s="436"/>
      <c r="L55" s="436"/>
      <c r="M55" s="436"/>
      <c r="N55" s="436"/>
      <c r="O55" s="436"/>
      <c r="P55" s="436"/>
      <c r="Q55" s="436"/>
      <c r="R55" s="436"/>
      <c r="S55" s="436"/>
      <c r="T55" s="436"/>
      <c r="U55" s="436"/>
      <c r="V55" s="436"/>
      <c r="W55" s="436"/>
      <c r="X55" s="436"/>
      <c r="Y55" s="436"/>
      <c r="Z55" s="436"/>
      <c r="AA55" s="436"/>
      <c r="AB55" s="436"/>
      <c r="AC55" s="436"/>
      <c r="AD55" s="436"/>
    </row>
    <row r="56" spans="1:30">
      <c r="A56" s="436"/>
      <c r="B56" s="436"/>
      <c r="C56" s="436"/>
      <c r="D56" s="436"/>
      <c r="E56" s="436"/>
      <c r="F56" s="436"/>
      <c r="G56" s="436"/>
      <c r="H56" s="436"/>
      <c r="I56" s="436"/>
      <c r="J56" s="436"/>
      <c r="K56" s="436"/>
      <c r="L56" s="436"/>
      <c r="M56" s="436"/>
      <c r="N56" s="436"/>
      <c r="O56" s="436"/>
      <c r="P56" s="436"/>
      <c r="Q56" s="436"/>
      <c r="R56" s="436"/>
      <c r="S56" s="436"/>
      <c r="T56" s="436"/>
      <c r="U56" s="436"/>
      <c r="V56" s="436"/>
      <c r="W56" s="436"/>
      <c r="X56" s="436"/>
      <c r="Y56" s="436"/>
      <c r="Z56" s="436"/>
      <c r="AA56" s="436"/>
      <c r="AB56" s="436"/>
      <c r="AC56" s="436"/>
      <c r="AD56" s="436"/>
    </row>
    <row r="57" spans="1:30">
      <c r="A57" s="436"/>
      <c r="B57" s="436"/>
      <c r="C57" s="436"/>
      <c r="D57" s="436"/>
      <c r="E57" s="436"/>
      <c r="F57" s="436"/>
      <c r="G57" s="436"/>
      <c r="H57" s="436"/>
      <c r="I57" s="436"/>
      <c r="J57" s="436"/>
      <c r="K57" s="436"/>
      <c r="L57" s="436"/>
      <c r="M57" s="436"/>
      <c r="N57" s="436"/>
      <c r="O57" s="436"/>
      <c r="P57" s="436"/>
      <c r="Q57" s="436"/>
      <c r="R57" s="436"/>
      <c r="S57" s="436"/>
      <c r="T57" s="436"/>
      <c r="U57" s="436"/>
      <c r="V57" s="436"/>
      <c r="W57" s="436"/>
      <c r="X57" s="436"/>
      <c r="Y57" s="436"/>
      <c r="Z57" s="436"/>
      <c r="AA57" s="436"/>
      <c r="AB57" s="436"/>
      <c r="AC57" s="436"/>
      <c r="AD57" s="436"/>
    </row>
    <row r="58" spans="1:30">
      <c r="A58" s="436"/>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36"/>
      <c r="AD58" s="436"/>
    </row>
    <row r="59" spans="1:30">
      <c r="A59" s="436"/>
      <c r="B59" s="436"/>
      <c r="C59" s="436"/>
      <c r="D59" s="436"/>
      <c r="E59" s="436"/>
      <c r="F59" s="436"/>
      <c r="G59" s="436"/>
      <c r="H59" s="436"/>
      <c r="I59" s="436"/>
      <c r="J59" s="436"/>
      <c r="K59" s="436"/>
      <c r="L59" s="436"/>
      <c r="M59" s="436"/>
      <c r="N59" s="436"/>
      <c r="O59" s="436"/>
      <c r="P59" s="436"/>
      <c r="Q59" s="436"/>
      <c r="R59" s="436"/>
      <c r="S59" s="436"/>
      <c r="T59" s="436"/>
      <c r="U59" s="436"/>
      <c r="V59" s="436"/>
      <c r="W59" s="436"/>
      <c r="X59" s="436"/>
      <c r="Y59" s="436"/>
      <c r="Z59" s="436"/>
      <c r="AA59" s="436"/>
      <c r="AB59" s="436"/>
      <c r="AC59" s="436"/>
      <c r="AD59" s="436"/>
    </row>
  </sheetData>
  <dataValidations count="1">
    <dataValidation type="list" allowBlank="1" showInputMessage="1" showErrorMessage="1" sqref="AE3:AE7" xr:uid="{C4F16E22-EA65-4CFD-AE2D-150181BAB468}">
      <formula1>"Exceeds Expectation, Meets Expectation, Needs improvements"</formula1>
    </dataValidation>
  </dataValidations>
  <hyperlinks>
    <hyperlink ref="T4" r:id="rId1" xr:uid="{BB9A2ABB-81E4-4598-B700-D5EAE76F05E7}"/>
    <hyperlink ref="T6" r:id="rId2" xr:uid="{3CD8E810-69C2-42FD-BE19-EE040D46ECEE}"/>
    <hyperlink ref="T5" r:id="rId3" xr:uid="{EDD1C26C-913C-4E68-B097-534DD5F6048C}"/>
    <hyperlink ref="T3" r:id="rId4" xr:uid="{D1C15BA5-1FAC-4A23-B89B-21BC8700D50D}"/>
    <hyperlink ref="T2" r:id="rId5" xr:uid="{A0B5D5CB-DB96-4B99-9B68-3C70C375FCF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766DC38-68A1-4C58-B9EE-1FC1BDB09D80}">
          <x14:formula1>
            <xm:f>Settings!$C$3:$C$20</xm:f>
          </x14:formula1>
          <xm:sqref>I2:I7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E3BBF-F60A-4402-98AD-F21D14B6CDF3}">
  <dimension ref="A1:AE58"/>
  <sheetViews>
    <sheetView topLeftCell="B1" workbookViewId="0">
      <selection activeCell="AE2" sqref="AE2"/>
    </sheetView>
  </sheetViews>
  <sheetFormatPr defaultRowHeight="12.75"/>
  <cols>
    <col min="1" max="1" width="14.85546875" customWidth="1"/>
    <col min="2" max="2" width="12" customWidth="1"/>
    <col min="3" max="3" width="13.85546875" customWidth="1"/>
    <col min="4" max="4" width="14.85546875" customWidth="1"/>
    <col min="5" max="5" width="32.85546875" customWidth="1"/>
    <col min="6" max="6" width="16.5703125" customWidth="1"/>
    <col min="7" max="7" width="17.7109375" customWidth="1"/>
    <col min="8" max="8" width="69.140625" customWidth="1"/>
    <col min="9" max="9" width="23.7109375" customWidth="1"/>
    <col min="13" max="13" width="11.5703125" customWidth="1"/>
    <col min="14" max="14" width="12.5703125" customWidth="1"/>
    <col min="15" max="15" width="12.140625" customWidth="1"/>
    <col min="16" max="16" width="11.85546875" customWidth="1"/>
    <col min="20" max="20" width="72.42578125" customWidth="1"/>
    <col min="21" max="21" width="12.85546875" customWidth="1"/>
    <col min="22" max="22" width="15.140625" customWidth="1"/>
    <col min="26" max="26" width="12.28515625" customWidth="1"/>
    <col min="29" max="29" width="28.28515625" customWidth="1"/>
    <col min="30" max="30" width="42.7109375" customWidth="1"/>
    <col min="31" max="31" width="34.28515625" customWidth="1"/>
  </cols>
  <sheetData>
    <row r="1" spans="1:31" ht="55.5" customHeight="1">
      <c r="A1" s="433" t="s">
        <v>243</v>
      </c>
      <c r="B1" s="433" t="s">
        <v>4</v>
      </c>
      <c r="C1" s="433" t="s">
        <v>2</v>
      </c>
      <c r="D1" s="433" t="s">
        <v>3</v>
      </c>
      <c r="E1" s="433" t="s">
        <v>244</v>
      </c>
      <c r="F1" s="433" t="s">
        <v>245</v>
      </c>
      <c r="G1" s="433" t="s">
        <v>246</v>
      </c>
      <c r="H1" s="434"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45.75" customHeight="1">
      <c r="A2" s="325">
        <v>1</v>
      </c>
      <c r="B2" s="325" t="s">
        <v>379</v>
      </c>
      <c r="C2" s="436">
        <v>45947</v>
      </c>
      <c r="D2" s="436">
        <v>45960</v>
      </c>
      <c r="E2" s="325" t="s">
        <v>515</v>
      </c>
      <c r="F2" s="436" t="s">
        <v>275</v>
      </c>
      <c r="G2" s="325">
        <v>50151</v>
      </c>
      <c r="H2" s="436" t="s">
        <v>516</v>
      </c>
      <c r="I2" s="477" t="s">
        <v>280</v>
      </c>
      <c r="J2" s="325">
        <v>5</v>
      </c>
      <c r="K2" s="325">
        <v>8</v>
      </c>
      <c r="L2" s="325">
        <v>33</v>
      </c>
      <c r="M2" s="436">
        <v>45951</v>
      </c>
      <c r="N2" s="436">
        <v>45957</v>
      </c>
      <c r="O2" s="436" t="s">
        <v>13</v>
      </c>
      <c r="P2" s="436" t="s">
        <v>329</v>
      </c>
      <c r="Q2" s="436"/>
      <c r="R2" s="436"/>
      <c r="S2" s="436"/>
      <c r="T2" s="480" t="s">
        <v>517</v>
      </c>
      <c r="U2" s="436">
        <v>45957</v>
      </c>
      <c r="V2" s="436">
        <v>45957</v>
      </c>
      <c r="W2" s="436" t="s">
        <v>287</v>
      </c>
      <c r="X2" s="436"/>
      <c r="Y2" s="436" t="s">
        <v>518</v>
      </c>
      <c r="Z2" s="436">
        <v>45957</v>
      </c>
      <c r="AA2" s="436"/>
      <c r="AB2" s="436"/>
      <c r="AC2" s="436"/>
      <c r="AD2" s="436"/>
      <c r="AE2" s="325" t="s">
        <v>481</v>
      </c>
    </row>
    <row r="3" spans="1:31" ht="40.5" customHeight="1">
      <c r="A3" s="325">
        <v>2</v>
      </c>
      <c r="B3" s="436" t="s">
        <v>379</v>
      </c>
      <c r="C3" s="436">
        <v>45947</v>
      </c>
      <c r="D3" s="436">
        <v>45960</v>
      </c>
      <c r="E3" s="436" t="s">
        <v>515</v>
      </c>
      <c r="F3" s="436" t="s">
        <v>417</v>
      </c>
      <c r="G3" s="325">
        <v>50133</v>
      </c>
      <c r="H3" s="436" t="s">
        <v>508</v>
      </c>
      <c r="I3" s="436" t="s">
        <v>381</v>
      </c>
      <c r="J3" s="325">
        <v>5</v>
      </c>
      <c r="K3" s="325">
        <v>5</v>
      </c>
      <c r="L3" s="325">
        <v>30</v>
      </c>
      <c r="M3" s="436">
        <v>45952</v>
      </c>
      <c r="N3" s="436">
        <v>45959</v>
      </c>
      <c r="O3" s="436" t="s">
        <v>13</v>
      </c>
      <c r="P3" s="436" t="s">
        <v>519</v>
      </c>
      <c r="Q3" s="436"/>
      <c r="R3" s="436" t="s">
        <v>287</v>
      </c>
      <c r="S3" s="436"/>
      <c r="T3" s="480" t="s">
        <v>520</v>
      </c>
      <c r="U3" s="436">
        <v>45959</v>
      </c>
      <c r="V3" s="436">
        <v>45959</v>
      </c>
      <c r="W3" s="436" t="s">
        <v>287</v>
      </c>
      <c r="X3" s="436"/>
      <c r="Y3" s="436" t="s">
        <v>518</v>
      </c>
      <c r="Z3" s="436">
        <v>45959</v>
      </c>
      <c r="AA3" s="436"/>
      <c r="AB3" s="436"/>
      <c r="AC3" s="436"/>
      <c r="AD3" s="436" t="s">
        <v>521</v>
      </c>
      <c r="AE3" s="429"/>
    </row>
    <row r="4" spans="1:31" ht="40.5" customHeight="1">
      <c r="A4" s="325">
        <v>3</v>
      </c>
      <c r="B4" s="436" t="s">
        <v>379</v>
      </c>
      <c r="C4" s="436">
        <v>45947</v>
      </c>
      <c r="D4" s="436">
        <v>45960</v>
      </c>
      <c r="E4" s="436" t="s">
        <v>522</v>
      </c>
      <c r="F4" s="436" t="s">
        <v>287</v>
      </c>
      <c r="G4" s="325">
        <v>50146</v>
      </c>
      <c r="H4" s="436" t="s">
        <v>523</v>
      </c>
      <c r="I4" s="436" t="s">
        <v>274</v>
      </c>
      <c r="J4" s="325">
        <v>13</v>
      </c>
      <c r="K4" s="436"/>
      <c r="L4" s="436"/>
      <c r="M4" s="436">
        <v>45947</v>
      </c>
      <c r="N4" s="436"/>
      <c r="O4" s="436"/>
      <c r="P4" s="436"/>
      <c r="Q4" s="436"/>
      <c r="R4" s="436"/>
      <c r="S4" s="436"/>
      <c r="T4" s="436"/>
      <c r="U4" s="436"/>
      <c r="V4" s="436"/>
      <c r="W4" s="436"/>
      <c r="X4" s="436"/>
      <c r="Y4" s="436"/>
      <c r="Z4" s="436"/>
      <c r="AA4" s="436"/>
      <c r="AB4" s="436"/>
      <c r="AC4" s="436"/>
      <c r="AD4" s="436"/>
      <c r="AE4" s="325"/>
    </row>
    <row r="5" spans="1:31" ht="29.25" customHeight="1">
      <c r="A5" s="325">
        <v>4</v>
      </c>
      <c r="B5" s="325" t="s">
        <v>379</v>
      </c>
      <c r="C5" s="436">
        <v>45947</v>
      </c>
      <c r="D5" s="436">
        <v>45960</v>
      </c>
      <c r="E5" s="325" t="s">
        <v>522</v>
      </c>
      <c r="F5" s="436" t="s">
        <v>272</v>
      </c>
      <c r="G5" s="325">
        <v>50474</v>
      </c>
      <c r="H5" s="436" t="s">
        <v>524</v>
      </c>
      <c r="I5" s="477" t="s">
        <v>280</v>
      </c>
      <c r="J5" s="325">
        <v>13</v>
      </c>
      <c r="K5" s="325">
        <v>10</v>
      </c>
      <c r="L5" s="325">
        <v>40</v>
      </c>
      <c r="M5" s="436">
        <v>45947</v>
      </c>
      <c r="N5" s="436">
        <v>45959</v>
      </c>
      <c r="O5" s="436" t="s">
        <v>13</v>
      </c>
      <c r="P5" s="436" t="s">
        <v>448</v>
      </c>
      <c r="Q5" s="436"/>
      <c r="R5" s="436" t="s">
        <v>409</v>
      </c>
      <c r="S5" s="436"/>
      <c r="T5" s="480" t="s">
        <v>525</v>
      </c>
      <c r="U5" s="436">
        <v>45959</v>
      </c>
      <c r="V5" s="436">
        <v>45960</v>
      </c>
      <c r="W5" s="436" t="s">
        <v>409</v>
      </c>
      <c r="X5" s="436"/>
      <c r="Y5" s="436" t="s">
        <v>448</v>
      </c>
      <c r="Z5" s="436"/>
      <c r="AA5" s="436"/>
      <c r="AB5" s="436"/>
      <c r="AC5" s="436"/>
      <c r="AD5" s="436" t="s">
        <v>526</v>
      </c>
      <c r="AE5" s="325" t="s">
        <v>481</v>
      </c>
    </row>
    <row r="6" spans="1:31">
      <c r="A6" s="436"/>
      <c r="B6" s="436"/>
      <c r="C6" s="436"/>
      <c r="D6" s="436"/>
      <c r="E6" s="436"/>
      <c r="F6" s="436"/>
      <c r="G6" s="436"/>
      <c r="H6" s="436"/>
      <c r="I6" s="436"/>
      <c r="J6" s="436"/>
      <c r="K6" s="436"/>
      <c r="L6" s="436"/>
      <c r="M6" s="436"/>
      <c r="N6" s="436"/>
      <c r="O6" s="436"/>
      <c r="P6" s="436"/>
      <c r="Q6" s="436"/>
      <c r="R6" s="436"/>
      <c r="S6" s="436"/>
      <c r="T6" s="436"/>
      <c r="U6" s="436"/>
      <c r="V6" s="436"/>
      <c r="W6" s="436"/>
      <c r="X6" s="436"/>
      <c r="Y6" s="436"/>
      <c r="Z6" s="436"/>
      <c r="AA6" s="436"/>
      <c r="AB6" s="436"/>
      <c r="AC6" s="436"/>
      <c r="AD6" s="436"/>
    </row>
    <row r="7" spans="1:31">
      <c r="A7" s="436"/>
      <c r="B7" s="436"/>
      <c r="C7" s="436"/>
      <c r="D7" s="436"/>
      <c r="E7" s="436"/>
      <c r="F7" s="436"/>
      <c r="G7" s="436"/>
      <c r="H7" s="436"/>
      <c r="I7" s="436"/>
      <c r="J7" s="436"/>
      <c r="K7" s="436"/>
      <c r="L7" s="436"/>
      <c r="M7" s="436"/>
      <c r="N7" s="436"/>
      <c r="O7" s="436"/>
      <c r="P7" s="436"/>
      <c r="Q7" s="436"/>
      <c r="R7" s="436"/>
      <c r="S7" s="436"/>
      <c r="T7" s="436"/>
      <c r="U7" s="436"/>
      <c r="V7" s="436"/>
      <c r="W7" s="436"/>
      <c r="X7" s="436"/>
      <c r="Y7" s="436"/>
      <c r="Z7" s="436"/>
      <c r="AA7" s="436"/>
      <c r="AB7" s="436"/>
      <c r="AC7" s="436"/>
      <c r="AD7" s="436"/>
    </row>
    <row r="8" spans="1:31">
      <c r="A8" s="436"/>
      <c r="B8" s="436"/>
      <c r="C8" s="436"/>
      <c r="D8" s="436"/>
      <c r="E8" s="436"/>
      <c r="F8" s="436"/>
      <c r="G8" s="436"/>
      <c r="H8" s="436"/>
      <c r="I8" s="436"/>
      <c r="J8" s="436"/>
      <c r="K8" s="436"/>
      <c r="L8" s="436"/>
      <c r="M8" s="436"/>
      <c r="N8" s="436"/>
      <c r="O8" s="436"/>
      <c r="P8" s="436"/>
      <c r="Q8" s="436"/>
      <c r="R8" s="436"/>
      <c r="S8" s="436"/>
      <c r="T8" s="436"/>
      <c r="U8" s="436"/>
      <c r="V8" s="436"/>
      <c r="W8" s="436"/>
      <c r="X8" s="436"/>
      <c r="Y8" s="436"/>
      <c r="Z8" s="436"/>
      <c r="AA8" s="436"/>
      <c r="AB8" s="436"/>
      <c r="AC8" s="436"/>
      <c r="AD8" s="436"/>
    </row>
    <row r="9" spans="1:31">
      <c r="A9" s="436"/>
      <c r="B9" s="436"/>
      <c r="C9" s="436"/>
      <c r="D9" s="436"/>
      <c r="E9" s="436"/>
      <c r="F9" s="436"/>
      <c r="G9" s="436"/>
      <c r="H9" s="436"/>
      <c r="I9" s="436"/>
      <c r="J9" s="436"/>
      <c r="K9" s="436"/>
      <c r="L9" s="436"/>
      <c r="M9" s="436"/>
      <c r="N9" s="436"/>
      <c r="O9" s="436"/>
      <c r="P9" s="436"/>
      <c r="Q9" s="436"/>
      <c r="R9" s="436"/>
      <c r="S9" s="436"/>
      <c r="T9" s="436"/>
      <c r="U9" s="436"/>
      <c r="V9" s="436"/>
      <c r="X9" s="436"/>
      <c r="Y9" s="436"/>
      <c r="Z9" s="436"/>
      <c r="AA9" s="436"/>
      <c r="AB9" s="436"/>
      <c r="AC9" s="436"/>
      <c r="AD9" s="436"/>
    </row>
    <row r="10" spans="1:31">
      <c r="A10" s="436"/>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row>
    <row r="11" spans="1:31">
      <c r="A11" s="436"/>
      <c r="B11" s="436"/>
      <c r="C11" s="436"/>
      <c r="D11" s="436"/>
      <c r="E11" s="436"/>
      <c r="F11" s="436"/>
      <c r="G11" s="436"/>
      <c r="H11" s="436"/>
      <c r="I11" s="436"/>
      <c r="J11" s="436"/>
      <c r="K11" s="436"/>
      <c r="L11" s="436"/>
      <c r="M11" s="436"/>
      <c r="N11" s="436"/>
      <c r="O11" s="436"/>
      <c r="P11" s="436"/>
      <c r="Q11" s="436"/>
      <c r="R11" s="436"/>
      <c r="S11" s="436"/>
      <c r="T11" s="436"/>
      <c r="U11" s="436"/>
      <c r="V11" s="436"/>
      <c r="W11" s="436"/>
      <c r="X11" s="436"/>
      <c r="Y11" s="436"/>
      <c r="Z11" s="436"/>
      <c r="AA11" s="436"/>
      <c r="AB11" s="436"/>
      <c r="AC11" s="436"/>
      <c r="AD11" s="436"/>
    </row>
    <row r="12" spans="1:31">
      <c r="A12" s="436"/>
      <c r="B12" s="436"/>
      <c r="C12" s="436"/>
      <c r="D12" s="436"/>
      <c r="E12" s="436"/>
      <c r="F12" s="436"/>
      <c r="G12" s="436"/>
      <c r="H12" s="436"/>
      <c r="I12" s="436"/>
      <c r="J12" s="436"/>
      <c r="K12" s="436"/>
      <c r="L12" s="325"/>
      <c r="M12" s="436"/>
      <c r="N12" s="436"/>
      <c r="O12" s="436"/>
      <c r="P12" s="436"/>
      <c r="Q12" s="436"/>
      <c r="R12" s="436"/>
      <c r="S12" s="436"/>
      <c r="T12" s="436"/>
      <c r="U12" s="436"/>
      <c r="V12" s="436"/>
      <c r="W12" s="436"/>
      <c r="X12" s="436"/>
      <c r="Y12" s="436"/>
      <c r="Z12" s="436"/>
      <c r="AA12" s="436"/>
      <c r="AB12" s="436"/>
      <c r="AC12" s="436"/>
      <c r="AD12" s="436"/>
    </row>
    <row r="13" spans="1:31">
      <c r="A13" s="436"/>
      <c r="B13" s="436"/>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row>
    <row r="14" spans="1:31">
      <c r="A14" s="436"/>
      <c r="B14" s="436"/>
      <c r="C14" s="436"/>
      <c r="D14" s="436"/>
      <c r="E14" s="436"/>
      <c r="F14" s="436"/>
      <c r="G14" s="436"/>
      <c r="H14" s="436"/>
      <c r="I14" s="436"/>
      <c r="J14" s="436"/>
      <c r="K14" s="436"/>
      <c r="L14" s="436"/>
      <c r="M14" s="436"/>
      <c r="N14" s="436"/>
      <c r="O14" s="436"/>
      <c r="P14" s="436"/>
      <c r="Q14" s="436"/>
      <c r="R14" s="436"/>
      <c r="S14" s="436"/>
      <c r="T14" s="436"/>
      <c r="U14" s="436"/>
      <c r="V14" s="436"/>
      <c r="W14" s="436"/>
      <c r="X14" s="436"/>
      <c r="Y14" s="436"/>
      <c r="Z14" s="436"/>
      <c r="AA14" s="436"/>
      <c r="AB14" s="436"/>
      <c r="AC14" s="436"/>
      <c r="AD14" s="436"/>
    </row>
    <row r="15" spans="1:31">
      <c r="A15" s="436"/>
      <c r="B15" s="436"/>
      <c r="C15" s="436"/>
      <c r="D15" s="436"/>
      <c r="E15" s="436"/>
      <c r="F15" s="436"/>
      <c r="G15" s="436"/>
      <c r="H15" s="436"/>
      <c r="I15" s="436"/>
      <c r="J15" s="436"/>
      <c r="K15" s="436"/>
      <c r="L15" s="436"/>
      <c r="M15" s="436"/>
      <c r="N15" s="436"/>
      <c r="O15" s="436"/>
      <c r="P15" s="436"/>
      <c r="Q15" s="436"/>
      <c r="R15" s="436"/>
      <c r="S15" s="436"/>
      <c r="T15" s="436"/>
      <c r="U15" s="436"/>
      <c r="V15" s="436"/>
      <c r="W15" s="436"/>
      <c r="X15" s="436"/>
      <c r="Y15" s="436"/>
      <c r="Z15" s="436"/>
      <c r="AA15" s="436"/>
      <c r="AB15" s="436"/>
      <c r="AC15" s="436"/>
      <c r="AD15" s="436"/>
    </row>
    <row r="16" spans="1:31">
      <c r="A16" s="436"/>
      <c r="B16" s="436"/>
      <c r="C16" s="436"/>
      <c r="D16" s="436"/>
      <c r="E16" s="436"/>
      <c r="F16" s="436"/>
      <c r="G16" s="436"/>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row>
    <row r="17" spans="1:30">
      <c r="A17" s="436"/>
      <c r="B17" s="436"/>
      <c r="C17" s="436"/>
      <c r="D17" s="436"/>
      <c r="E17" s="436"/>
      <c r="F17" s="436"/>
      <c r="G17" s="436"/>
      <c r="H17" s="436"/>
      <c r="I17" s="436"/>
      <c r="J17" s="436"/>
      <c r="K17" s="436"/>
      <c r="L17" s="436"/>
      <c r="M17" s="436"/>
      <c r="N17" s="436"/>
      <c r="O17" s="436"/>
      <c r="P17" s="436"/>
      <c r="Q17" s="436"/>
      <c r="R17" s="436"/>
      <c r="S17" s="436"/>
      <c r="T17" s="436"/>
      <c r="U17" s="436"/>
      <c r="V17" s="436"/>
      <c r="W17" s="436"/>
      <c r="X17" s="436"/>
      <c r="Y17" s="436"/>
      <c r="Z17" s="436"/>
      <c r="AA17" s="436"/>
      <c r="AB17" s="436"/>
      <c r="AC17" s="436"/>
      <c r="AD17" s="436"/>
    </row>
    <row r="18" spans="1:30">
      <c r="A18" s="436"/>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row>
    <row r="19" spans="1:30">
      <c r="A19" s="436"/>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row>
    <row r="20" spans="1:30">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row>
    <row r="21" spans="1:30">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row>
    <row r="22" spans="1:30">
      <c r="A22" s="436"/>
      <c r="B22" s="436"/>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row>
    <row r="23" spans="1:30">
      <c r="A23" s="436"/>
      <c r="B23" s="436"/>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row>
    <row r="24" spans="1:30">
      <c r="A24" s="436"/>
      <c r="B24" s="436"/>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row>
    <row r="25" spans="1:30">
      <c r="A25" s="436"/>
      <c r="B25" s="436"/>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row>
    <row r="26" spans="1:30">
      <c r="A26" s="436"/>
      <c r="B26" s="436"/>
      <c r="C26" s="436"/>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row>
    <row r="27" spans="1:30">
      <c r="A27" s="436"/>
      <c r="B27" s="436"/>
      <c r="C27" s="436"/>
      <c r="D27" s="436"/>
      <c r="E27" s="436"/>
      <c r="F27" s="436"/>
      <c r="G27" s="436"/>
      <c r="H27" s="436"/>
      <c r="I27" s="436"/>
      <c r="J27" s="436"/>
      <c r="K27" s="436"/>
      <c r="L27" s="436"/>
      <c r="M27" s="436"/>
      <c r="N27" s="436"/>
      <c r="O27" s="436"/>
      <c r="P27" s="436"/>
      <c r="Q27" s="436"/>
      <c r="R27" s="436"/>
      <c r="S27" s="436"/>
      <c r="T27" s="436"/>
      <c r="U27" s="436"/>
      <c r="V27" s="436"/>
      <c r="W27" s="436"/>
      <c r="X27" s="436"/>
      <c r="Y27" s="436"/>
      <c r="Z27" s="436"/>
      <c r="AA27" s="436"/>
      <c r="AB27" s="436"/>
      <c r="AC27" s="436"/>
      <c r="AD27" s="436"/>
    </row>
    <row r="28" spans="1:30">
      <c r="A28" s="436"/>
      <c r="B28" s="436"/>
      <c r="C28" s="436"/>
      <c r="D28" s="436"/>
      <c r="E28" s="436"/>
      <c r="F28" s="436"/>
      <c r="G28" s="436"/>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row>
    <row r="29" spans="1:30">
      <c r="A29" s="436"/>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row>
    <row r="30" spans="1:30">
      <c r="A30" s="436"/>
      <c r="B30" s="436"/>
      <c r="C30" s="436"/>
      <c r="D30" s="436"/>
      <c r="E30" s="436"/>
      <c r="F30" s="436"/>
      <c r="G30" s="436"/>
      <c r="H30" s="436"/>
      <c r="I30" s="436"/>
      <c r="J30" s="436"/>
      <c r="K30" s="436"/>
      <c r="L30" s="436"/>
      <c r="M30" s="436"/>
      <c r="N30" s="436"/>
      <c r="O30" s="436"/>
      <c r="P30" s="436"/>
      <c r="Q30" s="436"/>
      <c r="R30" s="436"/>
      <c r="S30" s="436"/>
      <c r="T30" s="436"/>
      <c r="U30" s="436"/>
      <c r="V30" s="436"/>
      <c r="W30" s="436"/>
      <c r="X30" s="436"/>
      <c r="Y30" s="436"/>
      <c r="Z30" s="436"/>
      <c r="AA30" s="436"/>
      <c r="AB30" s="436"/>
      <c r="AC30" s="436"/>
      <c r="AD30" s="436"/>
    </row>
    <row r="31" spans="1:30">
      <c r="A31" s="436"/>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row>
    <row r="32" spans="1:30">
      <c r="A32" s="436"/>
      <c r="B32" s="436"/>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row>
    <row r="33" spans="1:30">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row>
    <row r="34" spans="1:30">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row>
    <row r="35" spans="1:30">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row>
    <row r="36" spans="1:30">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row>
    <row r="37" spans="1:30">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row>
    <row r="38" spans="1:30">
      <c r="A38" s="436"/>
      <c r="B38" s="436"/>
      <c r="C38" s="436"/>
      <c r="D38" s="436"/>
      <c r="E38" s="436"/>
      <c r="F38" s="436"/>
      <c r="G38" s="436"/>
      <c r="H38" s="436"/>
      <c r="I38" s="436"/>
      <c r="J38" s="436"/>
      <c r="K38" s="436"/>
      <c r="L38" s="436"/>
      <c r="M38" s="436"/>
      <c r="N38" s="436"/>
      <c r="O38" s="436"/>
      <c r="P38" s="436"/>
      <c r="Q38" s="436"/>
      <c r="R38" s="436"/>
      <c r="S38" s="436"/>
      <c r="T38" s="436"/>
      <c r="U38" s="436"/>
      <c r="V38" s="436"/>
      <c r="W38" s="436"/>
      <c r="X38" s="436"/>
      <c r="Y38" s="436"/>
      <c r="Z38" s="436"/>
      <c r="AA38" s="436"/>
      <c r="AB38" s="436"/>
      <c r="AC38" s="436"/>
      <c r="AD38" s="436"/>
    </row>
    <row r="39" spans="1:30">
      <c r="A39" s="436"/>
      <c r="B39" s="436"/>
      <c r="C39" s="436"/>
      <c r="D39" s="436"/>
      <c r="E39" s="436"/>
      <c r="F39" s="436"/>
      <c r="G39" s="436"/>
      <c r="H39" s="436"/>
      <c r="I39" s="436"/>
      <c r="J39" s="436"/>
      <c r="K39" s="436"/>
      <c r="L39" s="436"/>
      <c r="M39" s="436"/>
      <c r="N39" s="436"/>
      <c r="O39" s="436"/>
      <c r="P39" s="436"/>
      <c r="Q39" s="436"/>
      <c r="R39" s="436"/>
      <c r="S39" s="436"/>
      <c r="T39" s="436"/>
      <c r="U39" s="436"/>
      <c r="V39" s="436"/>
      <c r="W39" s="436"/>
      <c r="X39" s="436"/>
      <c r="Y39" s="436"/>
      <c r="Z39" s="436"/>
      <c r="AA39" s="436"/>
      <c r="AB39" s="436"/>
      <c r="AC39" s="436"/>
      <c r="AD39" s="436"/>
    </row>
    <row r="40" spans="1:30">
      <c r="A40" s="436"/>
      <c r="B40" s="436"/>
      <c r="C40" s="436"/>
      <c r="D40" s="436"/>
      <c r="E40" s="436"/>
      <c r="F40" s="436"/>
      <c r="G40" s="436"/>
      <c r="H40" s="436"/>
      <c r="I40" s="436"/>
      <c r="J40" s="436"/>
      <c r="K40" s="436"/>
      <c r="L40" s="436"/>
      <c r="M40" s="436"/>
      <c r="N40" s="436"/>
      <c r="O40" s="436"/>
      <c r="P40" s="436"/>
      <c r="Q40" s="436"/>
      <c r="R40" s="436"/>
      <c r="S40" s="436"/>
      <c r="T40" s="436"/>
      <c r="U40" s="436"/>
      <c r="V40" s="436"/>
      <c r="W40" s="436"/>
      <c r="X40" s="436"/>
      <c r="Y40" s="436"/>
      <c r="Z40" s="436"/>
      <c r="AA40" s="436"/>
      <c r="AB40" s="436"/>
      <c r="AC40" s="436"/>
      <c r="AD40" s="436"/>
    </row>
    <row r="41" spans="1:30">
      <c r="A41" s="436"/>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6"/>
      <c r="AC41" s="436"/>
      <c r="AD41" s="436"/>
    </row>
    <row r="42" spans="1:30">
      <c r="A42" s="436"/>
      <c r="B42" s="436"/>
      <c r="C42" s="436"/>
      <c r="D42" s="436"/>
      <c r="E42" s="436"/>
      <c r="F42" s="436"/>
      <c r="G42" s="436"/>
      <c r="H42" s="436"/>
      <c r="I42" s="436"/>
      <c r="J42" s="436"/>
      <c r="K42" s="436"/>
      <c r="L42" s="436"/>
      <c r="M42" s="436"/>
      <c r="N42" s="436"/>
      <c r="O42" s="436"/>
      <c r="P42" s="436"/>
      <c r="Q42" s="436"/>
      <c r="R42" s="436"/>
      <c r="S42" s="436"/>
      <c r="T42" s="436"/>
      <c r="U42" s="436"/>
      <c r="V42" s="436"/>
      <c r="W42" s="436"/>
      <c r="X42" s="436"/>
      <c r="Y42" s="436"/>
      <c r="Z42" s="436"/>
      <c r="AA42" s="436"/>
      <c r="AB42" s="436"/>
      <c r="AC42" s="436"/>
      <c r="AD42" s="436"/>
    </row>
    <row r="43" spans="1:30">
      <c r="A43" s="436"/>
      <c r="B43" s="436"/>
      <c r="C43" s="436"/>
      <c r="D43" s="436"/>
      <c r="E43" s="436"/>
      <c r="F43" s="436"/>
      <c r="G43" s="436"/>
      <c r="H43" s="436"/>
      <c r="I43" s="436"/>
      <c r="J43" s="436"/>
      <c r="K43" s="436"/>
      <c r="L43" s="436"/>
      <c r="M43" s="436"/>
      <c r="N43" s="436"/>
      <c r="O43" s="436"/>
      <c r="P43" s="436"/>
      <c r="Q43" s="436"/>
      <c r="R43" s="436"/>
      <c r="S43" s="436"/>
      <c r="T43" s="436"/>
      <c r="U43" s="436"/>
      <c r="V43" s="436"/>
      <c r="W43" s="436"/>
      <c r="X43" s="436"/>
      <c r="Y43" s="436"/>
      <c r="Z43" s="436"/>
      <c r="AA43" s="436"/>
      <c r="AB43" s="436"/>
      <c r="AC43" s="436"/>
      <c r="AD43" s="436"/>
    </row>
    <row r="44" spans="1:30">
      <c r="A44" s="436"/>
      <c r="B44" s="436"/>
      <c r="C44" s="436"/>
      <c r="D44" s="436"/>
      <c r="E44" s="436"/>
      <c r="F44" s="436"/>
      <c r="G44" s="436"/>
      <c r="H44" s="436"/>
      <c r="I44" s="436"/>
      <c r="J44" s="436"/>
      <c r="K44" s="436"/>
      <c r="L44" s="436"/>
      <c r="M44" s="436"/>
      <c r="N44" s="436"/>
      <c r="O44" s="436"/>
      <c r="P44" s="436"/>
      <c r="Q44" s="436"/>
      <c r="R44" s="436"/>
      <c r="S44" s="436"/>
      <c r="T44" s="436"/>
      <c r="U44" s="436"/>
      <c r="V44" s="436"/>
      <c r="W44" s="436"/>
      <c r="X44" s="436"/>
      <c r="Y44" s="436"/>
      <c r="Z44" s="436"/>
      <c r="AA44" s="436"/>
      <c r="AB44" s="436"/>
      <c r="AC44" s="436"/>
      <c r="AD44" s="436"/>
    </row>
    <row r="45" spans="1:30">
      <c r="A45" s="436"/>
      <c r="B45" s="436"/>
      <c r="C45" s="436"/>
      <c r="D45" s="436"/>
      <c r="E45" s="436"/>
      <c r="F45" s="436"/>
      <c r="G45" s="436"/>
      <c r="H45" s="436"/>
      <c r="I45" s="436"/>
      <c r="J45" s="436"/>
      <c r="K45" s="436"/>
      <c r="L45" s="436"/>
      <c r="M45" s="436"/>
      <c r="N45" s="436"/>
      <c r="O45" s="436"/>
      <c r="P45" s="436"/>
      <c r="Q45" s="436"/>
      <c r="R45" s="436"/>
      <c r="S45" s="436"/>
      <c r="T45" s="436"/>
      <c r="U45" s="436"/>
      <c r="V45" s="436"/>
      <c r="W45" s="436"/>
      <c r="X45" s="436"/>
      <c r="Y45" s="436"/>
      <c r="Z45" s="436"/>
      <c r="AA45" s="436"/>
      <c r="AB45" s="436"/>
      <c r="AC45" s="436"/>
      <c r="AD45" s="436"/>
    </row>
    <row r="46" spans="1:30">
      <c r="A46" s="436"/>
      <c r="B46" s="436"/>
      <c r="C46" s="436"/>
      <c r="D46" s="436"/>
      <c r="E46" s="436"/>
      <c r="F46" s="436"/>
      <c r="G46" s="436"/>
      <c r="H46" s="436"/>
      <c r="I46" s="436"/>
      <c r="J46" s="436"/>
      <c r="K46" s="436"/>
      <c r="L46" s="436"/>
      <c r="M46" s="436"/>
      <c r="N46" s="436"/>
      <c r="O46" s="436"/>
      <c r="P46" s="436"/>
      <c r="Q46" s="436"/>
      <c r="R46" s="436"/>
      <c r="S46" s="436"/>
      <c r="T46" s="436"/>
      <c r="U46" s="436"/>
      <c r="V46" s="436"/>
      <c r="W46" s="436"/>
      <c r="X46" s="436"/>
      <c r="Y46" s="436"/>
      <c r="Z46" s="436"/>
      <c r="AA46" s="436"/>
      <c r="AB46" s="436"/>
      <c r="AC46" s="436"/>
      <c r="AD46" s="436"/>
    </row>
    <row r="47" spans="1:30">
      <c r="A47" s="436"/>
      <c r="B47" s="436"/>
      <c r="C47" s="436"/>
      <c r="D47" s="436"/>
      <c r="E47" s="436"/>
      <c r="F47" s="436"/>
      <c r="G47" s="436"/>
      <c r="H47" s="436"/>
      <c r="I47" s="436"/>
      <c r="J47" s="436"/>
      <c r="K47" s="436"/>
      <c r="L47" s="436"/>
      <c r="M47" s="436"/>
      <c r="N47" s="436"/>
      <c r="O47" s="436"/>
      <c r="P47" s="436"/>
      <c r="Q47" s="436"/>
      <c r="R47" s="436"/>
      <c r="S47" s="436"/>
      <c r="T47" s="436"/>
      <c r="U47" s="436"/>
      <c r="V47" s="436"/>
      <c r="W47" s="436"/>
      <c r="X47" s="436"/>
      <c r="Y47" s="436"/>
      <c r="Z47" s="436"/>
      <c r="AA47" s="436"/>
      <c r="AB47" s="436"/>
      <c r="AC47" s="436"/>
      <c r="AD47" s="436"/>
    </row>
    <row r="48" spans="1:30">
      <c r="A48" s="436"/>
      <c r="B48" s="436"/>
      <c r="C48" s="436"/>
      <c r="D48" s="436"/>
      <c r="E48" s="436"/>
      <c r="F48" s="436"/>
      <c r="G48" s="436"/>
      <c r="H48" s="436"/>
      <c r="I48" s="436"/>
      <c r="J48" s="436"/>
      <c r="K48" s="436"/>
      <c r="L48" s="436"/>
      <c r="M48" s="436"/>
      <c r="N48" s="436"/>
      <c r="O48" s="436"/>
      <c r="P48" s="436"/>
      <c r="Q48" s="436"/>
      <c r="R48" s="436"/>
      <c r="S48" s="436"/>
      <c r="T48" s="436"/>
      <c r="U48" s="436"/>
      <c r="V48" s="436"/>
      <c r="W48" s="436"/>
      <c r="X48" s="436"/>
      <c r="Y48" s="436"/>
      <c r="Z48" s="436"/>
      <c r="AA48" s="436"/>
      <c r="AB48" s="436"/>
      <c r="AC48" s="436"/>
      <c r="AD48" s="436"/>
    </row>
    <row r="49" spans="1:30">
      <c r="A49" s="436"/>
      <c r="B49" s="436"/>
      <c r="C49" s="436"/>
      <c r="D49" s="436"/>
      <c r="E49" s="436"/>
      <c r="F49" s="436"/>
      <c r="G49" s="436"/>
      <c r="H49" s="436"/>
      <c r="I49" s="436"/>
      <c r="J49" s="436"/>
      <c r="K49" s="436"/>
      <c r="L49" s="436"/>
      <c r="M49" s="436"/>
      <c r="N49" s="436"/>
      <c r="O49" s="436"/>
      <c r="P49" s="436"/>
      <c r="Q49" s="436"/>
      <c r="R49" s="436"/>
      <c r="S49" s="436"/>
      <c r="T49" s="436"/>
      <c r="U49" s="436"/>
      <c r="V49" s="436"/>
      <c r="W49" s="436"/>
      <c r="X49" s="436"/>
      <c r="Y49" s="436"/>
      <c r="Z49" s="436"/>
      <c r="AA49" s="436"/>
      <c r="AB49" s="436"/>
      <c r="AC49" s="436"/>
      <c r="AD49" s="436"/>
    </row>
    <row r="50" spans="1:30">
      <c r="A50" s="436"/>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36"/>
      <c r="AD50" s="436"/>
    </row>
    <row r="51" spans="1:30">
      <c r="A51" s="436"/>
      <c r="B51" s="436"/>
      <c r="C51" s="436"/>
      <c r="D51" s="436"/>
      <c r="E51" s="436"/>
      <c r="F51" s="436"/>
      <c r="G51" s="436"/>
      <c r="H51" s="436"/>
      <c r="I51" s="436"/>
      <c r="J51" s="436"/>
      <c r="K51" s="436"/>
      <c r="L51" s="436"/>
      <c r="M51" s="436"/>
      <c r="N51" s="436"/>
      <c r="O51" s="436"/>
      <c r="P51" s="436"/>
      <c r="Q51" s="436"/>
      <c r="R51" s="436"/>
      <c r="S51" s="436"/>
      <c r="T51" s="436"/>
      <c r="U51" s="436"/>
      <c r="V51" s="436"/>
      <c r="W51" s="436"/>
      <c r="X51" s="436"/>
      <c r="Y51" s="436"/>
      <c r="Z51" s="436"/>
      <c r="AA51" s="436"/>
      <c r="AB51" s="436"/>
      <c r="AC51" s="436"/>
      <c r="AD51" s="436"/>
    </row>
    <row r="52" spans="1:30">
      <c r="A52" s="436"/>
      <c r="B52" s="436"/>
      <c r="C52" s="436"/>
      <c r="D52" s="436"/>
      <c r="E52" s="436"/>
      <c r="F52" s="436"/>
      <c r="G52" s="436"/>
      <c r="H52" s="436"/>
      <c r="I52" s="436"/>
      <c r="J52" s="436"/>
      <c r="K52" s="436"/>
      <c r="L52" s="436"/>
      <c r="M52" s="436"/>
      <c r="N52" s="436"/>
      <c r="O52" s="436"/>
      <c r="P52" s="436"/>
      <c r="Q52" s="436"/>
      <c r="R52" s="436"/>
      <c r="S52" s="436"/>
      <c r="T52" s="436"/>
      <c r="U52" s="436"/>
      <c r="V52" s="436"/>
      <c r="W52" s="436"/>
      <c r="X52" s="436"/>
      <c r="Y52" s="436"/>
      <c r="Z52" s="436"/>
      <c r="AA52" s="436"/>
      <c r="AB52" s="436"/>
      <c r="AC52" s="436"/>
      <c r="AD52" s="436"/>
    </row>
    <row r="53" spans="1:30">
      <c r="A53" s="436"/>
      <c r="B53" s="436"/>
      <c r="C53" s="436"/>
      <c r="D53" s="436"/>
      <c r="E53" s="436"/>
      <c r="F53" s="436"/>
      <c r="G53" s="436"/>
      <c r="H53" s="436"/>
      <c r="I53" s="436"/>
      <c r="J53" s="436"/>
      <c r="K53" s="436"/>
      <c r="L53" s="436"/>
      <c r="M53" s="436"/>
      <c r="N53" s="436"/>
      <c r="O53" s="436"/>
      <c r="P53" s="436"/>
      <c r="Q53" s="436"/>
      <c r="R53" s="436"/>
      <c r="S53" s="436"/>
      <c r="T53" s="436"/>
      <c r="U53" s="436"/>
      <c r="V53" s="436"/>
      <c r="W53" s="436"/>
      <c r="X53" s="436"/>
      <c r="Y53" s="436"/>
      <c r="Z53" s="436"/>
      <c r="AA53" s="436"/>
      <c r="AB53" s="436"/>
      <c r="AC53" s="436"/>
      <c r="AD53" s="436"/>
    </row>
    <row r="54" spans="1:30">
      <c r="A54" s="436"/>
      <c r="B54" s="436"/>
      <c r="C54" s="436"/>
      <c r="D54" s="436"/>
      <c r="E54" s="436"/>
      <c r="F54" s="436"/>
      <c r="G54" s="436"/>
      <c r="H54" s="436"/>
      <c r="I54" s="436"/>
      <c r="J54" s="436"/>
      <c r="K54" s="436"/>
      <c r="L54" s="436"/>
      <c r="M54" s="436"/>
      <c r="N54" s="436"/>
      <c r="O54" s="436"/>
      <c r="P54" s="436"/>
      <c r="Q54" s="436"/>
      <c r="R54" s="436"/>
      <c r="S54" s="436"/>
      <c r="T54" s="436"/>
      <c r="U54" s="436"/>
      <c r="V54" s="436"/>
      <c r="W54" s="436"/>
      <c r="X54" s="436"/>
      <c r="Y54" s="436"/>
      <c r="Z54" s="436"/>
      <c r="AA54" s="436"/>
      <c r="AB54" s="436"/>
      <c r="AC54" s="436"/>
      <c r="AD54" s="436"/>
    </row>
    <row r="55" spans="1:30">
      <c r="A55" s="436"/>
      <c r="B55" s="436"/>
      <c r="C55" s="436"/>
      <c r="D55" s="436"/>
      <c r="E55" s="436"/>
      <c r="F55" s="436"/>
      <c r="G55" s="436"/>
      <c r="H55" s="436"/>
      <c r="I55" s="436"/>
      <c r="J55" s="436"/>
      <c r="K55" s="436"/>
      <c r="L55" s="436"/>
      <c r="M55" s="436"/>
      <c r="N55" s="436"/>
      <c r="O55" s="436"/>
      <c r="P55" s="436"/>
      <c r="Q55" s="436"/>
      <c r="R55" s="436"/>
      <c r="S55" s="436"/>
      <c r="T55" s="436"/>
      <c r="U55" s="436"/>
      <c r="V55" s="436"/>
      <c r="W55" s="436"/>
      <c r="X55" s="436"/>
      <c r="Y55" s="436"/>
      <c r="Z55" s="436"/>
      <c r="AA55" s="436"/>
      <c r="AB55" s="436"/>
      <c r="AC55" s="436"/>
      <c r="AD55" s="436"/>
    </row>
    <row r="56" spans="1:30">
      <c r="A56" s="436"/>
      <c r="B56" s="436"/>
      <c r="C56" s="436"/>
      <c r="D56" s="436"/>
      <c r="E56" s="436"/>
      <c r="F56" s="436"/>
      <c r="G56" s="436"/>
      <c r="H56" s="436"/>
      <c r="I56" s="436"/>
      <c r="J56" s="436"/>
      <c r="K56" s="436"/>
      <c r="L56" s="436"/>
      <c r="M56" s="436"/>
      <c r="N56" s="436"/>
      <c r="O56" s="436"/>
      <c r="P56" s="436"/>
      <c r="Q56" s="436"/>
      <c r="R56" s="436"/>
      <c r="S56" s="436"/>
      <c r="T56" s="436"/>
      <c r="U56" s="436"/>
      <c r="V56" s="436"/>
      <c r="W56" s="436"/>
      <c r="X56" s="436"/>
      <c r="Y56" s="436"/>
      <c r="Z56" s="436"/>
      <c r="AA56" s="436"/>
      <c r="AB56" s="436"/>
      <c r="AC56" s="436"/>
      <c r="AD56" s="436"/>
    </row>
    <row r="57" spans="1:30">
      <c r="A57" s="436"/>
      <c r="B57" s="436"/>
      <c r="C57" s="436"/>
      <c r="D57" s="436"/>
      <c r="E57" s="436"/>
      <c r="F57" s="436"/>
      <c r="G57" s="436"/>
      <c r="H57" s="436"/>
      <c r="I57" s="436"/>
      <c r="J57" s="436"/>
      <c r="K57" s="436"/>
      <c r="L57" s="436"/>
      <c r="M57" s="436"/>
      <c r="N57" s="436"/>
      <c r="O57" s="436"/>
      <c r="P57" s="436"/>
      <c r="Q57" s="436"/>
      <c r="R57" s="436"/>
      <c r="S57" s="436"/>
      <c r="T57" s="436"/>
      <c r="U57" s="436"/>
      <c r="V57" s="436"/>
      <c r="W57" s="436"/>
      <c r="X57" s="436"/>
      <c r="Y57" s="436"/>
      <c r="Z57" s="436"/>
      <c r="AA57" s="436"/>
      <c r="AB57" s="436"/>
      <c r="AC57" s="436"/>
      <c r="AD57" s="436"/>
    </row>
    <row r="58" spans="1:30">
      <c r="A58" s="436"/>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36"/>
      <c r="AD58" s="436"/>
    </row>
  </sheetData>
  <autoFilter ref="A1:AE5" xr:uid="{94CE3BBF-F60A-4402-98AD-F21D14B6CDF3}"/>
  <dataValidations count="1">
    <dataValidation type="list" allowBlank="1" showInputMessage="1" showErrorMessage="1" sqref="AE2:AE5" xr:uid="{8570FA69-68A9-485B-8D85-48E58B816E2C}">
      <formula1>"Exceeds Expectation, Meets Expectation, Needs improvements"</formula1>
    </dataValidation>
  </dataValidations>
  <hyperlinks>
    <hyperlink ref="T2" r:id="rId1" xr:uid="{1CF1D430-2768-43DD-8B30-E672A4EA35CB}"/>
    <hyperlink ref="T3" r:id="rId2" xr:uid="{0CA37FEC-887B-4E6E-8CB7-2FE3BFDC4CD9}"/>
    <hyperlink ref="T5" r:id="rId3" xr:uid="{C3E3171B-A368-439D-BCED-CDA2D6516C7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B7AB453-E093-46FC-BC67-0A63229DF540}">
          <x14:formula1>
            <xm:f>Settings!$C$3:$C$20</xm:f>
          </x14:formula1>
          <xm:sqref>I2:I5</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9474C-9F53-4096-BDC9-698402FEB2F8}">
  <dimension ref="A1:M2"/>
  <sheetViews>
    <sheetView workbookViewId="0"/>
  </sheetViews>
  <sheetFormatPr defaultRowHeight="12.75"/>
  <cols>
    <col min="1" max="1" width="22.28515625" customWidth="1"/>
    <col min="2" max="2" width="13.85546875" customWidth="1"/>
    <col min="3" max="3" width="9.7109375" customWidth="1"/>
    <col min="4" max="4" width="10.5703125" customWidth="1"/>
    <col min="5" max="5" width="13.85546875" customWidth="1"/>
    <col min="6" max="6" width="109.85546875" customWidth="1"/>
    <col min="7" max="8" width="9.140625" bestFit="1" customWidth="1"/>
    <col min="9" max="9" width="18.7109375" customWidth="1"/>
    <col min="10" max="10" width="19.85546875" customWidth="1"/>
    <col min="11" max="11" width="20.5703125" customWidth="1"/>
    <col min="12" max="12" width="15.7109375" customWidth="1"/>
    <col min="13" max="13" width="64.28515625" customWidth="1"/>
  </cols>
  <sheetData>
    <row r="1" spans="1:13" ht="23.25">
      <c r="A1" s="167" t="s">
        <v>527</v>
      </c>
      <c r="B1" s="167" t="s">
        <v>297</v>
      </c>
      <c r="C1" s="167" t="s">
        <v>298</v>
      </c>
      <c r="D1" s="167" t="s">
        <v>245</v>
      </c>
      <c r="E1" s="167" t="s">
        <v>299</v>
      </c>
      <c r="F1" s="167" t="s">
        <v>300</v>
      </c>
      <c r="G1" s="167" t="s">
        <v>301</v>
      </c>
      <c r="H1" s="167" t="s">
        <v>302</v>
      </c>
      <c r="I1" s="167" t="s">
        <v>303</v>
      </c>
      <c r="J1" s="167" t="s">
        <v>304</v>
      </c>
      <c r="K1" s="167" t="s">
        <v>248</v>
      </c>
      <c r="L1" s="423" t="s">
        <v>305</v>
      </c>
      <c r="M1" s="424" t="s">
        <v>306</v>
      </c>
    </row>
    <row r="2" spans="1:13" ht="63" customHeight="1">
      <c r="A2" s="133"/>
      <c r="B2" s="441"/>
      <c r="C2" s="430"/>
      <c r="D2" s="83"/>
      <c r="E2" s="67"/>
      <c r="F2" s="104"/>
      <c r="G2" s="83"/>
      <c r="H2" s="83"/>
      <c r="I2" s="83"/>
      <c r="J2" s="83"/>
      <c r="K2" s="83"/>
      <c r="L2" s="83"/>
      <c r="M2" s="83"/>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D21FF-ED70-481A-8BDD-EC7FF3C69DBC}">
  <dimension ref="A1:M2"/>
  <sheetViews>
    <sheetView topLeftCell="E1" workbookViewId="0">
      <selection activeCell="I13" sqref="I13"/>
    </sheetView>
  </sheetViews>
  <sheetFormatPr defaultRowHeight="12.75"/>
  <cols>
    <col min="1" max="1" width="22.28515625" customWidth="1"/>
    <col min="2" max="2" width="13.85546875" customWidth="1"/>
    <col min="3" max="3" width="9.7109375" customWidth="1"/>
    <col min="4" max="4" width="10.5703125" customWidth="1"/>
    <col min="5" max="5" width="13.85546875" customWidth="1"/>
    <col min="6" max="6" width="109.85546875" customWidth="1"/>
    <col min="7" max="8" width="9.140625" bestFit="1" customWidth="1"/>
    <col min="9" max="9" width="18.7109375" customWidth="1"/>
    <col min="10" max="10" width="19.85546875" customWidth="1"/>
    <col min="11" max="11" width="20.5703125" customWidth="1"/>
    <col min="12" max="12" width="15.7109375" customWidth="1"/>
    <col min="13" max="13" width="64.28515625" customWidth="1"/>
  </cols>
  <sheetData>
    <row r="1" spans="1:13" ht="23.25">
      <c r="A1" s="167" t="s">
        <v>11</v>
      </c>
      <c r="B1" s="167" t="s">
        <v>297</v>
      </c>
      <c r="C1" s="167" t="s">
        <v>298</v>
      </c>
      <c r="D1" s="167" t="s">
        <v>245</v>
      </c>
      <c r="E1" s="167" t="s">
        <v>299</v>
      </c>
      <c r="F1" s="167" t="s">
        <v>300</v>
      </c>
      <c r="G1" s="167" t="s">
        <v>301</v>
      </c>
      <c r="H1" s="167" t="s">
        <v>302</v>
      </c>
      <c r="I1" s="167" t="s">
        <v>303</v>
      </c>
      <c r="J1" s="167" t="s">
        <v>304</v>
      </c>
      <c r="K1" s="167" t="s">
        <v>248</v>
      </c>
      <c r="L1" s="423" t="s">
        <v>305</v>
      </c>
      <c r="M1" s="424" t="s">
        <v>306</v>
      </c>
    </row>
    <row r="2" spans="1:13" ht="63" customHeight="1">
      <c r="A2" s="133"/>
      <c r="B2" s="441"/>
      <c r="C2" s="430"/>
      <c r="D2" s="83"/>
      <c r="E2" s="67"/>
      <c r="F2" s="104"/>
      <c r="G2" s="83"/>
      <c r="H2" s="83"/>
      <c r="I2" s="83"/>
      <c r="J2" s="83"/>
      <c r="K2" s="83"/>
      <c r="L2" s="83"/>
      <c r="M2" s="83"/>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52FD-4496-41D7-BE25-FE6EF05CE44B}">
  <dimension ref="A1:M2"/>
  <sheetViews>
    <sheetView workbookViewId="0">
      <selection activeCell="A2" sqref="A2:XFD2"/>
    </sheetView>
  </sheetViews>
  <sheetFormatPr defaultRowHeight="12.75"/>
  <cols>
    <col min="1" max="1" width="22.28515625" customWidth="1"/>
    <col min="2" max="2" width="13.85546875" customWidth="1"/>
    <col min="3" max="3" width="9.7109375" customWidth="1"/>
    <col min="4" max="4" width="10.5703125" customWidth="1"/>
    <col min="5" max="5" width="13.85546875" customWidth="1"/>
    <col min="6" max="6" width="109.85546875" customWidth="1"/>
    <col min="7" max="8" width="9.140625" bestFit="1" customWidth="1"/>
    <col min="9" max="9" width="18.7109375" customWidth="1"/>
    <col min="10" max="10" width="19.85546875" customWidth="1"/>
    <col min="11" max="11" width="20.5703125" customWidth="1"/>
    <col min="12" max="12" width="15.7109375" customWidth="1"/>
    <col min="13" max="13" width="64.28515625" customWidth="1"/>
  </cols>
  <sheetData>
    <row r="1" spans="1:13" ht="23.25">
      <c r="A1" s="167" t="s">
        <v>11</v>
      </c>
      <c r="B1" s="167" t="s">
        <v>297</v>
      </c>
      <c r="C1" s="167" t="s">
        <v>298</v>
      </c>
      <c r="D1" s="167" t="s">
        <v>245</v>
      </c>
      <c r="E1" s="167" t="s">
        <v>299</v>
      </c>
      <c r="F1" s="167" t="s">
        <v>300</v>
      </c>
      <c r="G1" s="167" t="s">
        <v>301</v>
      </c>
      <c r="H1" s="167" t="s">
        <v>302</v>
      </c>
      <c r="I1" s="167" t="s">
        <v>303</v>
      </c>
      <c r="J1" s="167" t="s">
        <v>304</v>
      </c>
      <c r="K1" s="167" t="s">
        <v>248</v>
      </c>
      <c r="L1" s="423" t="s">
        <v>305</v>
      </c>
      <c r="M1" s="424" t="s">
        <v>306</v>
      </c>
    </row>
    <row r="2" spans="1:13" ht="63" customHeight="1">
      <c r="A2" s="133" t="s">
        <v>515</v>
      </c>
      <c r="B2" s="441">
        <v>50133</v>
      </c>
      <c r="C2" s="430"/>
      <c r="D2" s="83" t="s">
        <v>417</v>
      </c>
      <c r="E2" s="67" t="s">
        <v>375</v>
      </c>
      <c r="F2" s="104" t="s">
        <v>528</v>
      </c>
      <c r="G2" s="83" t="s">
        <v>335</v>
      </c>
      <c r="H2" s="83" t="s">
        <v>336</v>
      </c>
      <c r="I2" s="83" t="s">
        <v>311</v>
      </c>
      <c r="J2" s="83" t="s">
        <v>312</v>
      </c>
      <c r="K2" s="83" t="s">
        <v>529</v>
      </c>
      <c r="L2" s="83" t="s">
        <v>313</v>
      </c>
      <c r="M2" s="83"/>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8052-8941-430E-9941-92C5C066EEF0}">
  <dimension ref="A1:AE9"/>
  <sheetViews>
    <sheetView workbookViewId="0">
      <selection activeCell="E3" sqref="E3"/>
    </sheetView>
  </sheetViews>
  <sheetFormatPr defaultRowHeight="12.75"/>
  <cols>
    <col min="1" max="1" width="10.5703125" customWidth="1"/>
    <col min="2" max="2" width="14.7109375" customWidth="1"/>
    <col min="3" max="3" width="13.85546875" customWidth="1"/>
    <col min="4" max="4" width="14.85546875" customWidth="1"/>
    <col min="5" max="5" width="29.85546875" customWidth="1"/>
    <col min="6" max="6" width="19.85546875" customWidth="1"/>
    <col min="8" max="8" width="69.140625" customWidth="1"/>
    <col min="9" max="9" width="23.7109375" customWidth="1"/>
    <col min="13" max="14" width="17" customWidth="1"/>
    <col min="15" max="15" width="16.5703125" customWidth="1"/>
    <col min="16" max="16" width="11.85546875" customWidth="1"/>
    <col min="20" max="20" width="72.42578125" customWidth="1"/>
    <col min="21" max="21" width="12.85546875" customWidth="1"/>
    <col min="22" max="22" width="15.140625" customWidth="1"/>
    <col min="26" max="26" width="12.28515625" customWidth="1"/>
    <col min="29" max="29" width="28.28515625" customWidth="1"/>
    <col min="30" max="30" width="42.7109375" customWidth="1"/>
    <col min="31" max="31" width="34.28515625" customWidth="1"/>
  </cols>
  <sheetData>
    <row r="1" spans="1:31" ht="55.5" customHeight="1">
      <c r="A1" s="433" t="s">
        <v>243</v>
      </c>
      <c r="B1" s="433" t="s">
        <v>4</v>
      </c>
      <c r="C1" s="433" t="s">
        <v>2</v>
      </c>
      <c r="D1" s="433" t="s">
        <v>3</v>
      </c>
      <c r="E1" s="433" t="s">
        <v>244</v>
      </c>
      <c r="F1" s="433" t="s">
        <v>245</v>
      </c>
      <c r="G1" s="433" t="s">
        <v>246</v>
      </c>
      <c r="H1" s="434"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33.75" customHeight="1">
      <c r="A2" s="325">
        <v>1</v>
      </c>
      <c r="B2" s="325" t="s">
        <v>379</v>
      </c>
      <c r="C2" s="436">
        <v>45933</v>
      </c>
      <c r="D2" s="436">
        <v>45946</v>
      </c>
      <c r="E2" s="325" t="s">
        <v>530</v>
      </c>
      <c r="F2" s="436" t="s">
        <v>275</v>
      </c>
      <c r="G2" s="325">
        <v>50168</v>
      </c>
      <c r="H2" s="436" t="s">
        <v>531</v>
      </c>
      <c r="I2" s="477" t="s">
        <v>280</v>
      </c>
      <c r="J2" s="325">
        <v>5</v>
      </c>
      <c r="K2" s="48">
        <v>5</v>
      </c>
      <c r="L2" s="48">
        <v>16</v>
      </c>
      <c r="M2" s="436">
        <v>45933</v>
      </c>
      <c r="N2" s="436">
        <v>45940</v>
      </c>
      <c r="O2" s="325" t="s">
        <v>275</v>
      </c>
      <c r="P2" s="325" t="s">
        <v>272</v>
      </c>
      <c r="Q2" s="325"/>
      <c r="R2" s="325" t="s">
        <v>287</v>
      </c>
      <c r="S2" s="325"/>
      <c r="T2" s="462" t="s">
        <v>532</v>
      </c>
      <c r="U2" s="436">
        <v>45940</v>
      </c>
      <c r="V2" s="436">
        <v>45943</v>
      </c>
      <c r="W2" s="325" t="s">
        <v>287</v>
      </c>
      <c r="X2" s="325"/>
      <c r="Y2" s="325" t="s">
        <v>518</v>
      </c>
      <c r="Z2" s="436">
        <v>45943</v>
      </c>
      <c r="AA2" s="325"/>
      <c r="AB2" s="325"/>
      <c r="AC2" s="325"/>
      <c r="AD2" s="325"/>
      <c r="AE2" s="325" t="s">
        <v>481</v>
      </c>
    </row>
    <row r="3" spans="1:31" ht="33.75" customHeight="1">
      <c r="A3" s="325">
        <v>2</v>
      </c>
      <c r="B3" s="325" t="s">
        <v>379</v>
      </c>
      <c r="C3" s="436">
        <v>45933</v>
      </c>
      <c r="D3" s="436">
        <v>45946</v>
      </c>
      <c r="E3" s="479" t="s">
        <v>530</v>
      </c>
      <c r="F3" s="441" t="s">
        <v>417</v>
      </c>
      <c r="G3" s="325">
        <v>50241</v>
      </c>
      <c r="H3" s="325" t="s">
        <v>533</v>
      </c>
      <c r="I3" s="478" t="s">
        <v>280</v>
      </c>
      <c r="J3" s="325">
        <v>3</v>
      </c>
      <c r="K3" s="325">
        <v>3</v>
      </c>
      <c r="L3" s="325">
        <v>12</v>
      </c>
      <c r="M3" s="436">
        <v>45943</v>
      </c>
      <c r="N3" s="436">
        <v>45944</v>
      </c>
      <c r="O3" s="325" t="s">
        <v>417</v>
      </c>
      <c r="P3" s="325" t="s">
        <v>275</v>
      </c>
      <c r="Q3" s="429"/>
      <c r="R3" s="325" t="s">
        <v>287</v>
      </c>
      <c r="S3" s="429"/>
      <c r="T3" s="443" t="s">
        <v>534</v>
      </c>
      <c r="U3" s="436">
        <v>45944</v>
      </c>
      <c r="V3" s="436">
        <v>45944</v>
      </c>
      <c r="W3" s="325" t="s">
        <v>287</v>
      </c>
      <c r="X3" s="324"/>
      <c r="Y3" s="325" t="s">
        <v>414</v>
      </c>
      <c r="Z3" s="436">
        <v>45944</v>
      </c>
      <c r="AA3" s="324"/>
      <c r="AB3" s="324"/>
      <c r="AC3" s="324"/>
      <c r="AD3" s="324"/>
      <c r="AE3" s="325" t="s">
        <v>481</v>
      </c>
    </row>
    <row r="4" spans="1:31" ht="33" customHeight="1">
      <c r="A4" s="325">
        <v>3</v>
      </c>
      <c r="B4" s="325" t="s">
        <v>379</v>
      </c>
      <c r="C4" s="436">
        <v>45933</v>
      </c>
      <c r="D4" s="436">
        <v>45946</v>
      </c>
      <c r="E4" s="325" t="s">
        <v>535</v>
      </c>
      <c r="F4" s="436" t="s">
        <v>272</v>
      </c>
      <c r="G4" s="325">
        <v>49940</v>
      </c>
      <c r="H4" s="325" t="s">
        <v>536</v>
      </c>
      <c r="I4" s="478" t="s">
        <v>280</v>
      </c>
      <c r="J4" s="325">
        <v>5</v>
      </c>
      <c r="K4" s="325">
        <v>7</v>
      </c>
      <c r="L4" s="325">
        <v>28</v>
      </c>
      <c r="M4" s="436">
        <v>45933</v>
      </c>
      <c r="N4" s="436">
        <v>45940</v>
      </c>
      <c r="O4" s="325" t="s">
        <v>272</v>
      </c>
      <c r="P4" s="325" t="s">
        <v>272</v>
      </c>
      <c r="Q4" s="325"/>
      <c r="R4" s="325" t="s">
        <v>283</v>
      </c>
      <c r="S4" s="325"/>
      <c r="T4" s="462" t="s">
        <v>525</v>
      </c>
      <c r="U4" s="436">
        <v>45940</v>
      </c>
      <c r="V4" s="436">
        <v>45945</v>
      </c>
      <c r="W4" s="325" t="s">
        <v>283</v>
      </c>
      <c r="X4" s="325"/>
      <c r="Y4" s="325" t="s">
        <v>283</v>
      </c>
      <c r="Z4" s="436">
        <v>45945</v>
      </c>
      <c r="AA4" s="325"/>
      <c r="AB4" s="325"/>
      <c r="AC4" s="325"/>
      <c r="AD4" s="436"/>
      <c r="AE4" s="325" t="s">
        <v>481</v>
      </c>
    </row>
    <row r="5" spans="1:31" ht="30" customHeight="1">
      <c r="A5" s="325">
        <v>4</v>
      </c>
      <c r="B5" s="325" t="s">
        <v>379</v>
      </c>
      <c r="C5" s="436">
        <v>45933</v>
      </c>
      <c r="D5" s="436">
        <v>45946</v>
      </c>
      <c r="E5" s="436" t="s">
        <v>535</v>
      </c>
      <c r="F5" s="436" t="s">
        <v>417</v>
      </c>
      <c r="G5" s="325">
        <v>50133</v>
      </c>
      <c r="H5" s="436" t="s">
        <v>537</v>
      </c>
      <c r="I5" s="436" t="s">
        <v>274</v>
      </c>
      <c r="J5" s="325">
        <v>8</v>
      </c>
      <c r="K5" s="325"/>
      <c r="L5" s="325"/>
      <c r="M5" s="436">
        <v>45933</v>
      </c>
      <c r="N5" s="436"/>
      <c r="O5" s="324"/>
      <c r="P5" s="324"/>
      <c r="Q5" s="324"/>
      <c r="R5" s="325"/>
      <c r="S5" s="324"/>
      <c r="T5" s="439"/>
      <c r="U5" s="436"/>
      <c r="V5" s="436"/>
      <c r="W5" s="325"/>
      <c r="X5" s="325"/>
      <c r="Y5" s="325"/>
      <c r="Z5" s="444"/>
      <c r="AA5" s="324"/>
      <c r="AB5" s="324"/>
      <c r="AC5" s="324"/>
      <c r="AD5" s="324"/>
      <c r="AE5" s="429"/>
    </row>
    <row r="6" spans="1:31" ht="33.75" customHeight="1">
      <c r="A6" s="325">
        <v>5</v>
      </c>
      <c r="B6" s="325" t="s">
        <v>379</v>
      </c>
      <c r="C6" s="436">
        <v>45933</v>
      </c>
      <c r="D6" s="436">
        <v>45946</v>
      </c>
      <c r="E6" s="436" t="s">
        <v>535</v>
      </c>
      <c r="F6" s="436" t="s">
        <v>287</v>
      </c>
      <c r="G6" s="325">
        <v>50146</v>
      </c>
      <c r="H6" s="436" t="s">
        <v>538</v>
      </c>
      <c r="I6" s="436" t="s">
        <v>274</v>
      </c>
      <c r="J6" s="325">
        <v>13</v>
      </c>
      <c r="K6" s="325"/>
      <c r="L6" s="325"/>
      <c r="M6" s="436">
        <v>45933</v>
      </c>
      <c r="N6" s="436"/>
      <c r="O6" s="324"/>
      <c r="P6" s="324"/>
      <c r="Q6" s="324"/>
      <c r="R6" s="324"/>
      <c r="S6" s="324"/>
      <c r="T6" s="439"/>
      <c r="U6" s="436"/>
      <c r="V6" s="436"/>
      <c r="W6" s="325"/>
      <c r="X6" s="325"/>
      <c r="Y6" s="325"/>
      <c r="Z6" s="436"/>
      <c r="AA6" s="324"/>
      <c r="AB6" s="324"/>
      <c r="AC6" s="324"/>
      <c r="AD6" s="324"/>
      <c r="AE6" s="325"/>
    </row>
    <row r="7" spans="1:31" ht="39" customHeight="1"/>
    <row r="9" spans="1:31">
      <c r="F9" s="440"/>
      <c r="H9" s="440"/>
    </row>
  </sheetData>
  <dataValidations count="1">
    <dataValidation type="list" allowBlank="1" showInputMessage="1" showErrorMessage="1" sqref="AE2:AE6" xr:uid="{A5E66FFA-14ED-4A37-874A-E152EA850A4C}">
      <formula1>"Exceeds Expectation, Meets Expectation, Needs improvements"</formula1>
    </dataValidation>
  </dataValidations>
  <hyperlinks>
    <hyperlink ref="T4" r:id="rId1" xr:uid="{065DCF99-FD0E-46D2-A7C3-422B264395C2}"/>
    <hyperlink ref="T2" r:id="rId2" xr:uid="{3DE98ECA-3548-4888-A49A-5FBA3474E46E}"/>
    <hyperlink ref="T3" r:id="rId3" xr:uid="{3D65394B-636A-421C-9BEE-5083A81F65B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258AD9D-18F1-4995-A98A-5CF22ECDF282}">
          <x14:formula1>
            <xm:f>Settings!$C$3:$C$20</xm:f>
          </x14:formula1>
          <xm:sqref>I2:I6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7051E-0E54-4836-BEC1-F27C9052B60A}">
  <dimension ref="A1:AE12"/>
  <sheetViews>
    <sheetView topLeftCell="A2" workbookViewId="0">
      <selection activeCell="A2" sqref="A2"/>
    </sheetView>
  </sheetViews>
  <sheetFormatPr defaultRowHeight="12.75"/>
  <cols>
    <col min="1" max="1" width="14.85546875" customWidth="1"/>
    <col min="2" max="2" width="12" customWidth="1"/>
    <col min="3" max="3" width="13.85546875" customWidth="1"/>
    <col min="4" max="4" width="14.85546875" customWidth="1"/>
    <col min="5" max="5" width="29.85546875" customWidth="1"/>
    <col min="6" max="6" width="19.85546875" customWidth="1"/>
    <col min="8" max="8" width="69.140625" customWidth="1"/>
    <col min="9" max="9" width="23.7109375" customWidth="1"/>
    <col min="13" max="13" width="11.5703125" customWidth="1"/>
    <col min="14" max="14" width="12.5703125" customWidth="1"/>
    <col min="15" max="15" width="12.140625" customWidth="1"/>
    <col min="16" max="16" width="11.85546875" customWidth="1"/>
    <col min="20" max="20" width="72.42578125" customWidth="1"/>
    <col min="21" max="21" width="12.85546875" customWidth="1"/>
    <col min="22" max="22" width="15.140625" customWidth="1"/>
    <col min="26" max="26" width="12.28515625" customWidth="1"/>
    <col min="29" max="29" width="28.28515625" customWidth="1"/>
    <col min="30" max="30" width="42.7109375" customWidth="1"/>
    <col min="31" max="31" width="34.28515625" customWidth="1"/>
  </cols>
  <sheetData>
    <row r="1" spans="1:31" ht="55.5" customHeight="1">
      <c r="A1" s="433" t="s">
        <v>243</v>
      </c>
      <c r="B1" s="433" t="s">
        <v>4</v>
      </c>
      <c r="C1" s="433" t="s">
        <v>2</v>
      </c>
      <c r="D1" s="433" t="s">
        <v>3</v>
      </c>
      <c r="E1" s="433" t="s">
        <v>244</v>
      </c>
      <c r="F1" s="433" t="s">
        <v>245</v>
      </c>
      <c r="G1" s="433" t="s">
        <v>246</v>
      </c>
      <c r="H1" s="434"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27.75" customHeight="1">
      <c r="A2" s="325">
        <v>1</v>
      </c>
      <c r="B2" s="325" t="s">
        <v>379</v>
      </c>
      <c r="C2" s="436">
        <v>45919</v>
      </c>
      <c r="D2" s="436">
        <v>45932</v>
      </c>
      <c r="E2" s="442" t="s">
        <v>539</v>
      </c>
      <c r="F2" s="325" t="s">
        <v>272</v>
      </c>
      <c r="G2" s="325">
        <v>50206</v>
      </c>
      <c r="H2" t="s">
        <v>540</v>
      </c>
      <c r="I2" s="442" t="s">
        <v>280</v>
      </c>
      <c r="J2" s="325">
        <v>8</v>
      </c>
      <c r="K2" s="325">
        <v>8</v>
      </c>
      <c r="L2" s="325">
        <v>40</v>
      </c>
      <c r="M2" s="436" t="s">
        <v>541</v>
      </c>
      <c r="N2" s="436" t="s">
        <v>541</v>
      </c>
      <c r="O2" s="436" t="s">
        <v>541</v>
      </c>
      <c r="P2" s="436" t="s">
        <v>541</v>
      </c>
      <c r="Q2" s="436" t="s">
        <v>541</v>
      </c>
      <c r="R2" s="436" t="s">
        <v>541</v>
      </c>
      <c r="S2" s="436" t="s">
        <v>541</v>
      </c>
      <c r="T2" s="436" t="s">
        <v>541</v>
      </c>
      <c r="U2" s="436" t="s">
        <v>541</v>
      </c>
      <c r="V2" s="436" t="s">
        <v>541</v>
      </c>
      <c r="W2" s="436" t="s">
        <v>541</v>
      </c>
      <c r="X2" s="325"/>
      <c r="Y2" s="436" t="s">
        <v>541</v>
      </c>
      <c r="Z2" s="436" t="s">
        <v>541</v>
      </c>
      <c r="AA2" s="325"/>
      <c r="AB2" s="325"/>
      <c r="AC2" s="325"/>
      <c r="AD2" s="325"/>
      <c r="AE2" s="325" t="s">
        <v>481</v>
      </c>
    </row>
    <row r="3" spans="1:31" ht="45.75" customHeight="1">
      <c r="A3" s="325">
        <v>2</v>
      </c>
      <c r="B3" s="325" t="s">
        <v>379</v>
      </c>
      <c r="C3" s="436">
        <v>45919</v>
      </c>
      <c r="D3" s="436">
        <v>42279</v>
      </c>
      <c r="E3" s="442" t="s">
        <v>539</v>
      </c>
      <c r="F3" s="325" t="s">
        <v>417</v>
      </c>
      <c r="G3" s="325">
        <v>25250</v>
      </c>
      <c r="H3" s="325" t="s">
        <v>542</v>
      </c>
      <c r="I3" s="442" t="s">
        <v>280</v>
      </c>
      <c r="J3" s="325">
        <v>2</v>
      </c>
      <c r="K3" s="325">
        <v>4</v>
      </c>
      <c r="L3" s="325">
        <v>18</v>
      </c>
      <c r="M3" s="436">
        <v>45923</v>
      </c>
      <c r="N3" s="436">
        <v>45924</v>
      </c>
      <c r="O3" s="325" t="s">
        <v>287</v>
      </c>
      <c r="P3" s="325" t="s">
        <v>272</v>
      </c>
      <c r="Q3" s="325"/>
      <c r="R3" s="325" t="s">
        <v>275</v>
      </c>
      <c r="S3" s="325"/>
      <c r="T3" s="462" t="s">
        <v>543</v>
      </c>
      <c r="U3" s="436">
        <v>45924</v>
      </c>
      <c r="V3" s="436">
        <v>45924</v>
      </c>
      <c r="W3" s="325" t="s">
        <v>441</v>
      </c>
      <c r="X3" s="325"/>
      <c r="Y3" s="325" t="s">
        <v>441</v>
      </c>
      <c r="Z3" s="436">
        <v>45924</v>
      </c>
      <c r="AA3" s="325"/>
      <c r="AB3" s="325"/>
      <c r="AC3" s="325"/>
      <c r="AD3" s="325"/>
      <c r="AE3" s="325" t="s">
        <v>481</v>
      </c>
    </row>
    <row r="4" spans="1:31" ht="40.5" customHeight="1">
      <c r="A4" s="325">
        <v>3</v>
      </c>
      <c r="B4" s="325" t="s">
        <v>379</v>
      </c>
      <c r="C4" s="436">
        <v>45919</v>
      </c>
      <c r="D4" s="436">
        <v>45932</v>
      </c>
      <c r="E4" s="442" t="s">
        <v>539</v>
      </c>
      <c r="F4" s="325" t="s">
        <v>417</v>
      </c>
      <c r="G4" s="325">
        <v>50180</v>
      </c>
      <c r="H4" s="325" t="s">
        <v>544</v>
      </c>
      <c r="I4" s="442" t="s">
        <v>280</v>
      </c>
      <c r="J4" s="325">
        <v>3</v>
      </c>
      <c r="K4" s="325">
        <v>4</v>
      </c>
      <c r="L4" s="325">
        <v>15</v>
      </c>
      <c r="M4" s="436">
        <v>45923</v>
      </c>
      <c r="N4" s="436">
        <v>45924</v>
      </c>
      <c r="O4" s="324" t="s">
        <v>275</v>
      </c>
      <c r="P4" s="324" t="s">
        <v>545</v>
      </c>
      <c r="Q4" s="324"/>
      <c r="R4" s="325" t="s">
        <v>275</v>
      </c>
      <c r="S4" s="324"/>
      <c r="T4" s="439" t="s">
        <v>546</v>
      </c>
      <c r="U4" s="436">
        <v>45924</v>
      </c>
      <c r="V4" s="436">
        <v>45924</v>
      </c>
      <c r="W4" s="325" t="s">
        <v>287</v>
      </c>
      <c r="X4" s="325"/>
      <c r="Y4" s="325" t="s">
        <v>466</v>
      </c>
      <c r="Z4" s="444">
        <v>45924</v>
      </c>
      <c r="AA4" s="324"/>
      <c r="AB4" s="324"/>
      <c r="AC4" s="324"/>
      <c r="AD4" s="324"/>
      <c r="AE4" s="325" t="s">
        <v>481</v>
      </c>
    </row>
    <row r="5" spans="1:31" ht="40.5" customHeight="1">
      <c r="A5" s="325">
        <v>4</v>
      </c>
      <c r="B5" s="325" t="s">
        <v>379</v>
      </c>
      <c r="C5" s="436">
        <v>45919</v>
      </c>
      <c r="D5" s="436">
        <v>45932</v>
      </c>
      <c r="E5" s="442" t="s">
        <v>539</v>
      </c>
      <c r="F5" s="325" t="s">
        <v>287</v>
      </c>
      <c r="G5" s="325">
        <v>25967</v>
      </c>
      <c r="H5" s="325" t="s">
        <v>547</v>
      </c>
      <c r="I5" s="442" t="s">
        <v>280</v>
      </c>
      <c r="J5" s="325">
        <v>8</v>
      </c>
      <c r="K5" s="325">
        <v>8</v>
      </c>
      <c r="L5" s="325">
        <v>40</v>
      </c>
      <c r="M5" s="436">
        <v>45919</v>
      </c>
      <c r="N5" s="436">
        <v>45923</v>
      </c>
      <c r="O5" s="324" t="s">
        <v>275</v>
      </c>
      <c r="P5" s="324" t="s">
        <v>272</v>
      </c>
      <c r="Q5" s="324"/>
      <c r="R5" s="324" t="s">
        <v>275</v>
      </c>
      <c r="S5" s="324"/>
      <c r="T5" s="439" t="s">
        <v>543</v>
      </c>
      <c r="U5" s="436">
        <v>45923</v>
      </c>
      <c r="V5" s="436">
        <v>45924</v>
      </c>
      <c r="W5" s="325" t="s">
        <v>441</v>
      </c>
      <c r="X5" s="325"/>
      <c r="Y5" s="325" t="s">
        <v>441</v>
      </c>
      <c r="Z5" s="436">
        <v>45924</v>
      </c>
      <c r="AA5" s="324"/>
      <c r="AB5" s="324"/>
      <c r="AC5" s="324"/>
      <c r="AD5" s="324"/>
      <c r="AE5" s="325" t="s">
        <v>481</v>
      </c>
    </row>
    <row r="6" spans="1:31" ht="36" customHeight="1">
      <c r="A6" s="325">
        <v>5</v>
      </c>
      <c r="B6" s="325" t="s">
        <v>379</v>
      </c>
      <c r="C6" s="436">
        <v>45919</v>
      </c>
      <c r="D6" s="436">
        <v>45932</v>
      </c>
      <c r="E6" s="442" t="s">
        <v>539</v>
      </c>
      <c r="F6" s="325" t="s">
        <v>417</v>
      </c>
      <c r="G6" s="325">
        <v>50203</v>
      </c>
      <c r="H6" s="325" t="s">
        <v>548</v>
      </c>
      <c r="I6" s="442" t="s">
        <v>280</v>
      </c>
      <c r="J6" s="325">
        <v>5</v>
      </c>
      <c r="K6" s="325">
        <v>8</v>
      </c>
      <c r="L6" s="325">
        <v>31</v>
      </c>
      <c r="M6" s="436">
        <v>45924</v>
      </c>
      <c r="N6" s="436">
        <v>45926</v>
      </c>
      <c r="O6" s="325" t="s">
        <v>275</v>
      </c>
      <c r="P6" s="429" t="s">
        <v>272</v>
      </c>
      <c r="Q6" s="429"/>
      <c r="R6" s="429" t="s">
        <v>275</v>
      </c>
      <c r="S6" s="429"/>
      <c r="T6" s="439" t="s">
        <v>549</v>
      </c>
      <c r="U6" s="461">
        <v>45926</v>
      </c>
      <c r="V6" s="436">
        <v>45926</v>
      </c>
      <c r="W6" s="325" t="s">
        <v>287</v>
      </c>
      <c r="X6" s="325"/>
      <c r="Y6" s="325" t="s">
        <v>466</v>
      </c>
      <c r="Z6" s="444">
        <v>45926</v>
      </c>
      <c r="AA6" s="429"/>
      <c r="AB6" s="429"/>
      <c r="AC6" s="429"/>
      <c r="AD6" s="429"/>
      <c r="AE6" s="429"/>
    </row>
    <row r="7" spans="1:31" ht="49.5" customHeight="1">
      <c r="A7" s="325">
        <v>6</v>
      </c>
      <c r="B7" s="325" t="s">
        <v>379</v>
      </c>
      <c r="C7" s="436">
        <v>45919</v>
      </c>
      <c r="D7" s="436">
        <v>45932</v>
      </c>
      <c r="E7" s="325" t="s">
        <v>550</v>
      </c>
      <c r="F7" s="325" t="s">
        <v>272</v>
      </c>
      <c r="G7" s="325">
        <v>49940</v>
      </c>
      <c r="H7" s="325" t="s">
        <v>536</v>
      </c>
      <c r="I7" s="325" t="s">
        <v>274</v>
      </c>
      <c r="J7" s="325">
        <v>8</v>
      </c>
      <c r="K7" s="325"/>
      <c r="L7" s="325">
        <v>24</v>
      </c>
      <c r="M7" s="436">
        <v>45919</v>
      </c>
      <c r="N7" s="436"/>
      <c r="O7" s="324"/>
      <c r="P7" s="324"/>
      <c r="Q7" s="324"/>
      <c r="R7" s="325"/>
      <c r="S7" s="324"/>
      <c r="T7" s="439"/>
      <c r="U7" s="438"/>
      <c r="V7" s="436"/>
      <c r="W7" s="325"/>
      <c r="X7" s="324"/>
      <c r="Y7" s="325"/>
      <c r="Z7" s="444"/>
      <c r="AA7" s="324"/>
      <c r="AB7" s="324"/>
      <c r="AC7" s="324"/>
      <c r="AD7" s="324"/>
      <c r="AE7" s="429"/>
    </row>
    <row r="8" spans="1:31" ht="32.25" customHeight="1">
      <c r="A8" s="325">
        <v>7</v>
      </c>
      <c r="B8" s="325" t="s">
        <v>379</v>
      </c>
      <c r="C8" s="436">
        <v>45919</v>
      </c>
      <c r="D8" s="436">
        <v>45932</v>
      </c>
      <c r="E8" s="325" t="s">
        <v>550</v>
      </c>
      <c r="F8" s="325" t="s">
        <v>275</v>
      </c>
      <c r="G8" s="325">
        <v>50168</v>
      </c>
      <c r="H8" s="325" t="s">
        <v>531</v>
      </c>
      <c r="I8" s="325" t="s">
        <v>274</v>
      </c>
      <c r="J8" s="325">
        <v>5</v>
      </c>
      <c r="K8" s="325"/>
      <c r="L8" s="325">
        <v>6</v>
      </c>
      <c r="M8" s="436">
        <v>45924</v>
      </c>
      <c r="N8" s="436"/>
      <c r="O8" s="324"/>
      <c r="P8" s="324"/>
      <c r="Q8" s="324"/>
      <c r="R8" s="325"/>
      <c r="S8" s="324"/>
      <c r="T8" s="439"/>
      <c r="U8" s="438"/>
      <c r="V8" s="436"/>
      <c r="W8" s="325"/>
      <c r="X8" s="324"/>
      <c r="Y8" s="325"/>
      <c r="Z8" s="444"/>
      <c r="AA8" s="324"/>
      <c r="AB8" s="324"/>
      <c r="AC8" s="324"/>
      <c r="AD8" s="324"/>
      <c r="AE8" s="429"/>
    </row>
    <row r="9" spans="1:31" ht="33" customHeight="1">
      <c r="A9" s="325">
        <v>8</v>
      </c>
      <c r="B9" s="325" t="s">
        <v>379</v>
      </c>
      <c r="C9" s="436">
        <v>45919</v>
      </c>
      <c r="D9" s="436">
        <v>45932</v>
      </c>
      <c r="E9" s="325" t="s">
        <v>550</v>
      </c>
      <c r="F9" s="325" t="s">
        <v>417</v>
      </c>
      <c r="G9" s="325">
        <v>50241</v>
      </c>
      <c r="H9" s="325" t="s">
        <v>551</v>
      </c>
      <c r="I9" s="325" t="s">
        <v>506</v>
      </c>
      <c r="J9" s="325">
        <v>3</v>
      </c>
      <c r="K9" s="325"/>
      <c r="L9" s="325"/>
      <c r="M9" s="436">
        <v>45929</v>
      </c>
      <c r="N9" s="325" t="s">
        <v>552</v>
      </c>
      <c r="O9" s="325" t="s">
        <v>275</v>
      </c>
      <c r="P9" s="325" t="s">
        <v>417</v>
      </c>
      <c r="Q9" s="325"/>
      <c r="R9" s="325" t="s">
        <v>275</v>
      </c>
      <c r="S9" s="325"/>
      <c r="T9" s="106" t="s">
        <v>553</v>
      </c>
      <c r="U9" s="262">
        <v>45931</v>
      </c>
      <c r="W9" t="s">
        <v>287</v>
      </c>
      <c r="Y9" t="s">
        <v>466</v>
      </c>
    </row>
    <row r="10" spans="1:31" ht="46.5">
      <c r="A10" s="325">
        <v>9</v>
      </c>
      <c r="B10" s="325" t="s">
        <v>379</v>
      </c>
      <c r="C10" s="436">
        <v>45919</v>
      </c>
      <c r="D10" s="436">
        <v>45932</v>
      </c>
      <c r="E10" s="325" t="s">
        <v>550</v>
      </c>
      <c r="F10" s="325" t="s">
        <v>275</v>
      </c>
      <c r="G10" s="325">
        <v>50151</v>
      </c>
      <c r="H10" t="s">
        <v>516</v>
      </c>
      <c r="I10" s="325" t="s">
        <v>274</v>
      </c>
      <c r="J10" s="325">
        <v>8</v>
      </c>
      <c r="M10" s="436">
        <v>45919</v>
      </c>
      <c r="N10" s="325"/>
      <c r="O10" s="325"/>
      <c r="P10" s="325"/>
      <c r="Q10" s="325"/>
      <c r="R10" s="325"/>
      <c r="S10" s="325"/>
      <c r="T10" s="325"/>
      <c r="U10" s="325"/>
      <c r="V10" s="325"/>
      <c r="W10" s="325"/>
      <c r="X10" s="325"/>
      <c r="Y10" s="325"/>
      <c r="Z10" s="325"/>
      <c r="AA10" s="325"/>
      <c r="AB10" s="325"/>
      <c r="AC10" s="325"/>
      <c r="AD10" s="325" t="s">
        <v>554</v>
      </c>
      <c r="AE10" s="325"/>
    </row>
    <row r="12" spans="1:31">
      <c r="F12" s="440"/>
      <c r="H12" s="440"/>
    </row>
  </sheetData>
  <dataValidations count="1">
    <dataValidation type="list" allowBlank="1" showInputMessage="1" showErrorMessage="1" sqref="AE2:AE7" xr:uid="{7E0D0599-9A49-41AA-BD9D-176503332D5C}">
      <formula1>"Exceeds Expectation, Meets Expectation, Needs improvements"</formula1>
    </dataValidation>
  </dataValidations>
  <hyperlinks>
    <hyperlink ref="T5" r:id="rId1" xr:uid="{87F2727C-69FF-45E2-8E18-609A03F914D0}"/>
    <hyperlink ref="T4" r:id="rId2" xr:uid="{1006CFDD-0414-4C2A-A6DB-35A4D4EC3220}"/>
    <hyperlink ref="T3" r:id="rId3" xr:uid="{2F47E004-F4DA-4775-9169-16ADA41A339C}"/>
    <hyperlink ref="T6" r:id="rId4" xr:uid="{1BEB38D3-CEC7-4449-BC90-063D7B6EA77B}"/>
    <hyperlink ref="T9" r:id="rId5" xr:uid="{D2D53FEB-7DB8-4902-A6FF-944E27AB561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D862588-8F97-4349-8F9E-BF9FE5C5E81D}">
          <x14:formula1>
            <xm:f>Settings!$C$3:$C$20</xm:f>
          </x14:formula1>
          <xm:sqref>I2:I10</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F07A7-AE20-4CA8-9FF7-97F11E8C9C2F}">
  <dimension ref="A1:M2"/>
  <sheetViews>
    <sheetView workbookViewId="0">
      <selection activeCell="F25" sqref="F25"/>
    </sheetView>
  </sheetViews>
  <sheetFormatPr defaultRowHeight="12.75"/>
  <cols>
    <col min="1" max="1" width="22.28515625" customWidth="1"/>
    <col min="2" max="2" width="13.85546875" customWidth="1"/>
    <col min="3" max="3" width="9.7109375" customWidth="1"/>
    <col min="4" max="4" width="10.5703125" customWidth="1"/>
    <col min="5" max="5" width="13.85546875" customWidth="1"/>
    <col min="6" max="6" width="109.85546875" customWidth="1"/>
    <col min="9" max="9" width="18.7109375" customWidth="1"/>
    <col min="10" max="10" width="19.85546875" customWidth="1"/>
    <col min="11" max="11" width="20.5703125" customWidth="1"/>
    <col min="12" max="12" width="15.7109375" customWidth="1"/>
    <col min="13" max="13" width="64.28515625" customWidth="1"/>
  </cols>
  <sheetData>
    <row r="1" spans="1:13" ht="42">
      <c r="A1" s="167" t="s">
        <v>11</v>
      </c>
      <c r="B1" s="167" t="s">
        <v>297</v>
      </c>
      <c r="C1" s="167" t="s">
        <v>298</v>
      </c>
      <c r="D1" s="167" t="s">
        <v>245</v>
      </c>
      <c r="E1" s="167" t="s">
        <v>299</v>
      </c>
      <c r="F1" s="167" t="s">
        <v>300</v>
      </c>
      <c r="G1" s="167" t="s">
        <v>301</v>
      </c>
      <c r="H1" s="167" t="s">
        <v>302</v>
      </c>
      <c r="I1" s="167" t="s">
        <v>303</v>
      </c>
      <c r="J1" s="167" t="s">
        <v>304</v>
      </c>
      <c r="K1" s="167" t="s">
        <v>248</v>
      </c>
      <c r="L1" s="423" t="s">
        <v>305</v>
      </c>
      <c r="M1" s="424" t="s">
        <v>306</v>
      </c>
    </row>
    <row r="2" spans="1:13" ht="63" customHeight="1">
      <c r="A2" s="48"/>
      <c r="B2" s="441"/>
      <c r="C2" s="430"/>
      <c r="D2" s="83"/>
      <c r="E2" s="67"/>
      <c r="F2" s="104"/>
      <c r="G2" s="83"/>
      <c r="H2" s="83"/>
      <c r="I2" s="83"/>
      <c r="J2" s="83"/>
      <c r="K2" s="83"/>
      <c r="L2" s="83"/>
      <c r="M2" s="8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1113D-E5A9-4402-8930-47BDBE7FEF68}">
  <dimension ref="A1:AE11"/>
  <sheetViews>
    <sheetView topLeftCell="D1" workbookViewId="0">
      <selection activeCell="I2" sqref="I2"/>
    </sheetView>
  </sheetViews>
  <sheetFormatPr defaultRowHeight="12.75"/>
  <cols>
    <col min="1" max="1" width="14.85546875" customWidth="1"/>
    <col min="2" max="2" width="12" customWidth="1"/>
    <col min="3" max="3" width="13.85546875" customWidth="1"/>
    <col min="4" max="4" width="14.85546875" customWidth="1"/>
    <col min="5" max="5" width="29.85546875" customWidth="1"/>
    <col min="6" max="6" width="19.85546875" customWidth="1"/>
    <col min="8" max="8" width="64.28515625" customWidth="1"/>
    <col min="9" max="9" width="23.7109375" customWidth="1"/>
    <col min="13" max="13" width="11.5703125" customWidth="1"/>
    <col min="14" max="14" width="12.5703125" customWidth="1"/>
    <col min="15" max="15" width="12.140625" customWidth="1"/>
    <col min="20" max="20" width="72.42578125" customWidth="1"/>
    <col min="21" max="21" width="12.85546875" customWidth="1"/>
    <col min="22" max="22" width="15.140625" customWidth="1"/>
    <col min="26" max="26" width="12.28515625" customWidth="1"/>
    <col min="29" max="29" width="28.28515625" customWidth="1"/>
    <col min="30" max="30" width="42.7109375" customWidth="1"/>
    <col min="31" max="31" width="34.28515625" customWidth="1"/>
  </cols>
  <sheetData>
    <row r="1" spans="1:31" ht="55.5" customHeight="1">
      <c r="A1" s="433" t="s">
        <v>243</v>
      </c>
      <c r="B1" s="433" t="s">
        <v>4</v>
      </c>
      <c r="C1" s="433" t="s">
        <v>2</v>
      </c>
      <c r="D1" s="433" t="s">
        <v>3</v>
      </c>
      <c r="E1" s="433" t="s">
        <v>244</v>
      </c>
      <c r="F1" s="433" t="s">
        <v>245</v>
      </c>
      <c r="G1" s="433" t="s">
        <v>246</v>
      </c>
      <c r="H1" s="434" t="s">
        <v>247</v>
      </c>
      <c r="I1" s="433" t="s">
        <v>248</v>
      </c>
      <c r="J1" s="433" t="s">
        <v>249</v>
      </c>
      <c r="K1" s="433" t="s">
        <v>250</v>
      </c>
      <c r="L1" s="433" t="s">
        <v>251</v>
      </c>
      <c r="M1" s="433" t="s">
        <v>252</v>
      </c>
      <c r="N1" s="433" t="s">
        <v>253</v>
      </c>
      <c r="O1" s="434" t="s">
        <v>254</v>
      </c>
      <c r="P1" s="434" t="s">
        <v>255</v>
      </c>
      <c r="Q1" s="434" t="s">
        <v>256</v>
      </c>
      <c r="R1" s="433" t="s">
        <v>257</v>
      </c>
      <c r="S1" s="434" t="s">
        <v>258</v>
      </c>
      <c r="T1" s="434" t="s">
        <v>259</v>
      </c>
      <c r="U1" s="434" t="s">
        <v>260</v>
      </c>
      <c r="V1" s="434" t="s">
        <v>261</v>
      </c>
      <c r="W1" s="434" t="s">
        <v>262</v>
      </c>
      <c r="X1" s="434" t="s">
        <v>263</v>
      </c>
      <c r="Y1" s="434" t="s">
        <v>264</v>
      </c>
      <c r="Z1" s="434" t="s">
        <v>265</v>
      </c>
      <c r="AA1" s="434" t="s">
        <v>266</v>
      </c>
      <c r="AB1" s="434" t="s">
        <v>267</v>
      </c>
      <c r="AC1" s="434" t="s">
        <v>268</v>
      </c>
      <c r="AD1" s="435" t="s">
        <v>269</v>
      </c>
      <c r="AE1" s="434" t="s">
        <v>270</v>
      </c>
    </row>
    <row r="2" spans="1:31" ht="31.5" customHeight="1">
      <c r="A2" s="325">
        <v>1</v>
      </c>
      <c r="B2" s="325" t="s">
        <v>379</v>
      </c>
      <c r="C2" s="436">
        <v>45905</v>
      </c>
      <c r="D2" s="436">
        <v>45918</v>
      </c>
      <c r="E2" s="442" t="s">
        <v>555</v>
      </c>
      <c r="F2" s="440" t="s">
        <v>275</v>
      </c>
      <c r="G2" s="441">
        <v>49688</v>
      </c>
      <c r="H2" s="325" t="s">
        <v>556</v>
      </c>
      <c r="I2" s="325" t="s">
        <v>381</v>
      </c>
      <c r="J2" s="325">
        <v>8</v>
      </c>
      <c r="K2" s="325">
        <v>7</v>
      </c>
      <c r="L2" s="325">
        <v>26</v>
      </c>
      <c r="M2" s="436">
        <v>45905</v>
      </c>
      <c r="N2" s="436">
        <v>45915</v>
      </c>
      <c r="O2" s="324" t="s">
        <v>13</v>
      </c>
      <c r="P2" s="324"/>
      <c r="Q2" s="324"/>
      <c r="R2" s="325" t="s">
        <v>287</v>
      </c>
      <c r="S2" s="324"/>
      <c r="T2" s="439" t="s">
        <v>557</v>
      </c>
      <c r="U2" s="438">
        <v>45915</v>
      </c>
      <c r="V2" s="436">
        <v>45916</v>
      </c>
      <c r="W2" s="325" t="s">
        <v>287</v>
      </c>
      <c r="X2" s="324"/>
      <c r="Y2" s="325" t="s">
        <v>466</v>
      </c>
      <c r="Z2" s="444">
        <v>45916</v>
      </c>
      <c r="AA2" s="324"/>
      <c r="AB2" s="324"/>
      <c r="AC2" s="324" t="s">
        <v>558</v>
      </c>
      <c r="AD2" s="324" t="s">
        <v>559</v>
      </c>
      <c r="AE2" s="429"/>
    </row>
    <row r="3" spans="1:31" ht="33" customHeight="1">
      <c r="A3" s="325">
        <v>2</v>
      </c>
      <c r="B3" s="325" t="s">
        <v>379</v>
      </c>
      <c r="C3" s="436">
        <v>45905</v>
      </c>
      <c r="D3" s="436">
        <v>45918</v>
      </c>
      <c r="E3" s="442" t="s">
        <v>555</v>
      </c>
      <c r="F3" s="440" t="s">
        <v>287</v>
      </c>
      <c r="G3" s="441">
        <v>25841</v>
      </c>
      <c r="H3" s="460" t="s">
        <v>560</v>
      </c>
      <c r="I3" s="442" t="s">
        <v>280</v>
      </c>
      <c r="J3" s="325">
        <v>2</v>
      </c>
      <c r="K3" s="325">
        <v>2</v>
      </c>
      <c r="L3" s="325">
        <v>10</v>
      </c>
      <c r="M3" s="436" t="s">
        <v>561</v>
      </c>
      <c r="N3" s="436" t="s">
        <v>562</v>
      </c>
      <c r="O3" s="324" t="s">
        <v>13</v>
      </c>
      <c r="P3" s="324" t="s">
        <v>272</v>
      </c>
      <c r="Q3" s="324"/>
      <c r="R3" s="325" t="s">
        <v>563</v>
      </c>
      <c r="S3" s="324"/>
      <c r="T3" s="439" t="s">
        <v>564</v>
      </c>
      <c r="U3" s="436" t="s">
        <v>565</v>
      </c>
      <c r="V3" s="436" t="s">
        <v>566</v>
      </c>
      <c r="W3" s="325" t="s">
        <v>441</v>
      </c>
      <c r="X3" s="325"/>
      <c r="Y3" s="325" t="s">
        <v>567</v>
      </c>
      <c r="Z3" s="444" t="s">
        <v>566</v>
      </c>
      <c r="AA3" s="324"/>
      <c r="AB3" s="324"/>
      <c r="AC3" s="324"/>
      <c r="AD3" s="324"/>
      <c r="AE3" s="429" t="s">
        <v>481</v>
      </c>
    </row>
    <row r="4" spans="1:31" ht="42.75" customHeight="1">
      <c r="A4" s="325">
        <v>3</v>
      </c>
      <c r="B4" s="325" t="s">
        <v>379</v>
      </c>
      <c r="C4" s="436">
        <v>45905</v>
      </c>
      <c r="D4" s="436">
        <v>45918</v>
      </c>
      <c r="E4" s="440" t="s">
        <v>568</v>
      </c>
      <c r="F4" s="325" t="s">
        <v>272</v>
      </c>
      <c r="G4" s="437">
        <v>49361</v>
      </c>
      <c r="H4" s="325" t="s">
        <v>569</v>
      </c>
      <c r="I4" s="442" t="s">
        <v>280</v>
      </c>
      <c r="J4" s="325">
        <v>3</v>
      </c>
      <c r="K4" s="325">
        <v>3</v>
      </c>
      <c r="L4" s="325">
        <v>12</v>
      </c>
      <c r="M4" s="436">
        <v>45905</v>
      </c>
      <c r="N4" s="436">
        <v>45908</v>
      </c>
      <c r="O4" s="324" t="s">
        <v>13</v>
      </c>
      <c r="P4" s="324" t="s">
        <v>272</v>
      </c>
      <c r="Q4" s="324"/>
      <c r="R4" s="325" t="s">
        <v>283</v>
      </c>
      <c r="S4" s="324"/>
      <c r="T4" s="439" t="s">
        <v>570</v>
      </c>
      <c r="U4" s="436">
        <v>45908</v>
      </c>
      <c r="V4" s="436">
        <v>45908</v>
      </c>
      <c r="W4" s="325" t="s">
        <v>283</v>
      </c>
      <c r="X4" s="325"/>
      <c r="Y4" s="325" t="s">
        <v>283</v>
      </c>
      <c r="Z4" s="445" t="s">
        <v>571</v>
      </c>
      <c r="AA4" s="324"/>
      <c r="AB4" s="324"/>
      <c r="AC4" s="324"/>
      <c r="AD4" s="324"/>
      <c r="AE4" s="429" t="s">
        <v>481</v>
      </c>
    </row>
    <row r="5" spans="1:31" ht="35.25" customHeight="1">
      <c r="A5" s="325">
        <v>4</v>
      </c>
      <c r="B5" s="325" t="s">
        <v>379</v>
      </c>
      <c r="C5" s="436">
        <v>45905</v>
      </c>
      <c r="D5" s="436">
        <v>45918</v>
      </c>
      <c r="E5" s="440" t="s">
        <v>568</v>
      </c>
      <c r="F5" s="325" t="s">
        <v>417</v>
      </c>
      <c r="G5" s="437">
        <v>25710</v>
      </c>
      <c r="H5" s="460" t="s">
        <v>572</v>
      </c>
      <c r="I5" s="442" t="s">
        <v>280</v>
      </c>
      <c r="J5" s="325">
        <v>2</v>
      </c>
      <c r="K5" s="325">
        <v>3</v>
      </c>
      <c r="L5" s="325">
        <v>12</v>
      </c>
      <c r="M5" s="436">
        <v>45905</v>
      </c>
      <c r="N5" s="436">
        <v>45908</v>
      </c>
      <c r="O5" s="324" t="s">
        <v>13</v>
      </c>
      <c r="P5" s="324" t="s">
        <v>272</v>
      </c>
      <c r="Q5" s="324"/>
      <c r="R5" s="325" t="s">
        <v>275</v>
      </c>
      <c r="S5" s="324"/>
      <c r="T5" s="439" t="s">
        <v>573</v>
      </c>
      <c r="U5" s="436">
        <v>45908</v>
      </c>
      <c r="V5" s="436">
        <v>45908</v>
      </c>
      <c r="W5" s="325" t="s">
        <v>287</v>
      </c>
      <c r="X5" s="325"/>
      <c r="Y5" s="325" t="s">
        <v>441</v>
      </c>
      <c r="Z5" s="444">
        <v>45908</v>
      </c>
      <c r="AA5" s="324"/>
      <c r="AB5" s="324"/>
      <c r="AC5" s="324"/>
      <c r="AD5" s="324"/>
      <c r="AE5" s="429" t="s">
        <v>481</v>
      </c>
    </row>
    <row r="6" spans="1:31" ht="42" customHeight="1">
      <c r="A6" s="325">
        <v>5</v>
      </c>
      <c r="B6" s="325" t="s">
        <v>379</v>
      </c>
      <c r="C6" s="436">
        <v>45905</v>
      </c>
      <c r="D6" s="436">
        <v>45918</v>
      </c>
      <c r="E6" s="440" t="s">
        <v>568</v>
      </c>
      <c r="F6" s="325" t="s">
        <v>417</v>
      </c>
      <c r="G6" s="437">
        <v>25709</v>
      </c>
      <c r="H6" s="325" t="s">
        <v>574</v>
      </c>
      <c r="I6" s="442" t="s">
        <v>280</v>
      </c>
      <c r="J6" s="325">
        <v>3</v>
      </c>
      <c r="K6" s="325">
        <v>4</v>
      </c>
      <c r="L6" s="325">
        <v>17</v>
      </c>
      <c r="M6" s="436" t="s">
        <v>571</v>
      </c>
      <c r="N6" s="436">
        <v>45909</v>
      </c>
      <c r="O6" s="324" t="s">
        <v>13</v>
      </c>
      <c r="P6" s="324" t="s">
        <v>272</v>
      </c>
      <c r="Q6" s="324"/>
      <c r="R6" s="325" t="s">
        <v>275</v>
      </c>
      <c r="S6" s="324"/>
      <c r="T6" s="443" t="s">
        <v>575</v>
      </c>
      <c r="U6" s="436">
        <v>45909</v>
      </c>
      <c r="V6" s="436" t="s">
        <v>565</v>
      </c>
      <c r="W6" s="325" t="s">
        <v>287</v>
      </c>
      <c r="X6" s="325"/>
      <c r="Y6" s="325" t="s">
        <v>441</v>
      </c>
      <c r="Z6" s="444" t="s">
        <v>576</v>
      </c>
      <c r="AA6" s="429"/>
      <c r="AB6" s="429"/>
      <c r="AC6" s="429"/>
      <c r="AD6" s="429"/>
      <c r="AE6" s="429" t="s">
        <v>481</v>
      </c>
    </row>
    <row r="7" spans="1:31" ht="32.25" customHeight="1">
      <c r="A7" s="325">
        <v>6</v>
      </c>
      <c r="B7" s="325" t="s">
        <v>379</v>
      </c>
      <c r="C7" s="436">
        <v>45905</v>
      </c>
      <c r="D7" s="436">
        <v>45918</v>
      </c>
      <c r="E7" s="440" t="s">
        <v>568</v>
      </c>
      <c r="F7" s="441" t="s">
        <v>272</v>
      </c>
      <c r="G7" s="437">
        <v>49940</v>
      </c>
      <c r="H7" s="325" t="s">
        <v>536</v>
      </c>
      <c r="I7" s="325" t="s">
        <v>274</v>
      </c>
      <c r="J7" s="325">
        <v>8</v>
      </c>
      <c r="K7" s="325">
        <v>2</v>
      </c>
      <c r="L7" s="325">
        <v>8</v>
      </c>
      <c r="M7" s="325" t="s">
        <v>561</v>
      </c>
      <c r="N7" s="429"/>
      <c r="O7" s="429"/>
      <c r="P7" s="429"/>
      <c r="Q7" s="429"/>
      <c r="R7" s="429"/>
      <c r="S7" s="429"/>
      <c r="T7" s="429"/>
      <c r="U7" s="325"/>
      <c r="V7" s="325"/>
      <c r="W7" s="325"/>
      <c r="X7" s="325"/>
      <c r="Y7" s="325"/>
      <c r="Z7" s="445"/>
      <c r="AA7" s="429"/>
      <c r="AB7" s="429"/>
      <c r="AC7" s="429"/>
      <c r="AD7" s="429"/>
      <c r="AE7" s="429"/>
    </row>
    <row r="8" spans="1:31" ht="33" customHeight="1">
      <c r="A8" s="371">
        <v>7</v>
      </c>
      <c r="B8" s="371" t="s">
        <v>379</v>
      </c>
      <c r="C8" s="453">
        <v>45905</v>
      </c>
      <c r="D8" s="453">
        <v>45918</v>
      </c>
      <c r="E8" s="454" t="s">
        <v>568</v>
      </c>
      <c r="F8" s="246" t="s">
        <v>287</v>
      </c>
      <c r="G8" s="48">
        <v>48712</v>
      </c>
      <c r="H8" s="454" t="s">
        <v>577</v>
      </c>
      <c r="I8" s="455" t="s">
        <v>280</v>
      </c>
      <c r="J8" s="371">
        <v>5</v>
      </c>
      <c r="K8" s="371">
        <v>5</v>
      </c>
      <c r="L8" s="371">
        <v>20</v>
      </c>
      <c r="M8" s="371" t="s">
        <v>571</v>
      </c>
      <c r="N8" s="371" t="s">
        <v>561</v>
      </c>
      <c r="O8" s="371" t="s">
        <v>275</v>
      </c>
      <c r="P8" s="456" t="s">
        <v>292</v>
      </c>
      <c r="Q8" s="456"/>
      <c r="R8" s="456" t="s">
        <v>275</v>
      </c>
      <c r="S8" s="456"/>
      <c r="T8" s="253" t="s">
        <v>578</v>
      </c>
      <c r="U8" s="456" t="s">
        <v>571</v>
      </c>
      <c r="V8" s="371" t="s">
        <v>561</v>
      </c>
      <c r="W8" s="371" t="s">
        <v>441</v>
      </c>
      <c r="X8" s="371"/>
      <c r="Y8" s="371" t="s">
        <v>441</v>
      </c>
      <c r="Z8" s="457" t="s">
        <v>561</v>
      </c>
      <c r="AA8" s="456"/>
      <c r="AB8" s="456"/>
      <c r="AC8" s="456"/>
      <c r="AD8" s="456"/>
      <c r="AE8" s="456" t="s">
        <v>481</v>
      </c>
    </row>
    <row r="9" spans="1:31" s="452" customFormat="1" ht="35.25">
      <c r="A9" s="446">
        <v>8</v>
      </c>
      <c r="B9" s="447" t="s">
        <v>379</v>
      </c>
      <c r="C9" s="448">
        <v>45905</v>
      </c>
      <c r="D9" s="448">
        <v>45918</v>
      </c>
      <c r="E9" s="449" t="s">
        <v>568</v>
      </c>
      <c r="F9" s="450" t="s">
        <v>417</v>
      </c>
      <c r="G9" s="450">
        <v>25250</v>
      </c>
      <c r="H9" s="459" t="s">
        <v>542</v>
      </c>
      <c r="I9" s="447" t="s">
        <v>529</v>
      </c>
      <c r="J9" s="447">
        <v>3</v>
      </c>
      <c r="K9" s="451">
        <v>3</v>
      </c>
      <c r="L9" s="451">
        <v>12</v>
      </c>
      <c r="M9" s="447" t="s">
        <v>579</v>
      </c>
      <c r="N9" s="451"/>
      <c r="O9" s="451"/>
      <c r="P9" s="451"/>
      <c r="Q9" s="451"/>
      <c r="R9" s="451"/>
      <c r="S9" s="451"/>
      <c r="T9" s="451"/>
    </row>
    <row r="11" spans="1:31">
      <c r="F11" s="458"/>
      <c r="H11" s="458"/>
    </row>
  </sheetData>
  <dataValidations count="1">
    <dataValidation type="list" allowBlank="1" showInputMessage="1" showErrorMessage="1" sqref="AE2:AE6 AE8" xr:uid="{7E81FACE-F65E-4CCC-B695-52C4DE511361}">
      <formula1>"Exceeds Expectation, Meets Expectation, Needs improvements"</formula1>
    </dataValidation>
  </dataValidations>
  <hyperlinks>
    <hyperlink ref="T4" r:id="rId1" xr:uid="{063D72C4-52AF-4B90-B202-EDCEBDE3689F}"/>
    <hyperlink ref="T5" r:id="rId2" xr:uid="{D743546C-CFE2-4F4E-B746-B7036813FD68}"/>
    <hyperlink ref="T3" r:id="rId3" xr:uid="{8307FA0F-87A2-4924-ACF8-50D2653326CA}"/>
    <hyperlink ref="T8" r:id="rId4" xr:uid="{4E633D94-9D48-4A94-A7B8-4EA7986B0A1A}"/>
    <hyperlink ref="T2" r:id="rId5" xr:uid="{DF4986B6-AEF6-4ED0-BD02-7C558123A270}"/>
    <hyperlink ref="T6" r:id="rId6" xr:uid="{058B4EC0-9D94-493B-A60C-1492BA62AFD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F28AB41-91B1-40DF-87C5-D66ADDF361E1}">
          <x14:formula1>
            <xm:f>Settings!$C$3:$C$20</xm:f>
          </x14:formula1>
          <xm:sqref>I2:I8</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BEAF8-49E7-4433-BABA-313244A6F646}">
  <dimension ref="A1:M3"/>
  <sheetViews>
    <sheetView topLeftCell="F1" workbookViewId="0">
      <selection activeCell="M8" sqref="M8"/>
    </sheetView>
  </sheetViews>
  <sheetFormatPr defaultRowHeight="12.75"/>
  <cols>
    <col min="1" max="1" width="22.28515625" customWidth="1"/>
    <col min="2" max="2" width="13.85546875" customWidth="1"/>
    <col min="3" max="3" width="9.7109375" customWidth="1"/>
    <col min="4" max="4" width="10.5703125" customWidth="1"/>
    <col min="5" max="5" width="13.85546875" customWidth="1"/>
    <col min="6" max="6" width="109.85546875" customWidth="1"/>
    <col min="9" max="9" width="18.7109375" customWidth="1"/>
    <col min="10" max="10" width="19.85546875" customWidth="1"/>
    <col min="11" max="11" width="20.5703125" customWidth="1"/>
    <col min="12" max="12" width="15.7109375" customWidth="1"/>
    <col min="13" max="13" width="72.7109375" customWidth="1"/>
  </cols>
  <sheetData>
    <row r="1" spans="1:13" ht="23.25">
      <c r="A1" s="167" t="s">
        <v>11</v>
      </c>
      <c r="B1" s="167" t="s">
        <v>297</v>
      </c>
      <c r="C1" s="167" t="s">
        <v>298</v>
      </c>
      <c r="D1" s="167" t="s">
        <v>245</v>
      </c>
      <c r="E1" s="167" t="s">
        <v>299</v>
      </c>
      <c r="F1" s="167">
        <v>2</v>
      </c>
      <c r="G1" s="167" t="s">
        <v>301</v>
      </c>
      <c r="H1" s="167" t="s">
        <v>302</v>
      </c>
      <c r="I1" s="167" t="s">
        <v>303</v>
      </c>
      <c r="J1" s="167" t="s">
        <v>304</v>
      </c>
      <c r="K1" s="167" t="s">
        <v>248</v>
      </c>
      <c r="L1" s="423" t="s">
        <v>305</v>
      </c>
      <c r="M1" s="424" t="s">
        <v>306</v>
      </c>
    </row>
    <row r="2" spans="1:13" ht="63" customHeight="1">
      <c r="A2" s="48" t="s">
        <v>555</v>
      </c>
      <c r="B2" s="441">
        <v>25841</v>
      </c>
      <c r="C2" s="430"/>
      <c r="D2" s="83" t="s">
        <v>435</v>
      </c>
      <c r="E2" s="67" t="s">
        <v>375</v>
      </c>
      <c r="F2" s="104" t="s">
        <v>580</v>
      </c>
      <c r="G2" s="83" t="s">
        <v>335</v>
      </c>
      <c r="H2" s="83" t="s">
        <v>336</v>
      </c>
      <c r="I2" s="83" t="s">
        <v>311</v>
      </c>
      <c r="J2" s="83" t="s">
        <v>581</v>
      </c>
      <c r="K2" s="83" t="s">
        <v>582</v>
      </c>
      <c r="L2" s="83" t="s">
        <v>313</v>
      </c>
      <c r="M2" s="49" t="s">
        <v>583</v>
      </c>
    </row>
    <row r="3" spans="1:13" ht="58.5" customHeight="1">
      <c r="A3" s="48" t="s">
        <v>555</v>
      </c>
      <c r="B3" s="441">
        <v>49688</v>
      </c>
      <c r="D3" s="48" t="s">
        <v>275</v>
      </c>
      <c r="E3" s="48" t="s">
        <v>375</v>
      </c>
      <c r="F3" s="43" t="s">
        <v>584</v>
      </c>
      <c r="G3" s="48" t="s">
        <v>309</v>
      </c>
      <c r="H3" s="83" t="s">
        <v>336</v>
      </c>
      <c r="I3" s="83" t="s">
        <v>311</v>
      </c>
      <c r="J3" s="70" t="s">
        <v>312</v>
      </c>
      <c r="K3" s="70" t="s">
        <v>585</v>
      </c>
      <c r="L3" s="70" t="s">
        <v>313</v>
      </c>
      <c r="M3" s="70" t="s">
        <v>586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1128A-3174-425C-B3A7-5EFD20280964}">
  <dimension ref="A1:AE7"/>
  <sheetViews>
    <sheetView topLeftCell="R3" workbookViewId="0">
      <selection activeCell="AA6" sqref="AA6"/>
    </sheetView>
  </sheetViews>
  <sheetFormatPr defaultRowHeight="12.75"/>
  <cols>
    <col min="1" max="1" width="7.7109375" style="133" bestFit="1" customWidth="1"/>
    <col min="2" max="2" width="18" style="133" customWidth="1"/>
    <col min="3" max="3" width="18.140625" style="133" customWidth="1"/>
    <col min="4" max="4" width="15.85546875" style="133" customWidth="1"/>
    <col min="5" max="5" width="29.140625" style="133" customWidth="1"/>
    <col min="6" max="6" width="19" style="133" customWidth="1"/>
    <col min="7" max="7" width="17.5703125" style="133" customWidth="1"/>
    <col min="8" max="8" width="46.42578125" style="168" customWidth="1"/>
    <col min="9" max="9" width="20.85546875" style="133" customWidth="1"/>
    <col min="10" max="10" width="10.42578125" style="133" customWidth="1"/>
    <col min="11" max="11" width="9" style="133" customWidth="1"/>
    <col min="12" max="14" width="10.28515625" style="133" customWidth="1"/>
    <col min="15" max="15" width="11.42578125" style="168" customWidth="1"/>
    <col min="16" max="16" width="12.5703125" style="168" customWidth="1"/>
    <col min="17" max="17" width="26.7109375" style="168" customWidth="1"/>
    <col min="18" max="18" width="12.42578125" style="133" customWidth="1"/>
    <col min="19" max="19" width="26.28515625" style="168" customWidth="1"/>
    <col min="20" max="20" width="45.5703125" style="168" customWidth="1"/>
    <col min="21" max="22" width="13.42578125" style="168" bestFit="1" customWidth="1"/>
    <col min="23" max="23" width="11.42578125" style="168" bestFit="1" customWidth="1"/>
    <col min="24" max="24" width="11.42578125" style="178" bestFit="1" customWidth="1"/>
    <col min="25" max="25" width="11.42578125" style="168" bestFit="1" customWidth="1"/>
    <col min="26" max="26" width="13.42578125" style="168" bestFit="1" customWidth="1"/>
    <col min="27" max="27" width="11.42578125" style="168" bestFit="1" customWidth="1"/>
    <col min="28" max="28" width="20.5703125" style="168" customWidth="1"/>
    <col min="29" max="29" width="69.85546875" style="168" customWidth="1"/>
    <col min="30" max="30" width="50.5703125" style="168" customWidth="1"/>
    <col min="31" max="31" width="33.5703125" style="168" customWidth="1"/>
    <col min="32" max="16384" width="9.140625" style="168"/>
  </cols>
  <sheetData>
    <row r="1" spans="1:31" ht="46.5">
      <c r="A1" s="274" t="s">
        <v>243</v>
      </c>
      <c r="B1" s="167" t="s">
        <v>4</v>
      </c>
      <c r="C1" s="167" t="s">
        <v>2</v>
      </c>
      <c r="D1" s="167" t="s">
        <v>3</v>
      </c>
      <c r="E1" s="275" t="s">
        <v>244</v>
      </c>
      <c r="F1" s="275" t="s">
        <v>245</v>
      </c>
      <c r="G1" s="275" t="s">
        <v>246</v>
      </c>
      <c r="H1" s="276" t="s">
        <v>247</v>
      </c>
      <c r="I1" s="275" t="s">
        <v>248</v>
      </c>
      <c r="J1" s="167" t="s">
        <v>249</v>
      </c>
      <c r="K1" s="167" t="s">
        <v>250</v>
      </c>
      <c r="L1" s="167" t="s">
        <v>251</v>
      </c>
      <c r="M1" s="275" t="s">
        <v>252</v>
      </c>
      <c r="N1" s="275" t="s">
        <v>253</v>
      </c>
      <c r="O1" s="276" t="s">
        <v>254</v>
      </c>
      <c r="P1" s="276" t="s">
        <v>255</v>
      </c>
      <c r="Q1" s="276" t="s">
        <v>256</v>
      </c>
      <c r="R1" s="275" t="s">
        <v>257</v>
      </c>
      <c r="S1" s="276" t="s">
        <v>258</v>
      </c>
      <c r="T1" s="276" t="s">
        <v>259</v>
      </c>
      <c r="U1" s="276" t="s">
        <v>260</v>
      </c>
      <c r="V1" s="276" t="s">
        <v>261</v>
      </c>
      <c r="W1" s="276" t="s">
        <v>262</v>
      </c>
      <c r="X1" s="276" t="s">
        <v>263</v>
      </c>
      <c r="Y1" s="276" t="s">
        <v>264</v>
      </c>
      <c r="Z1" s="276" t="s">
        <v>265</v>
      </c>
      <c r="AA1" s="276" t="s">
        <v>266</v>
      </c>
      <c r="AB1" s="276" t="s">
        <v>267</v>
      </c>
      <c r="AC1" s="276" t="s">
        <v>268</v>
      </c>
      <c r="AD1" s="277" t="s">
        <v>269</v>
      </c>
      <c r="AE1" s="276" t="s">
        <v>270</v>
      </c>
    </row>
    <row r="2" spans="1:31" ht="35.25" customHeight="1">
      <c r="A2" s="204">
        <v>1</v>
      </c>
      <c r="B2" s="204" t="s">
        <v>379</v>
      </c>
      <c r="C2" s="370">
        <v>45891</v>
      </c>
      <c r="D2" s="370">
        <v>45904</v>
      </c>
      <c r="E2" s="204" t="s">
        <v>587</v>
      </c>
      <c r="F2" s="204" t="s">
        <v>272</v>
      </c>
      <c r="G2" s="136">
        <v>49361</v>
      </c>
      <c r="H2" s="204" t="s">
        <v>569</v>
      </c>
      <c r="I2" s="371" t="s">
        <v>274</v>
      </c>
      <c r="J2" s="204">
        <v>13</v>
      </c>
      <c r="K2" s="204"/>
      <c r="L2" s="204">
        <v>42</v>
      </c>
      <c r="M2" s="208">
        <v>45891</v>
      </c>
      <c r="N2" s="204"/>
      <c r="O2" s="207"/>
      <c r="P2" s="207"/>
      <c r="Q2" s="207"/>
      <c r="R2" s="204"/>
      <c r="S2" s="207"/>
      <c r="T2" s="253"/>
      <c r="U2" s="208"/>
      <c r="V2" s="207"/>
      <c r="W2" s="207"/>
      <c r="X2" s="207"/>
      <c r="Y2" s="207"/>
      <c r="Z2" s="208"/>
      <c r="AA2" s="207"/>
      <c r="AB2" s="207"/>
      <c r="AC2" s="207"/>
      <c r="AD2" s="207" t="s">
        <v>588</v>
      </c>
      <c r="AE2" s="411"/>
    </row>
    <row r="3" spans="1:31" ht="46.5" customHeight="1">
      <c r="A3" s="204">
        <v>2</v>
      </c>
      <c r="B3" s="204" t="s">
        <v>379</v>
      </c>
      <c r="C3" s="370">
        <v>45891</v>
      </c>
      <c r="D3" s="370">
        <v>45904</v>
      </c>
      <c r="E3" s="204" t="s">
        <v>587</v>
      </c>
      <c r="F3" s="204" t="s">
        <v>417</v>
      </c>
      <c r="G3" s="136">
        <v>49528</v>
      </c>
      <c r="H3" s="204" t="s">
        <v>589</v>
      </c>
      <c r="I3" s="371" t="s">
        <v>274</v>
      </c>
      <c r="J3" s="204">
        <v>13</v>
      </c>
      <c r="K3" s="204"/>
      <c r="L3" s="204">
        <v>31</v>
      </c>
      <c r="M3" s="208">
        <v>45891</v>
      </c>
      <c r="N3" s="204"/>
      <c r="O3" s="207"/>
      <c r="P3" s="207"/>
      <c r="Q3" s="207"/>
      <c r="R3" s="204"/>
      <c r="S3" s="207"/>
      <c r="T3" s="253"/>
      <c r="U3" s="208"/>
      <c r="V3" s="207"/>
      <c r="W3" s="207"/>
      <c r="X3" s="207"/>
      <c r="Y3" s="207"/>
      <c r="Z3" s="208"/>
      <c r="AA3" s="207"/>
      <c r="AB3" s="207"/>
      <c r="AC3" s="207"/>
      <c r="AD3" s="207"/>
      <c r="AE3" s="411"/>
    </row>
    <row r="4" spans="1:31" ht="69">
      <c r="A4" s="204">
        <v>3</v>
      </c>
      <c r="B4" s="204" t="s">
        <v>379</v>
      </c>
      <c r="C4" s="370">
        <v>45891</v>
      </c>
      <c r="D4" s="370">
        <v>45904</v>
      </c>
      <c r="E4" s="204" t="s">
        <v>590</v>
      </c>
      <c r="F4" s="204" t="s">
        <v>417</v>
      </c>
      <c r="G4" s="136">
        <v>49514</v>
      </c>
      <c r="H4" s="204" t="s">
        <v>591</v>
      </c>
      <c r="I4" s="241" t="s">
        <v>280</v>
      </c>
      <c r="J4" s="204">
        <v>3</v>
      </c>
      <c r="K4" s="204">
        <v>5</v>
      </c>
      <c r="L4" s="204">
        <v>20</v>
      </c>
      <c r="M4" s="370"/>
      <c r="N4" s="204"/>
      <c r="O4" s="207" t="s">
        <v>13</v>
      </c>
      <c r="P4" s="207" t="s">
        <v>329</v>
      </c>
      <c r="Q4" s="207"/>
      <c r="R4" s="204" t="s">
        <v>275</v>
      </c>
      <c r="S4" s="207" t="s">
        <v>592</v>
      </c>
      <c r="T4" s="253" t="s">
        <v>593</v>
      </c>
      <c r="U4" s="208">
        <v>45887</v>
      </c>
      <c r="V4" s="208">
        <v>45888</v>
      </c>
      <c r="W4" s="207" t="s">
        <v>287</v>
      </c>
      <c r="X4" s="207"/>
      <c r="Y4" s="207" t="s">
        <v>466</v>
      </c>
      <c r="Z4" s="208">
        <v>45888</v>
      </c>
      <c r="AA4" s="207"/>
      <c r="AB4" s="207"/>
      <c r="AC4" s="207"/>
      <c r="AD4" s="207" t="s">
        <v>594</v>
      </c>
      <c r="AE4" s="411" t="s">
        <v>481</v>
      </c>
    </row>
    <row r="5" spans="1:31" ht="30" customHeight="1">
      <c r="A5" s="204">
        <v>4</v>
      </c>
      <c r="B5" s="204" t="s">
        <v>379</v>
      </c>
      <c r="C5" s="370">
        <v>45891</v>
      </c>
      <c r="D5" s="370">
        <v>45904</v>
      </c>
      <c r="E5" s="432" t="s">
        <v>587</v>
      </c>
      <c r="F5" s="204" t="s">
        <v>275</v>
      </c>
      <c r="G5" s="136">
        <v>49688</v>
      </c>
      <c r="H5" s="204" t="s">
        <v>556</v>
      </c>
      <c r="I5" s="371" t="s">
        <v>274</v>
      </c>
      <c r="J5" s="204">
        <v>13</v>
      </c>
      <c r="K5" s="204"/>
      <c r="L5" s="204">
        <v>26</v>
      </c>
      <c r="M5" s="370">
        <v>45891</v>
      </c>
      <c r="N5" s="204"/>
      <c r="O5" s="207"/>
      <c r="P5" s="207"/>
      <c r="Q5" s="207"/>
      <c r="R5" s="204"/>
      <c r="S5" s="207"/>
      <c r="T5" s="253"/>
      <c r="U5" s="208"/>
      <c r="V5" s="207"/>
      <c r="W5" s="207"/>
      <c r="X5" s="207"/>
      <c r="Y5" s="207"/>
      <c r="Z5" s="208"/>
      <c r="AA5" s="207"/>
      <c r="AB5" s="207"/>
      <c r="AC5" s="207"/>
      <c r="AD5" s="207"/>
      <c r="AE5" s="411"/>
    </row>
    <row r="6" spans="1:31" ht="36.75" customHeight="1">
      <c r="A6" s="204">
        <v>5</v>
      </c>
      <c r="B6" s="204" t="s">
        <v>379</v>
      </c>
      <c r="C6" s="370">
        <v>45891</v>
      </c>
      <c r="D6" s="370">
        <v>45904</v>
      </c>
      <c r="E6" s="204" t="s">
        <v>587</v>
      </c>
      <c r="F6" s="204" t="s">
        <v>595</v>
      </c>
      <c r="G6" s="136">
        <v>49498</v>
      </c>
      <c r="H6" s="204" t="s">
        <v>596</v>
      </c>
      <c r="I6" s="241" t="s">
        <v>280</v>
      </c>
      <c r="J6" s="204">
        <v>5</v>
      </c>
      <c r="K6" s="204">
        <v>5</v>
      </c>
      <c r="L6" s="204">
        <v>20</v>
      </c>
      <c r="M6" s="370">
        <v>45891</v>
      </c>
      <c r="N6" s="204"/>
      <c r="O6" s="207" t="s">
        <v>13</v>
      </c>
      <c r="P6" s="207" t="s">
        <v>272</v>
      </c>
      <c r="Q6" s="207"/>
      <c r="R6" s="204" t="s">
        <v>275</v>
      </c>
      <c r="S6" s="194"/>
      <c r="T6" s="253" t="s">
        <v>597</v>
      </c>
      <c r="U6" s="208">
        <v>45891</v>
      </c>
      <c r="V6" s="208">
        <v>45898</v>
      </c>
      <c r="W6" s="207"/>
      <c r="X6" s="207"/>
      <c r="Y6" s="207" t="s">
        <v>598</v>
      </c>
      <c r="Z6" s="208">
        <v>45903</v>
      </c>
      <c r="AA6" s="364" t="s">
        <v>599</v>
      </c>
      <c r="AB6" s="207"/>
      <c r="AC6" s="207"/>
      <c r="AD6" s="207"/>
      <c r="AE6" s="411" t="s">
        <v>481</v>
      </c>
    </row>
    <row r="7" spans="1:31" ht="69">
      <c r="A7" s="204">
        <v>6</v>
      </c>
      <c r="B7" s="204" t="s">
        <v>379</v>
      </c>
      <c r="C7" s="370">
        <v>45891</v>
      </c>
      <c r="D7" s="370">
        <v>45904</v>
      </c>
      <c r="E7" s="204" t="s">
        <v>587</v>
      </c>
      <c r="F7" s="204" t="s">
        <v>287</v>
      </c>
      <c r="G7" s="431">
        <v>49725</v>
      </c>
      <c r="H7" s="204" t="s">
        <v>600</v>
      </c>
      <c r="I7" s="241" t="s">
        <v>280</v>
      </c>
      <c r="J7" s="204">
        <v>3</v>
      </c>
      <c r="K7" s="204">
        <v>3</v>
      </c>
      <c r="L7" s="204">
        <v>12</v>
      </c>
      <c r="M7" s="370">
        <v>45897</v>
      </c>
      <c r="N7" s="204"/>
      <c r="O7" s="207" t="s">
        <v>448</v>
      </c>
      <c r="P7" s="207"/>
      <c r="Q7" s="207"/>
      <c r="R7" s="204"/>
      <c r="S7" s="207"/>
      <c r="T7" s="253"/>
      <c r="U7" s="208"/>
      <c r="V7" s="207"/>
      <c r="W7" s="207"/>
      <c r="X7" s="207"/>
      <c r="Y7" s="207"/>
      <c r="Z7" s="208"/>
      <c r="AA7" s="207"/>
      <c r="AB7" s="207"/>
      <c r="AC7" s="207"/>
      <c r="AD7" s="207" t="s">
        <v>601</v>
      </c>
      <c r="AE7" s="411"/>
    </row>
  </sheetData>
  <dataValidations count="1">
    <dataValidation type="list" allowBlank="1" showInputMessage="1" showErrorMessage="1" sqref="AE2:AE7" xr:uid="{4B9258F1-1F93-4E9B-97CF-2A533B1298AF}">
      <formula1>"Exceeds Expectation, Meets Expectation, Needs improvements"</formula1>
    </dataValidation>
  </dataValidations>
  <hyperlinks>
    <hyperlink ref="T4" r:id="rId1" xr:uid="{DCBA3EB5-C069-4040-AB04-206DC61D7F29}"/>
    <hyperlink ref="T6" r:id="rId2" xr:uid="{47242A7E-8F55-4DC2-A032-1D8DD2D88468}"/>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FFFE3B45-5C1C-465A-B153-DC6145EE0B62}">
          <x14:formula1>
            <xm:f>Settings!$C$3:$C$20</xm:f>
          </x14:formula1>
          <xm:sqref>I2:I7</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8A8C4-21E0-4350-9C88-020A1E4BCC75}">
  <sheetPr>
    <outlinePr summaryBelow="0" summaryRight="0"/>
  </sheetPr>
  <dimension ref="A1:AC963"/>
  <sheetViews>
    <sheetView topLeftCell="B2" workbookViewId="0">
      <selection activeCell="F2" sqref="F2"/>
    </sheetView>
  </sheetViews>
  <sheetFormatPr defaultColWidth="12.5703125" defaultRowHeight="15" customHeight="1"/>
  <cols>
    <col min="1" max="1" width="12.5703125" style="70" hidden="1" customWidth="1"/>
    <col min="2" max="2" width="20.5703125" style="70" customWidth="1"/>
    <col min="3" max="4" width="15.140625" style="48" customWidth="1"/>
    <col min="5" max="5" width="24.7109375" style="48" customWidth="1"/>
    <col min="6" max="6" width="16.5703125" style="70" customWidth="1"/>
    <col min="7" max="7" width="43" style="70" customWidth="1"/>
    <col min="8" max="8" width="15.5703125" style="48" customWidth="1"/>
    <col min="9" max="9" width="20" style="48" customWidth="1"/>
    <col min="10" max="10" width="13.28515625" style="48" customWidth="1"/>
    <col min="11" max="11" width="16.85546875" style="48" customWidth="1"/>
    <col min="12" max="12" width="19.28515625" style="48" customWidth="1"/>
    <col min="13" max="13" width="23.5703125" style="48" customWidth="1"/>
    <col min="14" max="14" width="56" style="48" customWidth="1"/>
    <col min="15" max="16384" width="12.5703125" style="70"/>
  </cols>
  <sheetData>
    <row r="1" spans="1:29" ht="21.75" customHeight="1">
      <c r="A1" s="422" t="s">
        <v>243</v>
      </c>
      <c r="B1" s="167" t="s">
        <v>11</v>
      </c>
      <c r="C1" s="167" t="s">
        <v>297</v>
      </c>
      <c r="D1" s="167" t="s">
        <v>298</v>
      </c>
      <c r="E1" s="167" t="s">
        <v>245</v>
      </c>
      <c r="F1" s="167" t="s">
        <v>299</v>
      </c>
      <c r="G1" s="167" t="s">
        <v>300</v>
      </c>
      <c r="H1" s="167" t="s">
        <v>301</v>
      </c>
      <c r="I1" s="167" t="s">
        <v>302</v>
      </c>
      <c r="J1" s="167" t="s">
        <v>303</v>
      </c>
      <c r="K1" s="167" t="s">
        <v>304</v>
      </c>
      <c r="L1" s="167" t="s">
        <v>248</v>
      </c>
      <c r="M1" s="423" t="s">
        <v>305</v>
      </c>
      <c r="N1" s="424" t="s">
        <v>306</v>
      </c>
      <c r="O1" s="425"/>
      <c r="P1" s="425"/>
      <c r="Q1" s="425"/>
      <c r="R1" s="425"/>
      <c r="S1" s="425"/>
      <c r="T1" s="425"/>
      <c r="U1" s="425"/>
      <c r="V1" s="425"/>
      <c r="W1" s="425"/>
      <c r="X1" s="425"/>
      <c r="Y1" s="425"/>
      <c r="Z1" s="425"/>
      <c r="AA1" s="425"/>
      <c r="AB1" s="425"/>
      <c r="AC1" s="425"/>
    </row>
    <row r="2" spans="1:29" ht="52.5" customHeight="1">
      <c r="B2" s="299" t="s">
        <v>587</v>
      </c>
      <c r="D2" s="430">
        <v>49498</v>
      </c>
      <c r="E2" s="83" t="s">
        <v>435</v>
      </c>
      <c r="F2" s="67" t="s">
        <v>375</v>
      </c>
      <c r="G2" s="104" t="s">
        <v>602</v>
      </c>
      <c r="H2" s="83" t="s">
        <v>335</v>
      </c>
      <c r="I2" s="83" t="s">
        <v>336</v>
      </c>
      <c r="J2" s="83" t="s">
        <v>311</v>
      </c>
      <c r="K2" s="83" t="s">
        <v>581</v>
      </c>
      <c r="L2" s="83" t="s">
        <v>603</v>
      </c>
      <c r="M2" s="83" t="s">
        <v>313</v>
      </c>
      <c r="N2" s="83" t="s">
        <v>604</v>
      </c>
    </row>
    <row r="3" spans="1:29" ht="15.75" customHeight="1">
      <c r="B3" s="67"/>
      <c r="C3" s="83"/>
      <c r="D3" s="83"/>
      <c r="E3" s="83"/>
      <c r="F3" s="67"/>
      <c r="G3" s="67"/>
      <c r="H3" s="83"/>
      <c r="I3" s="83"/>
      <c r="J3" s="83"/>
      <c r="K3" s="83"/>
      <c r="L3" s="83"/>
      <c r="M3" s="89"/>
      <c r="N3" s="83"/>
    </row>
    <row r="4" spans="1:29" ht="15.75" customHeight="1">
      <c r="B4" s="67"/>
      <c r="C4" s="83"/>
      <c r="D4" s="83"/>
      <c r="E4" s="83"/>
      <c r="F4" s="67"/>
      <c r="G4" s="67"/>
      <c r="H4" s="83"/>
      <c r="I4" s="83"/>
      <c r="J4" s="83"/>
      <c r="K4" s="83"/>
      <c r="L4" s="83"/>
      <c r="M4" s="89"/>
      <c r="N4" s="83"/>
    </row>
    <row r="5" spans="1:29" ht="15.75" customHeight="1">
      <c r="B5" s="67"/>
      <c r="C5" s="83"/>
      <c r="D5" s="83"/>
      <c r="E5" s="83"/>
      <c r="F5" s="67"/>
      <c r="G5" s="67"/>
      <c r="H5" s="83"/>
      <c r="I5" s="83"/>
      <c r="J5" s="83"/>
      <c r="K5" s="83"/>
      <c r="L5" s="83"/>
      <c r="M5" s="89"/>
      <c r="N5" s="83"/>
    </row>
    <row r="6" spans="1:29" ht="15.75" customHeight="1">
      <c r="B6" s="67"/>
      <c r="C6" s="83"/>
      <c r="D6" s="83"/>
      <c r="E6" s="83"/>
      <c r="F6" s="67"/>
      <c r="G6" s="67"/>
      <c r="H6" s="83"/>
      <c r="I6" s="83"/>
      <c r="J6" s="83"/>
      <c r="K6" s="83"/>
      <c r="L6" s="83"/>
      <c r="M6" s="89"/>
      <c r="N6" s="83"/>
    </row>
    <row r="7" spans="1:29" ht="15.75" customHeight="1">
      <c r="B7" s="67"/>
      <c r="C7" s="83"/>
      <c r="D7" s="83"/>
      <c r="E7" s="83"/>
      <c r="F7" s="67"/>
      <c r="G7" s="67"/>
      <c r="H7" s="83"/>
      <c r="I7" s="83"/>
      <c r="J7" s="83"/>
      <c r="K7" s="83"/>
      <c r="L7" s="83"/>
      <c r="M7" s="89"/>
      <c r="N7" s="83"/>
    </row>
    <row r="8" spans="1:29" ht="15.75" customHeight="1">
      <c r="B8" s="67"/>
      <c r="C8" s="83"/>
      <c r="D8" s="83"/>
      <c r="E8" s="83"/>
      <c r="F8" s="67"/>
      <c r="G8" s="67"/>
      <c r="H8" s="83"/>
      <c r="I8" s="83"/>
      <c r="J8" s="83"/>
      <c r="K8" s="83"/>
      <c r="L8" s="83"/>
      <c r="M8" s="89"/>
      <c r="N8" s="83"/>
    </row>
    <row r="9" spans="1:29" ht="15.75" customHeight="1">
      <c r="B9" s="67"/>
      <c r="C9" s="83"/>
      <c r="D9" s="83"/>
      <c r="E9" s="83"/>
      <c r="F9" s="67"/>
      <c r="G9" s="67"/>
      <c r="H9" s="83"/>
      <c r="I9" s="83"/>
      <c r="J9" s="83"/>
      <c r="K9" s="83"/>
      <c r="L9" s="83"/>
      <c r="M9" s="89"/>
      <c r="N9" s="83"/>
    </row>
    <row r="10" spans="1:29" ht="15.75" customHeight="1">
      <c r="B10" s="67"/>
      <c r="C10" s="83"/>
      <c r="D10" s="83"/>
      <c r="E10" s="83"/>
      <c r="F10" s="67"/>
      <c r="G10" s="67"/>
      <c r="H10" s="83"/>
      <c r="I10" s="83"/>
      <c r="J10" s="83"/>
      <c r="K10" s="83"/>
      <c r="L10" s="83"/>
      <c r="M10" s="89"/>
      <c r="N10" s="83"/>
    </row>
    <row r="11" spans="1:29" ht="15.75" customHeight="1"/>
    <row r="12" spans="1:29" ht="15.75" customHeight="1"/>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autoFilter ref="A1:N1" xr:uid="{3A2BB050-11AC-4ED7-A296-96B42C7FCFBA}"/>
  <pageMargins left="0" right="0" top="0" bottom="0" header="0" footer="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F370-2AF3-410E-943F-C9D99B59EA3D}">
  <dimension ref="A1:AE7"/>
  <sheetViews>
    <sheetView workbookViewId="0">
      <selection activeCell="Q1" sqref="Q1"/>
    </sheetView>
  </sheetViews>
  <sheetFormatPr defaultRowHeight="12.75"/>
  <cols>
    <col min="1" max="1" width="7.7109375" style="133" bestFit="1" customWidth="1"/>
    <col min="2" max="2" width="18" style="133" customWidth="1"/>
    <col min="3" max="3" width="18.140625" style="133" customWidth="1"/>
    <col min="4" max="4" width="15.85546875" style="133" customWidth="1"/>
    <col min="5" max="5" width="29.140625" style="133" customWidth="1"/>
    <col min="6" max="6" width="19" style="133" customWidth="1"/>
    <col min="7" max="7" width="17.5703125" style="133" customWidth="1"/>
    <col min="8" max="8" width="46.42578125" style="168" customWidth="1"/>
    <col min="9" max="9" width="20.85546875" style="133" customWidth="1"/>
    <col min="10" max="10" width="10.42578125" style="133" customWidth="1"/>
    <col min="11" max="11" width="9" style="133" customWidth="1"/>
    <col min="12" max="14" width="10.28515625" style="133" customWidth="1"/>
    <col min="15" max="15" width="11.42578125" style="168" customWidth="1"/>
    <col min="16" max="16" width="12.5703125" style="168" customWidth="1"/>
    <col min="17" max="17" width="26.7109375" style="168" customWidth="1"/>
    <col min="18" max="18" width="12.42578125" style="133" customWidth="1"/>
    <col min="19" max="19" width="26.28515625" style="168" customWidth="1"/>
    <col min="20" max="20" width="45.5703125" style="168" customWidth="1"/>
    <col min="21" max="22" width="13.42578125" style="168" bestFit="1" customWidth="1"/>
    <col min="23" max="23" width="11.42578125" style="168" bestFit="1" customWidth="1"/>
    <col min="24" max="24" width="11.42578125" style="178" bestFit="1" customWidth="1"/>
    <col min="25" max="25" width="11.42578125" style="168" bestFit="1" customWidth="1"/>
    <col min="26" max="26" width="13.42578125" style="168" bestFit="1" customWidth="1"/>
    <col min="27" max="27" width="11.42578125" style="168" bestFit="1" customWidth="1"/>
    <col min="28" max="28" width="20.5703125" style="168" customWidth="1"/>
    <col min="29" max="29" width="69.85546875" style="168" customWidth="1"/>
    <col min="30" max="30" width="50.5703125" style="168" customWidth="1"/>
    <col min="31" max="31" width="33.5703125" style="168" customWidth="1"/>
    <col min="32" max="16384" width="9.140625" style="168"/>
  </cols>
  <sheetData>
    <row r="1" spans="1:31" ht="46.5">
      <c r="A1" s="274" t="s">
        <v>243</v>
      </c>
      <c r="B1" s="167" t="s">
        <v>4</v>
      </c>
      <c r="C1" s="167" t="s">
        <v>2</v>
      </c>
      <c r="D1" s="167" t="s">
        <v>3</v>
      </c>
      <c r="E1" s="275" t="s">
        <v>244</v>
      </c>
      <c r="F1" s="275" t="s">
        <v>245</v>
      </c>
      <c r="G1" s="275" t="s">
        <v>246</v>
      </c>
      <c r="H1" s="276" t="s">
        <v>247</v>
      </c>
      <c r="I1" s="275" t="s">
        <v>248</v>
      </c>
      <c r="J1" s="167" t="s">
        <v>249</v>
      </c>
      <c r="K1" s="167" t="s">
        <v>250</v>
      </c>
      <c r="L1" s="167" t="s">
        <v>251</v>
      </c>
      <c r="M1" s="275" t="s">
        <v>252</v>
      </c>
      <c r="N1" s="275" t="s">
        <v>253</v>
      </c>
      <c r="O1" s="276" t="s">
        <v>254</v>
      </c>
      <c r="P1" s="276" t="s">
        <v>255</v>
      </c>
      <c r="Q1" s="276" t="s">
        <v>256</v>
      </c>
      <c r="R1" s="275" t="s">
        <v>257</v>
      </c>
      <c r="S1" s="276" t="s">
        <v>258</v>
      </c>
      <c r="T1" s="276" t="s">
        <v>259</v>
      </c>
      <c r="U1" s="276" t="s">
        <v>260</v>
      </c>
      <c r="V1" s="276" t="s">
        <v>261</v>
      </c>
      <c r="W1" s="276" t="s">
        <v>262</v>
      </c>
      <c r="X1" s="276" t="s">
        <v>263</v>
      </c>
      <c r="Y1" s="276" t="s">
        <v>264</v>
      </c>
      <c r="Z1" s="276" t="s">
        <v>265</v>
      </c>
      <c r="AA1" s="276" t="s">
        <v>266</v>
      </c>
      <c r="AB1" s="276" t="s">
        <v>267</v>
      </c>
      <c r="AC1" s="276" t="s">
        <v>268</v>
      </c>
      <c r="AD1" s="277" t="s">
        <v>269</v>
      </c>
      <c r="AE1" s="276" t="s">
        <v>270</v>
      </c>
    </row>
    <row r="2" spans="1:31" ht="33.75" customHeight="1">
      <c r="A2" s="204">
        <v>1</v>
      </c>
      <c r="B2" s="193" t="s">
        <v>379</v>
      </c>
      <c r="C2" s="313">
        <v>45877</v>
      </c>
      <c r="D2" s="313">
        <v>45890</v>
      </c>
      <c r="E2" s="5" t="s">
        <v>147</v>
      </c>
      <c r="F2" s="193" t="s">
        <v>275</v>
      </c>
      <c r="G2" s="46">
        <v>49499</v>
      </c>
      <c r="H2" s="193" t="s">
        <v>605</v>
      </c>
      <c r="I2" s="299" t="s">
        <v>280</v>
      </c>
      <c r="J2" s="204">
        <v>8</v>
      </c>
      <c r="K2" s="204">
        <v>8</v>
      </c>
      <c r="L2" s="204">
        <v>24</v>
      </c>
      <c r="M2" s="208">
        <v>45877</v>
      </c>
      <c r="N2" s="208">
        <v>45883</v>
      </c>
      <c r="O2" s="207" t="s">
        <v>13</v>
      </c>
      <c r="P2" s="207" t="s">
        <v>272</v>
      </c>
      <c r="Q2" s="207"/>
      <c r="R2" s="204" t="s">
        <v>287</v>
      </c>
      <c r="S2" s="207"/>
      <c r="T2" s="106" t="s">
        <v>606</v>
      </c>
      <c r="U2" s="259">
        <v>45883</v>
      </c>
      <c r="V2" s="259">
        <v>45883</v>
      </c>
      <c r="W2" s="207" t="s">
        <v>287</v>
      </c>
      <c r="X2" s="207"/>
      <c r="Y2" s="207" t="s">
        <v>466</v>
      </c>
      <c r="Z2" s="259">
        <v>45883</v>
      </c>
      <c r="AA2" s="207"/>
      <c r="AB2" s="207"/>
      <c r="AC2" s="207"/>
      <c r="AD2" s="207" t="s">
        <v>607</v>
      </c>
      <c r="AE2" s="194" t="s">
        <v>481</v>
      </c>
    </row>
    <row r="3" spans="1:31" ht="37.5" customHeight="1">
      <c r="A3" s="204">
        <v>2</v>
      </c>
      <c r="B3" s="204" t="s">
        <v>379</v>
      </c>
      <c r="C3" s="370">
        <v>45877</v>
      </c>
      <c r="D3" s="370">
        <v>45890</v>
      </c>
      <c r="E3" s="204" t="s">
        <v>608</v>
      </c>
      <c r="F3" s="204" t="s">
        <v>417</v>
      </c>
      <c r="G3" s="136">
        <v>49514</v>
      </c>
      <c r="H3" s="204" t="s">
        <v>591</v>
      </c>
      <c r="I3" s="371" t="s">
        <v>381</v>
      </c>
      <c r="J3" s="204">
        <v>8</v>
      </c>
      <c r="K3" s="204">
        <v>11</v>
      </c>
      <c r="L3" s="204">
        <v>43</v>
      </c>
      <c r="M3" s="208">
        <v>45877</v>
      </c>
      <c r="N3" s="204" t="s">
        <v>609</v>
      </c>
      <c r="O3" s="207" t="s">
        <v>13</v>
      </c>
      <c r="P3" s="207" t="s">
        <v>329</v>
      </c>
      <c r="Q3" s="207"/>
      <c r="R3" s="204" t="s">
        <v>275</v>
      </c>
      <c r="S3" s="207" t="s">
        <v>592</v>
      </c>
      <c r="T3" s="253" t="s">
        <v>593</v>
      </c>
      <c r="U3" s="208">
        <v>45887</v>
      </c>
      <c r="V3" s="208">
        <v>45888</v>
      </c>
      <c r="W3" s="207" t="s">
        <v>287</v>
      </c>
      <c r="X3" s="207"/>
      <c r="Y3" s="207" t="s">
        <v>466</v>
      </c>
      <c r="Z3" s="208">
        <v>45888</v>
      </c>
      <c r="AA3" s="207"/>
      <c r="AB3" s="207"/>
      <c r="AC3" s="207"/>
      <c r="AD3" s="207" t="s">
        <v>610</v>
      </c>
      <c r="AE3" s="411"/>
    </row>
    <row r="4" spans="1:31" ht="31.5" customHeight="1">
      <c r="A4" s="204">
        <v>3</v>
      </c>
      <c r="B4" s="204" t="s">
        <v>379</v>
      </c>
      <c r="C4" s="370">
        <v>45877</v>
      </c>
      <c r="D4" s="370">
        <v>45890</v>
      </c>
      <c r="E4" s="204" t="s">
        <v>608</v>
      </c>
      <c r="F4" s="204" t="s">
        <v>272</v>
      </c>
      <c r="G4" s="136">
        <v>49360</v>
      </c>
      <c r="H4" s="204" t="s">
        <v>611</v>
      </c>
      <c r="I4" s="299" t="s">
        <v>280</v>
      </c>
      <c r="J4" s="204">
        <v>3</v>
      </c>
      <c r="K4" s="204">
        <v>5</v>
      </c>
      <c r="L4" s="204">
        <v>19</v>
      </c>
      <c r="M4" s="208">
        <v>45877</v>
      </c>
      <c r="N4" s="208">
        <v>45887</v>
      </c>
      <c r="O4" s="207" t="s">
        <v>13</v>
      </c>
      <c r="P4" s="207" t="s">
        <v>283</v>
      </c>
      <c r="Q4" s="207"/>
      <c r="R4" s="204" t="s">
        <v>283</v>
      </c>
      <c r="S4" s="207"/>
      <c r="T4" s="253" t="s">
        <v>612</v>
      </c>
      <c r="U4" s="259">
        <v>45887</v>
      </c>
      <c r="V4" s="208">
        <v>45889</v>
      </c>
      <c r="W4" s="207" t="s">
        <v>409</v>
      </c>
      <c r="X4" s="207"/>
      <c r="Y4" s="207" t="s">
        <v>283</v>
      </c>
      <c r="Z4" s="208">
        <v>45889</v>
      </c>
      <c r="AA4" s="207"/>
      <c r="AB4" s="207"/>
      <c r="AC4" s="207"/>
      <c r="AD4" s="207"/>
      <c r="AE4" s="411" t="s">
        <v>481</v>
      </c>
    </row>
    <row r="5" spans="1:31" ht="35.25" customHeight="1">
      <c r="A5" s="204">
        <v>3</v>
      </c>
      <c r="B5" s="204" t="s">
        <v>379</v>
      </c>
      <c r="C5" s="370">
        <v>45877</v>
      </c>
      <c r="D5" s="370">
        <v>45890</v>
      </c>
      <c r="E5" s="204" t="s">
        <v>608</v>
      </c>
      <c r="F5" s="204" t="s">
        <v>272</v>
      </c>
      <c r="G5" s="136">
        <v>49361</v>
      </c>
      <c r="H5" s="204" t="s">
        <v>569</v>
      </c>
      <c r="I5" s="371" t="s">
        <v>274</v>
      </c>
      <c r="J5" s="204">
        <v>13</v>
      </c>
      <c r="K5" s="204"/>
      <c r="L5" s="204"/>
      <c r="M5" s="208">
        <v>45888</v>
      </c>
      <c r="N5" s="204"/>
      <c r="O5" s="207"/>
      <c r="P5" s="207"/>
      <c r="Q5" s="207"/>
      <c r="R5" s="204"/>
      <c r="S5" s="207"/>
      <c r="T5" s="253"/>
      <c r="U5" s="208"/>
      <c r="V5" s="207"/>
      <c r="W5" s="207"/>
      <c r="X5" s="207"/>
      <c r="Y5" s="207"/>
      <c r="Z5" s="208"/>
      <c r="AA5" s="207"/>
      <c r="AB5" s="207"/>
      <c r="AC5" s="207"/>
      <c r="AD5" s="207"/>
      <c r="AE5" s="411"/>
    </row>
    <row r="6" spans="1:31" ht="46.5" customHeight="1">
      <c r="A6" s="204">
        <v>4</v>
      </c>
      <c r="B6" s="204" t="s">
        <v>379</v>
      </c>
      <c r="C6" s="370">
        <v>45877</v>
      </c>
      <c r="D6" s="370">
        <v>45890</v>
      </c>
      <c r="E6" s="204" t="s">
        <v>608</v>
      </c>
      <c r="F6" s="204" t="s">
        <v>417</v>
      </c>
      <c r="G6" s="136">
        <v>49528</v>
      </c>
      <c r="H6" s="204" t="s">
        <v>589</v>
      </c>
      <c r="I6" s="371" t="s">
        <v>274</v>
      </c>
      <c r="J6" s="204">
        <v>13</v>
      </c>
      <c r="K6" s="204"/>
      <c r="L6" s="204"/>
      <c r="M6" s="204" t="s">
        <v>613</v>
      </c>
      <c r="N6" s="204"/>
      <c r="O6" s="207"/>
      <c r="P6" s="207"/>
      <c r="Q6" s="207"/>
      <c r="R6" s="204"/>
      <c r="S6" s="207"/>
      <c r="T6" s="253"/>
      <c r="U6" s="208"/>
      <c r="V6" s="207"/>
      <c r="W6" s="207"/>
      <c r="X6" s="207"/>
      <c r="Y6" s="207"/>
      <c r="Z6" s="208"/>
      <c r="AA6" s="207"/>
      <c r="AB6" s="207"/>
      <c r="AC6" s="207"/>
      <c r="AD6" s="207"/>
      <c r="AE6" s="411"/>
    </row>
    <row r="7" spans="1:31" ht="35.25">
      <c r="A7" s="204">
        <v>5</v>
      </c>
      <c r="B7" s="204" t="s">
        <v>379</v>
      </c>
      <c r="C7" s="370">
        <v>45877</v>
      </c>
      <c r="D7" s="370">
        <v>45890</v>
      </c>
      <c r="E7" s="204" t="s">
        <v>608</v>
      </c>
      <c r="F7" s="204" t="s">
        <v>287</v>
      </c>
      <c r="G7" s="136">
        <v>49498</v>
      </c>
      <c r="H7" s="204" t="s">
        <v>614</v>
      </c>
      <c r="I7" s="371" t="s">
        <v>428</v>
      </c>
      <c r="J7" s="204">
        <v>8</v>
      </c>
      <c r="K7" s="204">
        <v>8</v>
      </c>
      <c r="L7" s="204">
        <v>41</v>
      </c>
      <c r="M7" s="208">
        <v>45877</v>
      </c>
      <c r="N7" s="204" t="s">
        <v>613</v>
      </c>
      <c r="O7" s="207" t="s">
        <v>13</v>
      </c>
      <c r="P7" s="207"/>
      <c r="Q7" s="207"/>
      <c r="R7" s="204" t="s">
        <v>275</v>
      </c>
      <c r="S7" s="207"/>
      <c r="T7" s="253" t="s">
        <v>615</v>
      </c>
      <c r="U7" s="208">
        <v>45890</v>
      </c>
      <c r="V7" s="207"/>
      <c r="W7" s="207"/>
      <c r="X7" s="207"/>
      <c r="Y7" s="207"/>
      <c r="Z7" s="208"/>
      <c r="AA7" s="207"/>
      <c r="AB7" s="207"/>
      <c r="AC7" s="207"/>
      <c r="AD7" s="364" t="s">
        <v>616</v>
      </c>
      <c r="AE7" s="411"/>
    </row>
  </sheetData>
  <dataValidations count="1">
    <dataValidation type="list" allowBlank="1" showInputMessage="1" showErrorMessage="1" sqref="AE2:AE7" xr:uid="{1A772A17-F021-4FD2-B430-BC2F21474128}">
      <formula1>"Exceeds Expectation, Meets Expectation, Needs improvements"</formula1>
    </dataValidation>
  </dataValidations>
  <hyperlinks>
    <hyperlink ref="T2" r:id="rId1" xr:uid="{C9E8FEFC-BF77-44CE-8B50-DB70B6FA1969}"/>
    <hyperlink ref="T4" r:id="rId2" xr:uid="{15539433-68A5-4371-AF9C-1F7031DEFF46}"/>
    <hyperlink ref="T3" r:id="rId3" xr:uid="{56C35929-13C4-4128-841C-ECF7FEAEDE0F}"/>
    <hyperlink ref="T7" r:id="rId4" xr:uid="{ADE36F53-FDCD-4A96-9EA8-22327C5CE9BC}"/>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2DA85CE9-0494-4263-AD5E-CD3A16FA83EA}">
          <x14:formula1>
            <xm:f>Settings!$C$3:$C$20</xm:f>
          </x14:formula1>
          <xm:sqref>I2:I7</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1274D-3068-4AB5-A4E1-9CECDF6810E0}">
  <sheetPr>
    <outlinePr summaryBelow="0" summaryRight="0"/>
  </sheetPr>
  <dimension ref="A1:AC964"/>
  <sheetViews>
    <sheetView topLeftCell="E1" workbookViewId="0">
      <selection activeCell="L2" sqref="L2"/>
    </sheetView>
  </sheetViews>
  <sheetFormatPr defaultColWidth="12.5703125" defaultRowHeight="15" customHeight="1"/>
  <cols>
    <col min="1" max="1" width="12.5703125" style="70" hidden="1" customWidth="1"/>
    <col min="2" max="2" width="20.5703125" style="70" customWidth="1"/>
    <col min="3" max="4" width="15.140625" style="48" customWidth="1"/>
    <col min="5" max="5" width="24.7109375" style="48" customWidth="1"/>
    <col min="6" max="6" width="16.5703125" style="70" customWidth="1"/>
    <col min="7" max="7" width="43" style="70" customWidth="1"/>
    <col min="8" max="8" width="15.5703125" style="48" customWidth="1"/>
    <col min="9" max="9" width="20" style="48" customWidth="1"/>
    <col min="10" max="10" width="13.28515625" style="48" customWidth="1"/>
    <col min="11" max="11" width="16.85546875" style="48" customWidth="1"/>
    <col min="12" max="12" width="19.28515625" style="48" customWidth="1"/>
    <col min="13" max="13" width="23.5703125" style="48" customWidth="1"/>
    <col min="14" max="14" width="56" style="48" customWidth="1"/>
    <col min="15" max="16384" width="12.5703125" style="70"/>
  </cols>
  <sheetData>
    <row r="1" spans="1:29" ht="21.75" customHeight="1">
      <c r="A1" s="422" t="s">
        <v>243</v>
      </c>
      <c r="B1" s="167" t="s">
        <v>11</v>
      </c>
      <c r="C1" s="167" t="s">
        <v>297</v>
      </c>
      <c r="D1" s="167" t="s">
        <v>298</v>
      </c>
      <c r="E1" s="167" t="s">
        <v>245</v>
      </c>
      <c r="F1" s="167" t="s">
        <v>299</v>
      </c>
      <c r="G1" s="167" t="s">
        <v>300</v>
      </c>
      <c r="H1" s="167" t="s">
        <v>301</v>
      </c>
      <c r="I1" s="167" t="s">
        <v>302</v>
      </c>
      <c r="J1" s="167" t="s">
        <v>303</v>
      </c>
      <c r="K1" s="167" t="s">
        <v>304</v>
      </c>
      <c r="L1" s="167" t="s">
        <v>248</v>
      </c>
      <c r="M1" s="423" t="s">
        <v>305</v>
      </c>
      <c r="N1" s="424" t="s">
        <v>306</v>
      </c>
      <c r="O1" s="425"/>
      <c r="P1" s="425"/>
      <c r="Q1" s="425"/>
      <c r="R1" s="425"/>
      <c r="S1" s="425"/>
      <c r="T1" s="425"/>
      <c r="U1" s="425"/>
      <c r="V1" s="425"/>
      <c r="W1" s="425"/>
      <c r="X1" s="425"/>
      <c r="Y1" s="425"/>
      <c r="Z1" s="425"/>
      <c r="AA1" s="425"/>
      <c r="AB1" s="425"/>
      <c r="AC1" s="425"/>
    </row>
    <row r="2" spans="1:29" ht="46.5" customHeight="1">
      <c r="B2" s="319" t="s">
        <v>147</v>
      </c>
      <c r="D2" s="83">
        <v>49499</v>
      </c>
      <c r="E2" s="83" t="s">
        <v>275</v>
      </c>
      <c r="F2" s="67" t="s">
        <v>375</v>
      </c>
      <c r="G2" s="429" t="s">
        <v>617</v>
      </c>
      <c r="H2" s="83" t="s">
        <v>335</v>
      </c>
      <c r="I2" s="83" t="s">
        <v>336</v>
      </c>
      <c r="J2" s="83" t="s">
        <v>311</v>
      </c>
      <c r="K2" s="83" t="s">
        <v>618</v>
      </c>
      <c r="L2" s="83" t="s">
        <v>619</v>
      </c>
      <c r="M2" s="83" t="s">
        <v>313</v>
      </c>
      <c r="N2" s="127" t="s">
        <v>620</v>
      </c>
    </row>
    <row r="3" spans="1:29" ht="15.75" customHeight="1">
      <c r="B3" s="67"/>
      <c r="C3" s="83"/>
      <c r="D3" s="83"/>
      <c r="E3" s="83"/>
      <c r="F3" s="67"/>
      <c r="G3" s="67"/>
      <c r="H3" s="83"/>
      <c r="I3" s="83"/>
      <c r="J3" s="83"/>
      <c r="K3" s="83"/>
      <c r="L3" s="83"/>
      <c r="M3" s="89"/>
      <c r="N3" s="83"/>
    </row>
    <row r="4" spans="1:29" ht="15.75" customHeight="1">
      <c r="B4" s="67"/>
      <c r="C4" s="83"/>
      <c r="D4" s="83"/>
      <c r="E4" s="83"/>
      <c r="F4" s="67"/>
      <c r="G4" s="67"/>
      <c r="H4" s="83"/>
      <c r="I4" s="83"/>
      <c r="J4" s="83"/>
      <c r="K4" s="83"/>
      <c r="L4" s="83"/>
      <c r="M4" s="89"/>
      <c r="N4" s="83"/>
    </row>
    <row r="5" spans="1:29" ht="15.75" customHeight="1">
      <c r="B5" s="67"/>
      <c r="C5" s="83"/>
      <c r="D5" s="83"/>
      <c r="E5" s="83"/>
      <c r="F5" s="67"/>
      <c r="G5" s="67"/>
      <c r="H5" s="83"/>
      <c r="I5" s="83"/>
      <c r="J5" s="83"/>
      <c r="K5" s="83"/>
      <c r="L5" s="83"/>
      <c r="M5" s="89"/>
      <c r="N5" s="83"/>
    </row>
    <row r="6" spans="1:29" ht="15.75" customHeight="1">
      <c r="B6" s="67"/>
      <c r="C6" s="83"/>
      <c r="D6" s="83"/>
      <c r="E6" s="83"/>
      <c r="F6" s="67"/>
      <c r="G6" s="67"/>
      <c r="H6" s="83"/>
      <c r="I6" s="83"/>
      <c r="J6" s="83"/>
      <c r="K6" s="83"/>
      <c r="L6" s="83"/>
      <c r="M6" s="89"/>
      <c r="N6" s="83"/>
    </row>
    <row r="7" spans="1:29" ht="15.75" customHeight="1">
      <c r="B7" s="67"/>
      <c r="C7" s="83"/>
      <c r="D7" s="83"/>
      <c r="E7" s="83"/>
      <c r="F7" s="67"/>
      <c r="G7" s="67"/>
      <c r="H7" s="83"/>
      <c r="I7" s="83"/>
      <c r="J7" s="83"/>
      <c r="K7" s="83"/>
      <c r="L7" s="83"/>
      <c r="M7" s="89"/>
      <c r="N7" s="83"/>
    </row>
    <row r="8" spans="1:29" ht="15.75" customHeight="1">
      <c r="B8" s="67"/>
      <c r="C8" s="83"/>
      <c r="D8" s="83"/>
      <c r="E8" s="83"/>
      <c r="F8" s="67"/>
      <c r="G8" s="67"/>
      <c r="H8" s="83"/>
      <c r="I8" s="83"/>
      <c r="J8" s="83"/>
      <c r="K8" s="83"/>
      <c r="L8" s="83"/>
      <c r="M8" s="89"/>
      <c r="N8" s="83"/>
    </row>
    <row r="9" spans="1:29" ht="15.75" customHeight="1">
      <c r="B9" s="67"/>
      <c r="C9" s="83"/>
      <c r="D9" s="83"/>
      <c r="E9" s="83"/>
      <c r="F9" s="67"/>
      <c r="G9" s="67"/>
      <c r="H9" s="83"/>
      <c r="I9" s="83"/>
      <c r="J9" s="83"/>
      <c r="K9" s="83"/>
      <c r="L9" s="83"/>
      <c r="M9" s="89"/>
      <c r="N9" s="83"/>
    </row>
    <row r="10" spans="1:29" ht="15.75" customHeight="1">
      <c r="B10" s="67"/>
      <c r="C10" s="83"/>
      <c r="D10" s="83"/>
      <c r="E10" s="83"/>
      <c r="F10" s="67"/>
      <c r="G10" s="67"/>
      <c r="H10" s="83"/>
      <c r="I10" s="83"/>
      <c r="J10" s="83"/>
      <c r="K10" s="83"/>
      <c r="L10" s="83"/>
      <c r="M10" s="89"/>
      <c r="N10" s="83"/>
    </row>
    <row r="11" spans="1:29" ht="15.75" customHeight="1">
      <c r="B11" s="67"/>
      <c r="C11" s="83"/>
      <c r="D11" s="83"/>
      <c r="E11" s="83"/>
      <c r="F11" s="67"/>
      <c r="G11" s="67"/>
      <c r="H11" s="83"/>
      <c r="I11" s="83"/>
      <c r="J11" s="83"/>
      <c r="K11" s="83"/>
      <c r="L11" s="83"/>
      <c r="M11" s="89"/>
      <c r="N11" s="83"/>
    </row>
    <row r="12" spans="1:29" ht="15.75" customHeight="1"/>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autoFilter ref="A1:N1" xr:uid="{3A2BB050-11AC-4ED7-A296-96B42C7FCFBA}"/>
  <pageMargins left="0" right="0" top="0" bottom="0" header="0" footer="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614C-53FD-40F3-8744-3D463E576C27}">
  <dimension ref="A1:AE5"/>
  <sheetViews>
    <sheetView workbookViewId="0">
      <selection activeCell="H4" sqref="H4"/>
    </sheetView>
  </sheetViews>
  <sheetFormatPr defaultRowHeight="12.75"/>
  <cols>
    <col min="1" max="1" width="7.7109375" style="133" bestFit="1" customWidth="1"/>
    <col min="2" max="2" width="18" style="133" customWidth="1"/>
    <col min="3" max="3" width="18.140625" style="133" customWidth="1"/>
    <col min="4" max="4" width="15.85546875" style="133" customWidth="1"/>
    <col min="5" max="5" width="29.140625" style="133" customWidth="1"/>
    <col min="6" max="6" width="19" style="133" customWidth="1"/>
    <col min="7" max="7" width="15.28515625" style="133" customWidth="1"/>
    <col min="8" max="8" width="46.42578125" style="168" customWidth="1"/>
    <col min="9" max="9" width="20.85546875" style="133" customWidth="1"/>
    <col min="10" max="10" width="10.42578125" style="133" customWidth="1"/>
    <col min="11" max="11" width="9" style="133" customWidth="1"/>
    <col min="12" max="14" width="10.28515625" style="133" customWidth="1"/>
    <col min="15" max="15" width="11.42578125" style="168" customWidth="1"/>
    <col min="16" max="16" width="12.5703125" style="168" customWidth="1"/>
    <col min="17" max="17" width="26.7109375" style="168" customWidth="1"/>
    <col min="18" max="18" width="12.42578125" style="133" customWidth="1"/>
    <col min="19" max="19" width="26.28515625" style="168" customWidth="1"/>
    <col min="20" max="20" width="45.5703125" style="168" customWidth="1"/>
    <col min="21" max="22" width="13.42578125" style="168" bestFit="1" customWidth="1"/>
    <col min="23" max="23" width="11.42578125" style="168" bestFit="1" customWidth="1"/>
    <col min="24" max="24" width="11.42578125" style="178" bestFit="1" customWidth="1"/>
    <col min="25" max="25" width="11.42578125" style="168" bestFit="1" customWidth="1"/>
    <col min="26" max="26" width="13.42578125" style="168" bestFit="1" customWidth="1"/>
    <col min="27" max="27" width="11.42578125" style="168" bestFit="1" customWidth="1"/>
    <col min="28" max="28" width="20.5703125" style="168" customWidth="1"/>
    <col min="29" max="29" width="69.85546875" style="168" customWidth="1"/>
    <col min="30" max="30" width="69.28515625" style="168" customWidth="1"/>
    <col min="31" max="31" width="33.5703125" style="168" customWidth="1"/>
    <col min="32" max="16384" width="9.140625" style="168"/>
  </cols>
  <sheetData>
    <row r="1" spans="1:31" ht="46.5">
      <c r="A1" s="274" t="s">
        <v>243</v>
      </c>
      <c r="B1" s="167" t="s">
        <v>4</v>
      </c>
      <c r="C1" s="167" t="s">
        <v>2</v>
      </c>
      <c r="D1" s="167" t="s">
        <v>3</v>
      </c>
      <c r="E1" s="275" t="s">
        <v>244</v>
      </c>
      <c r="F1" s="275" t="s">
        <v>245</v>
      </c>
      <c r="G1" s="275" t="s">
        <v>246</v>
      </c>
      <c r="H1" s="276" t="s">
        <v>247</v>
      </c>
      <c r="I1" s="275" t="s">
        <v>248</v>
      </c>
      <c r="J1" s="167" t="s">
        <v>249</v>
      </c>
      <c r="K1" s="167" t="s">
        <v>250</v>
      </c>
      <c r="L1" s="167" t="s">
        <v>251</v>
      </c>
      <c r="M1" s="275" t="s">
        <v>252</v>
      </c>
      <c r="N1" s="275" t="s">
        <v>253</v>
      </c>
      <c r="O1" s="276" t="s">
        <v>254</v>
      </c>
      <c r="P1" s="276" t="s">
        <v>255</v>
      </c>
      <c r="Q1" s="276" t="s">
        <v>256</v>
      </c>
      <c r="R1" s="275" t="s">
        <v>257</v>
      </c>
      <c r="S1" s="276" t="s">
        <v>258</v>
      </c>
      <c r="T1" s="276" t="s">
        <v>259</v>
      </c>
      <c r="U1" s="276" t="s">
        <v>260</v>
      </c>
      <c r="V1" s="276" t="s">
        <v>261</v>
      </c>
      <c r="W1" s="276" t="s">
        <v>262</v>
      </c>
      <c r="X1" s="276" t="s">
        <v>263</v>
      </c>
      <c r="Y1" s="276" t="s">
        <v>264</v>
      </c>
      <c r="Z1" s="276" t="s">
        <v>265</v>
      </c>
      <c r="AA1" s="276" t="s">
        <v>266</v>
      </c>
      <c r="AB1" s="276" t="s">
        <v>267</v>
      </c>
      <c r="AC1" s="276" t="s">
        <v>268</v>
      </c>
      <c r="AD1" s="277" t="s">
        <v>269</v>
      </c>
      <c r="AE1" s="276" t="s">
        <v>270</v>
      </c>
    </row>
    <row r="2" spans="1:31" ht="33.75" customHeight="1">
      <c r="A2" s="204">
        <v>1</v>
      </c>
      <c r="B2" s="193" t="s">
        <v>379</v>
      </c>
      <c r="C2" s="313">
        <v>45863</v>
      </c>
      <c r="D2" s="313">
        <v>45876</v>
      </c>
      <c r="E2" s="5" t="s">
        <v>143</v>
      </c>
      <c r="F2" s="193" t="s">
        <v>275</v>
      </c>
      <c r="G2" s="46" t="s">
        <v>621</v>
      </c>
      <c r="H2" s="299" t="s">
        <v>622</v>
      </c>
      <c r="I2" s="299" t="s">
        <v>381</v>
      </c>
      <c r="J2" s="204">
        <v>5</v>
      </c>
      <c r="K2" s="204">
        <v>5</v>
      </c>
      <c r="L2" s="204">
        <v>20</v>
      </c>
      <c r="M2" s="208">
        <v>45866</v>
      </c>
      <c r="N2" s="208">
        <v>45873</v>
      </c>
      <c r="O2" s="207" t="s">
        <v>13</v>
      </c>
      <c r="P2" s="207" t="s">
        <v>623</v>
      </c>
      <c r="Q2" s="207"/>
      <c r="R2" s="204"/>
      <c r="S2" s="207"/>
      <c r="T2" s="106" t="s">
        <v>624</v>
      </c>
      <c r="U2" s="259">
        <v>45875</v>
      </c>
      <c r="V2" s="208">
        <v>45875</v>
      </c>
      <c r="W2" s="207" t="s">
        <v>287</v>
      </c>
      <c r="X2" s="207"/>
      <c r="Y2" s="207" t="s">
        <v>466</v>
      </c>
      <c r="Z2" s="208">
        <v>45875</v>
      </c>
      <c r="AA2" s="207"/>
      <c r="AB2" s="207"/>
      <c r="AC2" s="207"/>
      <c r="AD2" s="207" t="s">
        <v>625</v>
      </c>
      <c r="AE2" s="194" t="s">
        <v>481</v>
      </c>
    </row>
    <row r="3" spans="1:31" ht="109.5" customHeight="1">
      <c r="A3" s="204">
        <v>2</v>
      </c>
      <c r="B3" s="193" t="s">
        <v>379</v>
      </c>
      <c r="C3" s="313">
        <v>45863</v>
      </c>
      <c r="D3" s="313">
        <v>45876</v>
      </c>
      <c r="E3" s="5" t="s">
        <v>626</v>
      </c>
      <c r="F3" s="204" t="s">
        <v>272</v>
      </c>
      <c r="G3" s="136">
        <v>49360</v>
      </c>
      <c r="H3" s="371" t="s">
        <v>627</v>
      </c>
      <c r="I3" s="299" t="s">
        <v>274</v>
      </c>
      <c r="J3" s="204">
        <v>5</v>
      </c>
      <c r="K3" s="204">
        <v>8</v>
      </c>
      <c r="L3" s="204">
        <v>35</v>
      </c>
      <c r="M3" s="208">
        <v>45868</v>
      </c>
      <c r="N3" s="204"/>
      <c r="O3" s="207" t="s">
        <v>628</v>
      </c>
      <c r="P3" s="207"/>
      <c r="Q3" s="207"/>
      <c r="R3" s="204"/>
      <c r="S3" s="207"/>
      <c r="T3" s="253"/>
      <c r="U3" s="208"/>
      <c r="V3" s="207"/>
      <c r="W3" s="207"/>
      <c r="X3" s="207"/>
      <c r="Y3" s="207"/>
      <c r="Z3" s="208"/>
      <c r="AA3" s="207"/>
      <c r="AB3" s="207"/>
      <c r="AC3" s="207"/>
      <c r="AD3" s="207" t="s">
        <v>629</v>
      </c>
      <c r="AE3" s="411"/>
    </row>
    <row r="4" spans="1:31" ht="36" customHeight="1">
      <c r="A4" s="204">
        <v>3</v>
      </c>
      <c r="B4" s="193" t="s">
        <v>379</v>
      </c>
      <c r="C4" s="313">
        <v>45863</v>
      </c>
      <c r="D4" s="313">
        <v>45876</v>
      </c>
      <c r="E4" s="5" t="s">
        <v>626</v>
      </c>
      <c r="F4" s="204" t="s">
        <v>417</v>
      </c>
      <c r="G4" s="136">
        <v>49143</v>
      </c>
      <c r="H4" s="371" t="s">
        <v>630</v>
      </c>
      <c r="I4" s="299" t="s">
        <v>381</v>
      </c>
      <c r="J4" s="204">
        <v>5</v>
      </c>
      <c r="K4" s="204">
        <v>9</v>
      </c>
      <c r="L4" s="204">
        <v>43</v>
      </c>
      <c r="M4" s="208">
        <v>45868</v>
      </c>
      <c r="N4" s="370">
        <v>45876</v>
      </c>
      <c r="O4" s="207" t="s">
        <v>13</v>
      </c>
      <c r="P4" s="207" t="s">
        <v>275</v>
      </c>
      <c r="Q4" s="207"/>
      <c r="R4" s="204" t="s">
        <v>275</v>
      </c>
      <c r="S4" s="207"/>
      <c r="T4" s="253" t="s">
        <v>631</v>
      </c>
      <c r="U4" s="208">
        <v>45875</v>
      </c>
      <c r="V4" s="208">
        <v>45876</v>
      </c>
      <c r="W4" s="207" t="s">
        <v>287</v>
      </c>
      <c r="X4" s="207"/>
      <c r="Y4" s="207" t="s">
        <v>466</v>
      </c>
      <c r="Z4" s="208">
        <v>45876</v>
      </c>
      <c r="AA4" s="207"/>
      <c r="AB4" s="207"/>
      <c r="AC4" s="207"/>
      <c r="AD4" s="207" t="s">
        <v>625</v>
      </c>
      <c r="AE4" s="411" t="s">
        <v>481</v>
      </c>
    </row>
    <row r="5" spans="1:31" ht="33.75" customHeight="1">
      <c r="A5" s="204">
        <v>4</v>
      </c>
      <c r="B5" s="193" t="s">
        <v>379</v>
      </c>
      <c r="C5" s="313">
        <v>45863</v>
      </c>
      <c r="D5" s="313">
        <v>45876</v>
      </c>
      <c r="E5" s="5" t="s">
        <v>143</v>
      </c>
      <c r="F5" s="204" t="s">
        <v>287</v>
      </c>
      <c r="G5" s="136">
        <v>25291</v>
      </c>
      <c r="H5" s="371" t="s">
        <v>632</v>
      </c>
      <c r="I5" s="427" t="s">
        <v>295</v>
      </c>
      <c r="J5" s="204">
        <v>2</v>
      </c>
      <c r="K5" s="204">
        <v>2</v>
      </c>
      <c r="L5" s="204">
        <v>3</v>
      </c>
      <c r="M5" s="208">
        <v>45863</v>
      </c>
      <c r="N5" s="370">
        <v>45867</v>
      </c>
      <c r="O5" s="207" t="s">
        <v>13</v>
      </c>
      <c r="P5" s="207" t="s">
        <v>272</v>
      </c>
      <c r="Q5" s="207"/>
      <c r="R5" s="204"/>
      <c r="S5" s="207"/>
      <c r="T5" s="253" t="s">
        <v>633</v>
      </c>
      <c r="U5" s="208">
        <v>45867</v>
      </c>
      <c r="V5" s="208">
        <v>45867</v>
      </c>
      <c r="W5" s="207" t="s">
        <v>287</v>
      </c>
      <c r="X5" s="207"/>
      <c r="Y5" s="207" t="s">
        <v>441</v>
      </c>
      <c r="Z5" s="208">
        <v>45867</v>
      </c>
      <c r="AA5" s="207"/>
      <c r="AB5" s="207"/>
      <c r="AC5" s="207"/>
      <c r="AD5" s="207"/>
      <c r="AE5" s="411" t="s">
        <v>481</v>
      </c>
    </row>
  </sheetData>
  <dataValidations count="1">
    <dataValidation type="list" allowBlank="1" showInputMessage="1" showErrorMessage="1" sqref="AE2:AE5" xr:uid="{96894E97-9082-49A3-B5FF-1D8E72DDB9EB}">
      <formula1>"Exceeds Expectation, Meets Expectation, Needs improvements"</formula1>
    </dataValidation>
  </dataValidations>
  <hyperlinks>
    <hyperlink ref="T2" r:id="rId1" xr:uid="{CF9B3C6A-7A85-40FB-8011-2FB3BE469894}"/>
    <hyperlink ref="T4" r:id="rId2" xr:uid="{AF90F986-CF85-4E0D-8E1D-624694AEC694}"/>
    <hyperlink ref="T5" r:id="rId3" xr:uid="{394243C1-51A4-4BA3-8363-C348543C48C6}"/>
    <hyperlink ref="H5" r:id="rId4" display="Pull Request 43660: [AXOD: 25291] Meal Orders - Admin - Order Mgmt. - Closing receipt print template modal prompts close of receipt printing" xr:uid="{794683D4-9DAB-405D-B38D-7A73BDC3504C}"/>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C793DA81-D00A-4659-A0AD-D562F960BC0D}">
          <x14:formula1>
            <xm:f>Settings!$C$3:$C$20</xm:f>
          </x14:formula1>
          <xm:sqref>I2:I5</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263A2-3D7B-4CC2-8746-96B9F22FCA90}">
  <sheetPr>
    <outlinePr summaryBelow="0" summaryRight="0"/>
  </sheetPr>
  <dimension ref="A1:AC964"/>
  <sheetViews>
    <sheetView topLeftCell="B1" workbookViewId="0">
      <selection activeCell="E9" sqref="E9"/>
    </sheetView>
  </sheetViews>
  <sheetFormatPr defaultColWidth="12.5703125" defaultRowHeight="15" customHeight="1"/>
  <cols>
    <col min="1" max="1" width="12.5703125" style="70" hidden="1" customWidth="1"/>
    <col min="2" max="2" width="20.5703125" style="70" customWidth="1"/>
    <col min="3" max="4" width="15.140625" style="48" customWidth="1"/>
    <col min="5" max="5" width="24.7109375" style="48" customWidth="1"/>
    <col min="6" max="6" width="16.5703125" style="70" customWidth="1"/>
    <col min="7" max="7" width="43" style="70" customWidth="1"/>
    <col min="8" max="8" width="15.5703125" style="48" customWidth="1"/>
    <col min="9" max="9" width="20" style="48" customWidth="1"/>
    <col min="10" max="10" width="13.28515625" style="48" customWidth="1"/>
    <col min="11" max="11" width="16.85546875" style="48" customWidth="1"/>
    <col min="12" max="12" width="19.28515625" style="48" customWidth="1"/>
    <col min="13" max="13" width="23.5703125" style="48" customWidth="1"/>
    <col min="14" max="14" width="56" style="48" customWidth="1"/>
    <col min="15" max="16384" width="12.5703125" style="70"/>
  </cols>
  <sheetData>
    <row r="1" spans="1:29" ht="21.75" customHeight="1">
      <c r="A1" s="422" t="s">
        <v>243</v>
      </c>
      <c r="B1" s="167" t="s">
        <v>11</v>
      </c>
      <c r="C1" s="167" t="s">
        <v>297</v>
      </c>
      <c r="D1" s="167" t="s">
        <v>298</v>
      </c>
      <c r="E1" s="167" t="s">
        <v>245</v>
      </c>
      <c r="F1" s="167" t="s">
        <v>299</v>
      </c>
      <c r="G1" s="167" t="s">
        <v>300</v>
      </c>
      <c r="H1" s="167" t="s">
        <v>301</v>
      </c>
      <c r="I1" s="167" t="s">
        <v>302</v>
      </c>
      <c r="J1" s="167" t="s">
        <v>303</v>
      </c>
      <c r="K1" s="167" t="s">
        <v>304</v>
      </c>
      <c r="L1" s="167" t="s">
        <v>248</v>
      </c>
      <c r="M1" s="423" t="s">
        <v>305</v>
      </c>
      <c r="N1" s="424" t="s">
        <v>306</v>
      </c>
      <c r="O1" s="425"/>
      <c r="P1" s="425"/>
      <c r="Q1" s="425"/>
      <c r="R1" s="425"/>
      <c r="S1" s="425"/>
      <c r="T1" s="425"/>
      <c r="U1" s="425"/>
      <c r="V1" s="425"/>
      <c r="W1" s="425"/>
      <c r="X1" s="425"/>
      <c r="Y1" s="425"/>
      <c r="Z1" s="425"/>
      <c r="AA1" s="425"/>
      <c r="AB1" s="425"/>
      <c r="AC1" s="425"/>
    </row>
    <row r="2" spans="1:29" ht="15.75" customHeight="1">
      <c r="B2" s="67"/>
      <c r="C2" s="83"/>
      <c r="D2" s="83"/>
      <c r="E2" s="83"/>
      <c r="F2" s="67"/>
      <c r="G2" s="67"/>
      <c r="H2" s="83"/>
      <c r="I2" s="83"/>
      <c r="J2" s="83"/>
      <c r="K2" s="83"/>
      <c r="L2" s="83"/>
      <c r="M2" s="89"/>
      <c r="N2" s="83"/>
    </row>
    <row r="3" spans="1:29" ht="15.75" customHeight="1">
      <c r="B3" s="67"/>
      <c r="C3" s="83"/>
      <c r="D3" s="83"/>
      <c r="E3" s="83"/>
      <c r="F3" s="67"/>
      <c r="G3" s="67"/>
      <c r="H3" s="83"/>
      <c r="I3" s="83"/>
      <c r="J3" s="83"/>
      <c r="K3" s="83"/>
      <c r="L3" s="83"/>
      <c r="M3" s="89"/>
      <c r="N3" s="83"/>
    </row>
    <row r="4" spans="1:29" ht="15.75" customHeight="1">
      <c r="B4" s="67"/>
      <c r="C4" s="83"/>
      <c r="D4" s="83"/>
      <c r="E4" s="83"/>
      <c r="F4" s="67"/>
      <c r="G4" s="67"/>
      <c r="H4" s="83"/>
      <c r="I4" s="83"/>
      <c r="J4" s="83"/>
      <c r="K4" s="83"/>
      <c r="L4" s="83"/>
      <c r="M4" s="89"/>
      <c r="N4" s="83"/>
    </row>
    <row r="5" spans="1:29" ht="15.75" customHeight="1">
      <c r="B5" s="67"/>
      <c r="C5" s="83"/>
      <c r="D5" s="83"/>
      <c r="E5" s="83"/>
      <c r="F5" s="67"/>
      <c r="G5" s="67"/>
      <c r="H5" s="83"/>
      <c r="I5" s="83"/>
      <c r="J5" s="83"/>
      <c r="K5" s="83"/>
      <c r="L5" s="83"/>
      <c r="M5" s="89"/>
      <c r="N5" s="83"/>
    </row>
    <row r="6" spans="1:29" ht="15.75" customHeight="1">
      <c r="B6" s="67"/>
      <c r="C6" s="83"/>
      <c r="D6" s="83"/>
      <c r="E6" s="83"/>
      <c r="F6" s="67"/>
      <c r="G6" s="67"/>
      <c r="H6" s="83"/>
      <c r="I6" s="83"/>
      <c r="J6" s="83"/>
      <c r="K6" s="83"/>
      <c r="L6" s="83"/>
      <c r="M6" s="89"/>
      <c r="N6" s="83"/>
    </row>
    <row r="7" spans="1:29" ht="15.75" customHeight="1">
      <c r="B7" s="67"/>
      <c r="C7" s="83"/>
      <c r="D7" s="83"/>
      <c r="E7" s="83"/>
      <c r="F7" s="67"/>
      <c r="G7" s="67"/>
      <c r="H7" s="83"/>
      <c r="I7" s="83"/>
      <c r="J7" s="83"/>
      <c r="K7" s="83"/>
      <c r="L7" s="83"/>
      <c r="M7" s="89"/>
      <c r="N7" s="83"/>
    </row>
    <row r="8" spans="1:29" ht="15.75" customHeight="1">
      <c r="B8" s="67"/>
      <c r="C8" s="83"/>
      <c r="D8" s="83"/>
      <c r="E8" s="83"/>
      <c r="F8" s="67"/>
      <c r="G8" s="67"/>
      <c r="H8" s="83"/>
      <c r="I8" s="83"/>
      <c r="J8" s="83"/>
      <c r="K8" s="83"/>
      <c r="L8" s="83"/>
      <c r="M8" s="89"/>
      <c r="N8" s="83"/>
    </row>
    <row r="9" spans="1:29" ht="15.75" customHeight="1">
      <c r="B9" s="67"/>
      <c r="C9" s="83"/>
      <c r="D9" s="83"/>
      <c r="E9" s="83"/>
      <c r="F9" s="67"/>
      <c r="G9" s="67"/>
      <c r="H9" s="83"/>
      <c r="I9" s="83"/>
      <c r="J9" s="83"/>
      <c r="K9" s="83"/>
      <c r="L9" s="83"/>
      <c r="M9" s="89"/>
      <c r="N9" s="83"/>
    </row>
    <row r="10" spans="1:29" ht="15.75" customHeight="1">
      <c r="B10" s="67"/>
      <c r="C10" s="83"/>
      <c r="D10" s="83"/>
      <c r="E10" s="83"/>
      <c r="F10" s="67"/>
      <c r="G10" s="67"/>
      <c r="H10" s="83"/>
      <c r="I10" s="83"/>
      <c r="J10" s="83"/>
      <c r="K10" s="83"/>
      <c r="L10" s="83"/>
      <c r="M10" s="89"/>
      <c r="N10" s="83"/>
    </row>
    <row r="11" spans="1:29" ht="15.75" customHeight="1">
      <c r="B11" s="67"/>
      <c r="C11" s="83"/>
      <c r="D11" s="83"/>
      <c r="E11" s="83"/>
      <c r="F11" s="67"/>
      <c r="G11" s="67"/>
      <c r="H11" s="83"/>
      <c r="I11" s="83"/>
      <c r="J11" s="83"/>
      <c r="K11" s="83"/>
      <c r="L11" s="83"/>
      <c r="M11" s="89"/>
      <c r="N11" s="83"/>
    </row>
    <row r="12" spans="1:29" ht="15.75" customHeight="1"/>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autoFilter ref="A1:N1" xr:uid="{3A2BB050-11AC-4ED7-A296-96B42C7FCFBA}"/>
  <pageMargins left="0" right="0" top="0" bottom="0" header="0" footer="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F3781-E261-44C4-995A-7A21E0A95EA3}">
  <dimension ref="A1:AE8"/>
  <sheetViews>
    <sheetView workbookViewId="0">
      <selection activeCell="H2" sqref="H2:H8"/>
    </sheetView>
  </sheetViews>
  <sheetFormatPr defaultRowHeight="12.75"/>
  <cols>
    <col min="1" max="1" width="7.7109375" style="133" bestFit="1" customWidth="1"/>
    <col min="2" max="2" width="18" style="133" customWidth="1"/>
    <col min="3" max="3" width="18.140625" style="133" customWidth="1"/>
    <col min="4" max="4" width="15.85546875" style="133" customWidth="1"/>
    <col min="5" max="5" width="29.140625" style="133" customWidth="1"/>
    <col min="6" max="6" width="19" style="133" customWidth="1"/>
    <col min="7" max="7" width="15.28515625" style="133" customWidth="1"/>
    <col min="8" max="8" width="49.5703125" style="168" customWidth="1"/>
    <col min="9" max="9" width="20.85546875" style="133" customWidth="1"/>
    <col min="10" max="10" width="10.42578125" style="133" customWidth="1"/>
    <col min="11" max="11" width="9" style="133" customWidth="1"/>
    <col min="12" max="14" width="10.28515625" style="133" customWidth="1"/>
    <col min="15" max="15" width="11.42578125" style="168" customWidth="1"/>
    <col min="16" max="16" width="12.5703125" style="168" customWidth="1"/>
    <col min="17" max="17" width="26.7109375" style="168" customWidth="1"/>
    <col min="18" max="18" width="12.42578125" style="133" customWidth="1"/>
    <col min="19" max="19" width="26.28515625" style="168" customWidth="1"/>
    <col min="20" max="20" width="45.5703125" style="168" customWidth="1"/>
    <col min="21" max="22" width="13.42578125" style="168" bestFit="1" customWidth="1"/>
    <col min="23" max="23" width="11.42578125" style="168" bestFit="1" customWidth="1"/>
    <col min="24" max="24" width="11.42578125" style="178" bestFit="1" customWidth="1"/>
    <col min="25" max="25" width="11.42578125" style="168" bestFit="1" customWidth="1"/>
    <col min="26" max="26" width="13.42578125" style="168" bestFit="1" customWidth="1"/>
    <col min="27" max="27" width="11.42578125" style="168" bestFit="1" customWidth="1"/>
    <col min="28" max="28" width="20.5703125" style="168" customWidth="1"/>
    <col min="29" max="29" width="69.85546875" style="168" customWidth="1"/>
    <col min="30" max="30" width="50.5703125" style="168" customWidth="1"/>
    <col min="31" max="31" width="33.5703125" style="168" customWidth="1"/>
    <col min="32" max="16384" width="9.140625" style="168"/>
  </cols>
  <sheetData>
    <row r="1" spans="1:31" ht="46.5">
      <c r="A1" s="274" t="s">
        <v>243</v>
      </c>
      <c r="B1" s="167" t="s">
        <v>4</v>
      </c>
      <c r="C1" s="167" t="s">
        <v>2</v>
      </c>
      <c r="D1" s="167" t="s">
        <v>3</v>
      </c>
      <c r="E1" s="275" t="s">
        <v>244</v>
      </c>
      <c r="F1" s="275" t="s">
        <v>245</v>
      </c>
      <c r="G1" s="275" t="s">
        <v>246</v>
      </c>
      <c r="H1" s="276" t="s">
        <v>247</v>
      </c>
      <c r="I1" s="275" t="s">
        <v>248</v>
      </c>
      <c r="J1" s="167" t="s">
        <v>249</v>
      </c>
      <c r="K1" s="167" t="s">
        <v>250</v>
      </c>
      <c r="L1" s="167" t="s">
        <v>251</v>
      </c>
      <c r="M1" s="275" t="s">
        <v>252</v>
      </c>
      <c r="N1" s="275" t="s">
        <v>253</v>
      </c>
      <c r="O1" s="276" t="s">
        <v>254</v>
      </c>
      <c r="P1" s="276" t="s">
        <v>255</v>
      </c>
      <c r="Q1" s="276" t="s">
        <v>256</v>
      </c>
      <c r="R1" s="275" t="s">
        <v>257</v>
      </c>
      <c r="S1" s="276" t="s">
        <v>258</v>
      </c>
      <c r="T1" s="276" t="s">
        <v>259</v>
      </c>
      <c r="U1" s="276" t="s">
        <v>260</v>
      </c>
      <c r="V1" s="276" t="s">
        <v>261</v>
      </c>
      <c r="W1" s="276" t="s">
        <v>262</v>
      </c>
      <c r="X1" s="276" t="s">
        <v>263</v>
      </c>
      <c r="Y1" s="276" t="s">
        <v>264</v>
      </c>
      <c r="Z1" s="276" t="s">
        <v>265</v>
      </c>
      <c r="AA1" s="276" t="s">
        <v>266</v>
      </c>
      <c r="AB1" s="276" t="s">
        <v>267</v>
      </c>
      <c r="AC1" s="276" t="s">
        <v>268</v>
      </c>
      <c r="AD1" s="277" t="s">
        <v>269</v>
      </c>
      <c r="AE1" s="276" t="s">
        <v>270</v>
      </c>
    </row>
    <row r="2" spans="1:31" ht="26.25" customHeight="1">
      <c r="A2" s="204">
        <v>1</v>
      </c>
      <c r="B2" s="193" t="s">
        <v>379</v>
      </c>
      <c r="C2" s="313">
        <v>45849</v>
      </c>
      <c r="D2" s="313">
        <v>45862</v>
      </c>
      <c r="E2" s="5" t="s">
        <v>139</v>
      </c>
      <c r="F2" s="193" t="s">
        <v>275</v>
      </c>
      <c r="G2" s="46">
        <v>48732</v>
      </c>
      <c r="H2" s="299" t="s">
        <v>622</v>
      </c>
      <c r="I2" s="421" t="s">
        <v>280</v>
      </c>
      <c r="J2" s="204">
        <v>3</v>
      </c>
      <c r="K2" s="204">
        <v>3</v>
      </c>
      <c r="L2" s="204">
        <v>10</v>
      </c>
      <c r="M2" s="208">
        <v>45855</v>
      </c>
      <c r="N2" s="208">
        <v>45859</v>
      </c>
      <c r="O2" s="207" t="s">
        <v>13</v>
      </c>
      <c r="P2" s="207" t="s">
        <v>634</v>
      </c>
      <c r="Q2" s="207"/>
      <c r="R2" s="204" t="s">
        <v>634</v>
      </c>
      <c r="S2" s="207"/>
      <c r="T2" s="106" t="s">
        <v>635</v>
      </c>
      <c r="U2" s="259">
        <v>45859</v>
      </c>
      <c r="V2" s="208">
        <v>45860</v>
      </c>
      <c r="W2" s="207" t="s">
        <v>287</v>
      </c>
      <c r="X2" s="207"/>
      <c r="Y2" s="207" t="s">
        <v>466</v>
      </c>
      <c r="Z2" s="208">
        <v>45860</v>
      </c>
      <c r="AA2" s="207"/>
      <c r="AB2" s="207"/>
      <c r="AC2" s="207"/>
      <c r="AD2" s="207" t="s">
        <v>636</v>
      </c>
      <c r="AE2" s="194" t="s">
        <v>481</v>
      </c>
    </row>
    <row r="3" spans="1:31" ht="26.25" customHeight="1">
      <c r="A3" s="204">
        <v>2</v>
      </c>
      <c r="B3" s="193" t="s">
        <v>379</v>
      </c>
      <c r="C3" s="313">
        <v>45849</v>
      </c>
      <c r="D3" s="313">
        <v>45862</v>
      </c>
      <c r="E3" s="5" t="s">
        <v>139</v>
      </c>
      <c r="F3" s="204" t="s">
        <v>272</v>
      </c>
      <c r="G3" s="136">
        <v>49162</v>
      </c>
      <c r="H3" s="371" t="s">
        <v>637</v>
      </c>
      <c r="I3" s="421" t="s">
        <v>280</v>
      </c>
      <c r="J3" s="204">
        <v>5</v>
      </c>
      <c r="K3" s="204">
        <v>5</v>
      </c>
      <c r="L3" s="204">
        <v>20</v>
      </c>
      <c r="M3" s="204" t="s">
        <v>448</v>
      </c>
      <c r="N3" s="204" t="s">
        <v>448</v>
      </c>
      <c r="O3" s="204" t="s">
        <v>448</v>
      </c>
      <c r="P3" s="207"/>
      <c r="Q3" s="207"/>
      <c r="R3" s="204"/>
      <c r="S3" s="207"/>
      <c r="T3" s="253"/>
      <c r="U3" s="208"/>
      <c r="V3" s="207"/>
      <c r="W3" s="207"/>
      <c r="X3" s="207"/>
      <c r="Y3" s="207"/>
      <c r="Z3" s="208"/>
      <c r="AA3" s="207"/>
      <c r="AB3" s="207"/>
      <c r="AC3" s="207"/>
      <c r="AD3" s="207"/>
      <c r="AE3" s="411"/>
    </row>
    <row r="4" spans="1:31" ht="35.25">
      <c r="A4" s="204">
        <v>3</v>
      </c>
      <c r="B4" s="204" t="s">
        <v>379</v>
      </c>
      <c r="C4" s="370">
        <v>45849</v>
      </c>
      <c r="D4" s="370">
        <v>45862</v>
      </c>
      <c r="E4" s="420" t="s">
        <v>638</v>
      </c>
      <c r="F4" s="204" t="s">
        <v>417</v>
      </c>
      <c r="G4" s="136">
        <v>24962</v>
      </c>
      <c r="H4" s="371" t="s">
        <v>639</v>
      </c>
      <c r="I4" s="168" t="s">
        <v>640</v>
      </c>
      <c r="J4" s="204">
        <v>3</v>
      </c>
      <c r="K4" s="204"/>
      <c r="L4" s="204"/>
      <c r="M4" s="204" t="s">
        <v>448</v>
      </c>
      <c r="N4" s="204" t="s">
        <v>448</v>
      </c>
      <c r="O4" s="204" t="s">
        <v>448</v>
      </c>
      <c r="P4" s="207"/>
      <c r="Q4" s="207"/>
      <c r="R4" s="204"/>
      <c r="S4" s="207"/>
      <c r="T4" s="253"/>
      <c r="U4" s="208"/>
      <c r="V4" s="207"/>
      <c r="W4" s="207"/>
      <c r="X4" s="207"/>
      <c r="Y4" s="207"/>
      <c r="Z4" s="208"/>
      <c r="AA4" s="207"/>
      <c r="AB4" s="207"/>
      <c r="AC4" s="207"/>
      <c r="AD4" s="207"/>
      <c r="AE4" s="411"/>
    </row>
    <row r="5" spans="1:31" ht="23.25">
      <c r="A5" s="193">
        <v>4</v>
      </c>
      <c r="B5" s="193" t="s">
        <v>379</v>
      </c>
      <c r="C5" s="313">
        <v>45849</v>
      </c>
      <c r="D5" s="313">
        <v>45862</v>
      </c>
      <c r="E5" s="193" t="s">
        <v>139</v>
      </c>
      <c r="F5" s="193" t="s">
        <v>417</v>
      </c>
      <c r="G5" s="127">
        <v>49166</v>
      </c>
      <c r="H5" s="299" t="s">
        <v>641</v>
      </c>
      <c r="I5" s="421" t="s">
        <v>280</v>
      </c>
      <c r="J5" s="193">
        <v>2</v>
      </c>
      <c r="K5" s="193">
        <v>3</v>
      </c>
      <c r="L5" s="193">
        <v>14</v>
      </c>
      <c r="M5" s="204" t="s">
        <v>448</v>
      </c>
      <c r="N5" s="204" t="s">
        <v>448</v>
      </c>
      <c r="O5" s="204" t="s">
        <v>448</v>
      </c>
      <c r="P5" s="194"/>
      <c r="Q5" s="194"/>
      <c r="R5" s="193"/>
      <c r="S5" s="194"/>
      <c r="T5" s="236"/>
      <c r="U5" s="206"/>
      <c r="V5" s="194"/>
      <c r="W5" s="194"/>
      <c r="X5" s="194"/>
      <c r="Y5" s="194"/>
      <c r="Z5" s="206"/>
      <c r="AA5" s="194"/>
      <c r="AB5" s="194"/>
      <c r="AC5" s="194"/>
      <c r="AD5" s="194"/>
      <c r="AE5" s="212"/>
    </row>
    <row r="6" spans="1:31" ht="26.25" customHeight="1">
      <c r="A6" s="204">
        <v>5</v>
      </c>
      <c r="B6" s="204" t="s">
        <v>379</v>
      </c>
      <c r="C6" s="370">
        <v>45849</v>
      </c>
      <c r="D6" s="370">
        <v>45862</v>
      </c>
      <c r="E6" s="204" t="s">
        <v>139</v>
      </c>
      <c r="F6" s="204" t="s">
        <v>272</v>
      </c>
      <c r="G6" s="136">
        <v>49165</v>
      </c>
      <c r="H6" s="371" t="s">
        <v>642</v>
      </c>
      <c r="I6" s="421" t="s">
        <v>280</v>
      </c>
      <c r="J6" s="204">
        <v>8</v>
      </c>
      <c r="K6" s="204">
        <v>10</v>
      </c>
      <c r="L6" s="204">
        <v>44</v>
      </c>
      <c r="M6" s="204" t="s">
        <v>448</v>
      </c>
      <c r="N6" s="204" t="s">
        <v>448</v>
      </c>
      <c r="O6" s="204" t="s">
        <v>448</v>
      </c>
      <c r="P6" s="207"/>
      <c r="Q6" s="207"/>
      <c r="R6" s="204"/>
      <c r="S6" s="207"/>
      <c r="T6" s="253"/>
      <c r="U6" s="208"/>
      <c r="V6" s="207"/>
      <c r="W6" s="207"/>
      <c r="X6" s="207"/>
      <c r="Y6" s="207"/>
      <c r="Z6" s="208"/>
      <c r="AA6" s="207"/>
      <c r="AB6" s="207"/>
      <c r="AC6" s="207"/>
      <c r="AD6" s="207"/>
      <c r="AE6" s="411"/>
    </row>
    <row r="7" spans="1:31" ht="35.25">
      <c r="A7" s="204">
        <v>6</v>
      </c>
      <c r="B7" s="204" t="s">
        <v>379</v>
      </c>
      <c r="C7" s="370">
        <v>45849</v>
      </c>
      <c r="D7" s="370">
        <v>45862</v>
      </c>
      <c r="E7" s="204" t="s">
        <v>643</v>
      </c>
      <c r="F7" s="204" t="s">
        <v>417</v>
      </c>
      <c r="G7" s="136">
        <v>49146</v>
      </c>
      <c r="H7" s="371" t="s">
        <v>644</v>
      </c>
      <c r="I7" s="168" t="s">
        <v>428</v>
      </c>
      <c r="J7" s="204">
        <v>3</v>
      </c>
      <c r="K7" s="204">
        <v>6</v>
      </c>
      <c r="L7" s="204">
        <v>22</v>
      </c>
      <c r="M7" s="370">
        <v>45859</v>
      </c>
      <c r="N7" s="370">
        <v>45862</v>
      </c>
      <c r="O7" s="207" t="s">
        <v>13</v>
      </c>
      <c r="P7" s="207" t="s">
        <v>287</v>
      </c>
      <c r="Q7" s="207"/>
      <c r="R7" s="204" t="s">
        <v>275</v>
      </c>
      <c r="S7" s="207"/>
      <c r="T7" s="253" t="s">
        <v>645</v>
      </c>
      <c r="U7" s="208">
        <v>45861</v>
      </c>
      <c r="V7" s="208">
        <v>45861</v>
      </c>
      <c r="W7" s="207" t="s">
        <v>287</v>
      </c>
      <c r="X7" s="207"/>
      <c r="Y7" s="207" t="s">
        <v>466</v>
      </c>
      <c r="Z7" s="208">
        <v>45862</v>
      </c>
      <c r="AA7" s="207"/>
      <c r="AB7" s="207"/>
      <c r="AC7" s="207"/>
      <c r="AD7" s="207" t="s">
        <v>646</v>
      </c>
      <c r="AE7" s="411" t="s">
        <v>481</v>
      </c>
    </row>
    <row r="8" spans="1:31" ht="23.25">
      <c r="A8" s="204">
        <v>7</v>
      </c>
      <c r="B8" s="204" t="s">
        <v>379</v>
      </c>
      <c r="C8" s="370">
        <v>45849</v>
      </c>
      <c r="D8" s="370">
        <v>45862</v>
      </c>
      <c r="E8" s="204" t="s">
        <v>647</v>
      </c>
      <c r="F8" s="204" t="s">
        <v>287</v>
      </c>
      <c r="G8" s="136">
        <v>49179</v>
      </c>
      <c r="H8" s="371" t="s">
        <v>648</v>
      </c>
      <c r="I8" s="421" t="s">
        <v>280</v>
      </c>
      <c r="J8" s="204">
        <v>2</v>
      </c>
      <c r="K8" s="204">
        <v>2</v>
      </c>
      <c r="L8" s="204"/>
      <c r="M8" s="370">
        <v>45852</v>
      </c>
      <c r="N8" s="370">
        <v>45853</v>
      </c>
      <c r="O8" s="207" t="s">
        <v>13</v>
      </c>
      <c r="P8" s="207" t="s">
        <v>623</v>
      </c>
      <c r="Q8" s="207"/>
      <c r="R8" s="204" t="s">
        <v>634</v>
      </c>
      <c r="S8" s="207"/>
      <c r="T8" s="253" t="s">
        <v>649</v>
      </c>
      <c r="U8" s="208">
        <v>45853</v>
      </c>
      <c r="V8" s="208">
        <v>45853</v>
      </c>
      <c r="W8" s="207" t="s">
        <v>441</v>
      </c>
      <c r="X8" s="207"/>
      <c r="Y8" s="207" t="s">
        <v>441</v>
      </c>
      <c r="Z8" s="208">
        <v>45853</v>
      </c>
      <c r="AA8" s="207"/>
      <c r="AB8" s="207"/>
      <c r="AC8" s="207"/>
      <c r="AD8" s="207"/>
      <c r="AE8" s="411" t="s">
        <v>481</v>
      </c>
    </row>
  </sheetData>
  <dataValidations count="1">
    <dataValidation type="list" allowBlank="1" showInputMessage="1" showErrorMessage="1" sqref="AE2:AE8" xr:uid="{913D45FF-7FF0-4386-A888-F4B981A7CAD1}">
      <formula1>"Exceeds Expectation, Meets Expectation, Needs improvements"</formula1>
    </dataValidation>
  </dataValidations>
  <hyperlinks>
    <hyperlink ref="T2" r:id="rId1" xr:uid="{ABF50EAF-494B-4DEE-ABE7-A3C86D0AA65F}"/>
    <hyperlink ref="T7" r:id="rId2" xr:uid="{035201C8-AAEE-4ECC-A0EF-F95B590BF7AD}"/>
    <hyperlink ref="T8" r:id="rId3" xr:uid="{D1B0880E-6B4C-4005-BF4C-E9B31E49F91E}"/>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61FB8238-F648-45FA-92DD-DEF0C76E7030}">
          <x14:formula1>
            <xm:f>Settings!$C$3:$C$20</xm:f>
          </x14:formula1>
          <xm:sqref>I2:I8</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E932-1646-4857-8886-6514AFF3C860}">
  <sheetPr>
    <outlinePr summaryBelow="0" summaryRight="0"/>
  </sheetPr>
  <dimension ref="A1:AC964"/>
  <sheetViews>
    <sheetView topLeftCell="B1" workbookViewId="0">
      <selection activeCell="H14" sqref="H14"/>
    </sheetView>
  </sheetViews>
  <sheetFormatPr defaultColWidth="12.5703125" defaultRowHeight="15" customHeight="1"/>
  <cols>
    <col min="1" max="1" width="12.5703125" style="70" hidden="1" customWidth="1"/>
    <col min="2" max="2" width="20.5703125" style="70" customWidth="1"/>
    <col min="3" max="4" width="15.140625" style="48" customWidth="1"/>
    <col min="5" max="5" width="24.7109375" style="48" customWidth="1"/>
    <col min="6" max="6" width="16.5703125" style="70" customWidth="1"/>
    <col min="7" max="7" width="43" style="70" customWidth="1"/>
    <col min="8" max="8" width="15.5703125" style="48" customWidth="1"/>
    <col min="9" max="9" width="20" style="48" customWidth="1"/>
    <col min="10" max="10" width="13.28515625" style="48" customWidth="1"/>
    <col min="11" max="11" width="16.85546875" style="48" customWidth="1"/>
    <col min="12" max="12" width="19.28515625" style="48" customWidth="1"/>
    <col min="13" max="13" width="23.5703125" style="48" customWidth="1"/>
    <col min="14" max="14" width="56" style="48" customWidth="1"/>
    <col min="15" max="16384" width="12.5703125" style="70"/>
  </cols>
  <sheetData>
    <row r="1" spans="1:29" ht="21.75" customHeight="1">
      <c r="A1" s="422" t="s">
        <v>243</v>
      </c>
      <c r="B1" s="167" t="s">
        <v>11</v>
      </c>
      <c r="C1" s="167" t="s">
        <v>297</v>
      </c>
      <c r="D1" s="167" t="s">
        <v>298</v>
      </c>
      <c r="E1" s="167" t="s">
        <v>245</v>
      </c>
      <c r="F1" s="167" t="s">
        <v>299</v>
      </c>
      <c r="G1" s="167" t="s">
        <v>300</v>
      </c>
      <c r="H1" s="167" t="s">
        <v>301</v>
      </c>
      <c r="I1" s="167" t="s">
        <v>302</v>
      </c>
      <c r="J1" s="167" t="s">
        <v>303</v>
      </c>
      <c r="K1" s="167" t="s">
        <v>304</v>
      </c>
      <c r="L1" s="167" t="s">
        <v>248</v>
      </c>
      <c r="M1" s="423" t="s">
        <v>305</v>
      </c>
      <c r="N1" s="424" t="s">
        <v>306</v>
      </c>
      <c r="O1" s="425"/>
      <c r="P1" s="425"/>
      <c r="Q1" s="425"/>
      <c r="R1" s="425"/>
      <c r="S1" s="425"/>
      <c r="T1" s="425"/>
      <c r="U1" s="425"/>
      <c r="V1" s="425"/>
      <c r="W1" s="425"/>
      <c r="X1" s="425"/>
      <c r="Y1" s="425"/>
      <c r="Z1" s="425"/>
      <c r="AA1" s="425"/>
      <c r="AB1" s="425"/>
      <c r="AC1" s="425"/>
    </row>
    <row r="2" spans="1:29" ht="15.75" customHeight="1">
      <c r="B2" s="67"/>
      <c r="C2" s="83"/>
      <c r="D2" s="83"/>
      <c r="E2" s="83"/>
      <c r="F2" s="67"/>
      <c r="G2" s="67"/>
      <c r="H2" s="83"/>
      <c r="I2" s="83"/>
      <c r="J2" s="83"/>
      <c r="K2" s="83"/>
      <c r="L2" s="83"/>
      <c r="M2" s="89"/>
      <c r="N2" s="83"/>
    </row>
    <row r="3" spans="1:29" ht="15.75" customHeight="1">
      <c r="B3" s="67"/>
      <c r="C3" s="83"/>
      <c r="D3" s="83"/>
      <c r="E3" s="83"/>
      <c r="F3" s="67"/>
      <c r="G3" s="67"/>
      <c r="H3" s="83"/>
      <c r="I3" s="83"/>
      <c r="J3" s="83"/>
      <c r="K3" s="83"/>
      <c r="L3" s="83"/>
      <c r="M3" s="89"/>
      <c r="N3" s="83"/>
    </row>
    <row r="4" spans="1:29" ht="15.75" customHeight="1">
      <c r="B4" s="67"/>
      <c r="C4" s="83"/>
      <c r="D4" s="83"/>
      <c r="E4" s="83"/>
      <c r="F4" s="67"/>
      <c r="G4" s="67"/>
      <c r="H4" s="83"/>
      <c r="I4" s="83"/>
      <c r="J4" s="83"/>
      <c r="K4" s="83"/>
      <c r="L4" s="83"/>
      <c r="M4" s="89"/>
      <c r="N4" s="83"/>
    </row>
    <row r="5" spans="1:29" ht="15.75" customHeight="1">
      <c r="B5" s="67"/>
      <c r="C5" s="83"/>
      <c r="D5" s="83"/>
      <c r="E5" s="83"/>
      <c r="F5" s="67"/>
      <c r="G5" s="67"/>
      <c r="H5" s="83"/>
      <c r="I5" s="83"/>
      <c r="J5" s="83"/>
      <c r="K5" s="83"/>
      <c r="L5" s="83"/>
      <c r="M5" s="89"/>
      <c r="N5" s="83"/>
    </row>
    <row r="6" spans="1:29" ht="15.75" customHeight="1">
      <c r="B6" s="67"/>
      <c r="C6" s="83"/>
      <c r="D6" s="83"/>
      <c r="E6" s="83"/>
      <c r="F6" s="67"/>
      <c r="G6" s="67"/>
      <c r="H6" s="83"/>
      <c r="I6" s="83"/>
      <c r="J6" s="83"/>
      <c r="K6" s="83"/>
      <c r="L6" s="83"/>
      <c r="M6" s="89"/>
      <c r="N6" s="83"/>
    </row>
    <row r="7" spans="1:29" ht="15.75" customHeight="1">
      <c r="B7" s="67"/>
      <c r="C7" s="83"/>
      <c r="D7" s="83"/>
      <c r="E7" s="83"/>
      <c r="F7" s="67"/>
      <c r="G7" s="67"/>
      <c r="H7" s="83"/>
      <c r="I7" s="83"/>
      <c r="J7" s="83"/>
      <c r="K7" s="83"/>
      <c r="L7" s="83"/>
      <c r="M7" s="89"/>
      <c r="N7" s="83"/>
    </row>
    <row r="8" spans="1:29" ht="15.75" customHeight="1">
      <c r="B8" s="67"/>
      <c r="C8" s="83"/>
      <c r="D8" s="83"/>
      <c r="E8" s="83"/>
      <c r="F8" s="67"/>
      <c r="G8" s="67"/>
      <c r="H8" s="83"/>
      <c r="I8" s="83"/>
      <c r="J8" s="83"/>
      <c r="K8" s="83"/>
      <c r="L8" s="83"/>
      <c r="M8" s="89"/>
      <c r="N8" s="83"/>
    </row>
    <row r="9" spans="1:29" ht="15.75" customHeight="1">
      <c r="B9" s="67"/>
      <c r="C9" s="83"/>
      <c r="D9" s="83"/>
      <c r="E9" s="83"/>
      <c r="F9" s="67"/>
      <c r="G9" s="67"/>
      <c r="H9" s="83"/>
      <c r="I9" s="83"/>
      <c r="J9" s="83"/>
      <c r="K9" s="83"/>
      <c r="L9" s="83"/>
      <c r="M9" s="89"/>
      <c r="N9" s="83"/>
    </row>
    <row r="10" spans="1:29" ht="15.75" customHeight="1">
      <c r="B10" s="67"/>
      <c r="C10" s="83"/>
      <c r="D10" s="83"/>
      <c r="E10" s="83"/>
      <c r="F10" s="67"/>
      <c r="G10" s="67"/>
      <c r="H10" s="83"/>
      <c r="I10" s="83"/>
      <c r="J10" s="83"/>
      <c r="K10" s="83"/>
      <c r="L10" s="83"/>
      <c r="M10" s="89"/>
      <c r="N10" s="83"/>
    </row>
    <row r="11" spans="1:29" ht="15.75" customHeight="1">
      <c r="B11" s="67"/>
      <c r="C11" s="83"/>
      <c r="D11" s="83"/>
      <c r="E11" s="83"/>
      <c r="F11" s="67"/>
      <c r="G11" s="67"/>
      <c r="H11" s="83"/>
      <c r="I11" s="83"/>
      <c r="J11" s="83"/>
      <c r="K11" s="83"/>
      <c r="L11" s="83"/>
      <c r="M11" s="89"/>
      <c r="N11" s="83"/>
    </row>
    <row r="12" spans="1:29" ht="15.75" customHeight="1"/>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autoFilter ref="A1:N1" xr:uid="{3A2BB050-11AC-4ED7-A296-96B42C7FCFBA}"/>
  <pageMargins left="0" right="0" top="0" bottom="0" header="0" footer="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F097-0B74-4A43-BDBC-B728F9C0C896}">
  <dimension ref="A1:AC7"/>
  <sheetViews>
    <sheetView workbookViewId="0">
      <selection activeCell="D4" sqref="D4"/>
    </sheetView>
  </sheetViews>
  <sheetFormatPr defaultRowHeight="12.75"/>
  <cols>
    <col min="1" max="1" width="7.7109375" style="133" bestFit="1" customWidth="1"/>
    <col min="2" max="2" width="13" style="133" customWidth="1"/>
    <col min="3" max="3" width="14.42578125" style="133" customWidth="1"/>
    <col min="4" max="4" width="12" style="133" customWidth="1"/>
    <col min="5" max="5" width="31.28515625" style="133" customWidth="1"/>
    <col min="6" max="6" width="19" style="133" customWidth="1"/>
    <col min="7" max="7" width="12.140625" style="133" customWidth="1"/>
    <col min="8" max="8" width="45.5703125" style="168" customWidth="1"/>
    <col min="9" max="9" width="20.85546875" style="133" customWidth="1"/>
    <col min="10" max="10" width="10.42578125" style="133" customWidth="1"/>
    <col min="11" max="11" width="9" style="133" customWidth="1"/>
    <col min="12" max="12" width="10.28515625" style="133" customWidth="1"/>
    <col min="13" max="13" width="11.42578125" style="168" customWidth="1"/>
    <col min="14" max="14" width="12.5703125" style="168" customWidth="1"/>
    <col min="15" max="15" width="26.7109375" style="168" customWidth="1"/>
    <col min="16" max="16" width="12.42578125" style="133"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69.85546875" style="168" customWidth="1"/>
    <col min="28" max="28" width="50.5703125" style="168" customWidth="1"/>
    <col min="29" max="29" width="33.5703125" style="168" customWidth="1"/>
    <col min="30" max="16384" width="9.140625" style="168"/>
  </cols>
  <sheetData>
    <row r="1" spans="1:29" ht="46.5">
      <c r="A1" s="274" t="s">
        <v>243</v>
      </c>
      <c r="B1" s="88" t="s">
        <v>4</v>
      </c>
      <c r="C1" s="88" t="s">
        <v>2</v>
      </c>
      <c r="D1" s="88" t="s">
        <v>3</v>
      </c>
      <c r="E1" s="275" t="s">
        <v>244</v>
      </c>
      <c r="F1" s="275" t="s">
        <v>245</v>
      </c>
      <c r="G1" s="275" t="s">
        <v>246</v>
      </c>
      <c r="H1" s="276" t="s">
        <v>247</v>
      </c>
      <c r="I1" s="275" t="s">
        <v>248</v>
      </c>
      <c r="J1" s="88" t="s">
        <v>249</v>
      </c>
      <c r="K1" s="88" t="s">
        <v>250</v>
      </c>
      <c r="L1" s="88" t="s">
        <v>251</v>
      </c>
      <c r="M1" s="276" t="s">
        <v>254</v>
      </c>
      <c r="N1" s="276" t="s">
        <v>255</v>
      </c>
      <c r="O1" s="276" t="s">
        <v>256</v>
      </c>
      <c r="P1" s="275" t="s">
        <v>257</v>
      </c>
      <c r="Q1" s="276" t="s">
        <v>258</v>
      </c>
      <c r="R1" s="276" t="s">
        <v>259</v>
      </c>
      <c r="S1" s="276" t="s">
        <v>260</v>
      </c>
      <c r="T1" s="276" t="s">
        <v>261</v>
      </c>
      <c r="U1" s="276" t="s">
        <v>262</v>
      </c>
      <c r="V1" s="276" t="s">
        <v>263</v>
      </c>
      <c r="W1" s="276" t="s">
        <v>264</v>
      </c>
      <c r="X1" s="276" t="s">
        <v>265</v>
      </c>
      <c r="Y1" s="276" t="s">
        <v>266</v>
      </c>
      <c r="Z1" s="276" t="s">
        <v>267</v>
      </c>
      <c r="AA1" s="276" t="s">
        <v>268</v>
      </c>
      <c r="AB1" s="277" t="s">
        <v>269</v>
      </c>
      <c r="AC1" s="276" t="s">
        <v>270</v>
      </c>
    </row>
    <row r="2" spans="1:29" ht="26.25" customHeight="1">
      <c r="A2" s="204">
        <v>1</v>
      </c>
      <c r="B2" s="193" t="s">
        <v>379</v>
      </c>
      <c r="C2" s="313">
        <v>45835</v>
      </c>
      <c r="D2" s="313">
        <v>45848</v>
      </c>
      <c r="E2" s="5" t="s">
        <v>135</v>
      </c>
      <c r="F2" s="193" t="s">
        <v>275</v>
      </c>
      <c r="G2" s="136" t="s">
        <v>650</v>
      </c>
      <c r="H2" s="204" t="s">
        <v>651</v>
      </c>
      <c r="I2" s="410" t="s">
        <v>280</v>
      </c>
      <c r="J2" s="204">
        <v>3</v>
      </c>
      <c r="K2" s="204">
        <v>3</v>
      </c>
      <c r="L2" s="204">
        <v>15</v>
      </c>
      <c r="M2" s="207" t="s">
        <v>13</v>
      </c>
      <c r="N2" s="207" t="s">
        <v>272</v>
      </c>
      <c r="O2" s="207"/>
      <c r="P2" s="204" t="s">
        <v>287</v>
      </c>
      <c r="Q2" s="207"/>
      <c r="R2" s="106" t="s">
        <v>652</v>
      </c>
      <c r="S2" s="208">
        <v>45845</v>
      </c>
      <c r="T2" s="208">
        <v>45845</v>
      </c>
      <c r="U2" s="207" t="s">
        <v>287</v>
      </c>
      <c r="V2" s="207"/>
      <c r="W2" s="207" t="s">
        <v>466</v>
      </c>
      <c r="X2" s="208">
        <v>45845</v>
      </c>
      <c r="Y2" s="207"/>
      <c r="Z2" s="207"/>
      <c r="AA2" s="207"/>
      <c r="AB2" s="207" t="s">
        <v>653</v>
      </c>
      <c r="AC2" s="194" t="s">
        <v>481</v>
      </c>
    </row>
    <row r="3" spans="1:29" ht="29.25" customHeight="1">
      <c r="A3" s="193">
        <v>2</v>
      </c>
      <c r="B3" s="193" t="s">
        <v>379</v>
      </c>
      <c r="C3" s="313">
        <v>45835</v>
      </c>
      <c r="D3" s="313">
        <v>45848</v>
      </c>
      <c r="E3" s="5" t="s">
        <v>654</v>
      </c>
      <c r="F3" s="193" t="s">
        <v>272</v>
      </c>
      <c r="G3" s="193">
        <v>48735</v>
      </c>
      <c r="H3" s="193" t="s">
        <v>655</v>
      </c>
      <c r="I3" s="410" t="s">
        <v>280</v>
      </c>
      <c r="J3" s="193">
        <v>8</v>
      </c>
      <c r="K3" s="193">
        <v>8</v>
      </c>
      <c r="L3" s="193">
        <v>30</v>
      </c>
      <c r="M3" s="193" t="s">
        <v>448</v>
      </c>
      <c r="N3" s="207" t="s">
        <v>272</v>
      </c>
      <c r="O3" s="194"/>
      <c r="P3" s="193" t="s">
        <v>283</v>
      </c>
      <c r="Q3" s="194"/>
      <c r="R3" s="106" t="s">
        <v>656</v>
      </c>
      <c r="S3" s="208">
        <v>45845</v>
      </c>
      <c r="T3" s="194"/>
      <c r="U3" s="194" t="s">
        <v>409</v>
      </c>
      <c r="V3" s="194"/>
      <c r="W3" s="194" t="s">
        <v>283</v>
      </c>
      <c r="X3" s="206"/>
      <c r="Y3" s="194"/>
      <c r="Z3" s="194"/>
      <c r="AA3" s="194"/>
      <c r="AB3" s="194"/>
      <c r="AC3" s="194" t="s">
        <v>481</v>
      </c>
    </row>
    <row r="4" spans="1:29" ht="35.25">
      <c r="A4" s="204">
        <v>3</v>
      </c>
      <c r="B4" s="204" t="s">
        <v>379</v>
      </c>
      <c r="C4" s="370">
        <v>45835</v>
      </c>
      <c r="D4" s="370">
        <v>45848</v>
      </c>
      <c r="E4" s="204" t="s">
        <v>135</v>
      </c>
      <c r="F4" s="204" t="s">
        <v>657</v>
      </c>
      <c r="G4" s="136">
        <v>25483</v>
      </c>
      <c r="H4" s="204" t="s">
        <v>658</v>
      </c>
      <c r="I4" s="410" t="s">
        <v>295</v>
      </c>
      <c r="J4" s="204">
        <v>2</v>
      </c>
      <c r="K4" s="204">
        <v>3</v>
      </c>
      <c r="L4" s="204">
        <v>15</v>
      </c>
      <c r="M4" s="207" t="s">
        <v>13</v>
      </c>
      <c r="N4" s="207" t="s">
        <v>272</v>
      </c>
      <c r="O4" s="207"/>
      <c r="P4" s="204" t="s">
        <v>287</v>
      </c>
      <c r="Q4" s="207"/>
      <c r="R4" s="253" t="s">
        <v>659</v>
      </c>
      <c r="S4" s="208">
        <v>45835</v>
      </c>
      <c r="T4" s="208">
        <v>45839</v>
      </c>
      <c r="U4" s="207" t="s">
        <v>287</v>
      </c>
      <c r="V4" s="207"/>
      <c r="W4" s="207" t="s">
        <v>441</v>
      </c>
      <c r="X4" s="208">
        <v>45839</v>
      </c>
      <c r="Y4" s="207"/>
      <c r="Z4" s="207"/>
      <c r="AA4" s="207"/>
      <c r="AB4" s="207"/>
      <c r="AC4" s="194" t="s">
        <v>481</v>
      </c>
    </row>
    <row r="5" spans="1:29" ht="23.25">
      <c r="A5" s="204">
        <v>4</v>
      </c>
      <c r="B5" s="204" t="s">
        <v>379</v>
      </c>
      <c r="C5" s="370">
        <v>45835</v>
      </c>
      <c r="D5" s="370">
        <v>45848</v>
      </c>
      <c r="E5" s="204" t="s">
        <v>135</v>
      </c>
      <c r="F5" s="204" t="s">
        <v>275</v>
      </c>
      <c r="G5" s="409">
        <v>48502</v>
      </c>
      <c r="H5" s="204" t="s">
        <v>660</v>
      </c>
      <c r="I5" s="410" t="s">
        <v>280</v>
      </c>
      <c r="J5" s="204">
        <v>5</v>
      </c>
      <c r="K5" s="204">
        <v>5</v>
      </c>
      <c r="L5" s="204">
        <v>19</v>
      </c>
      <c r="M5" s="207" t="s">
        <v>13</v>
      </c>
      <c r="N5" s="207" t="s">
        <v>272</v>
      </c>
      <c r="O5" s="207"/>
      <c r="P5" s="204" t="s">
        <v>287</v>
      </c>
      <c r="Q5" s="207"/>
      <c r="R5" s="253" t="s">
        <v>661</v>
      </c>
      <c r="S5" s="208">
        <v>45845</v>
      </c>
      <c r="T5" s="208">
        <v>45845</v>
      </c>
      <c r="U5" s="207" t="s">
        <v>287</v>
      </c>
      <c r="V5" s="207"/>
      <c r="W5" s="207" t="s">
        <v>288</v>
      </c>
      <c r="X5" s="208">
        <v>45845</v>
      </c>
      <c r="Y5" s="207"/>
      <c r="Z5" s="207"/>
      <c r="AA5" s="207"/>
      <c r="AB5" s="207"/>
      <c r="AC5" s="194" t="s">
        <v>481</v>
      </c>
    </row>
    <row r="6" spans="1:29" ht="31.5" customHeight="1">
      <c r="A6" s="204">
        <v>5</v>
      </c>
      <c r="B6" s="204" t="s">
        <v>379</v>
      </c>
      <c r="C6" s="370">
        <v>45835</v>
      </c>
      <c r="D6" s="370">
        <v>45848</v>
      </c>
      <c r="E6" s="204" t="s">
        <v>662</v>
      </c>
      <c r="F6" s="204" t="s">
        <v>657</v>
      </c>
      <c r="G6" s="136">
        <v>48383</v>
      </c>
      <c r="H6" s="204" t="s">
        <v>663</v>
      </c>
      <c r="I6" s="410" t="s">
        <v>280</v>
      </c>
      <c r="J6" s="204">
        <v>5</v>
      </c>
      <c r="K6" s="204">
        <v>7</v>
      </c>
      <c r="L6" s="204">
        <v>29</v>
      </c>
      <c r="M6" s="207" t="s">
        <v>13</v>
      </c>
      <c r="N6" s="207" t="s">
        <v>272</v>
      </c>
      <c r="O6" s="207"/>
      <c r="P6" s="204" t="s">
        <v>287</v>
      </c>
      <c r="Q6" s="207"/>
      <c r="R6" s="253" t="s">
        <v>664</v>
      </c>
      <c r="S6" s="208">
        <v>45845</v>
      </c>
      <c r="T6" s="208">
        <v>45847</v>
      </c>
      <c r="U6" s="207" t="s">
        <v>287</v>
      </c>
      <c r="V6" s="207"/>
      <c r="W6" s="207" t="s">
        <v>441</v>
      </c>
      <c r="X6" s="208">
        <v>45847</v>
      </c>
      <c r="Y6" s="207"/>
      <c r="Z6" s="207"/>
      <c r="AA6" s="207"/>
      <c r="AB6" s="207"/>
      <c r="AC6" s="194" t="s">
        <v>481</v>
      </c>
    </row>
    <row r="7" spans="1:29" ht="31.5" customHeight="1">
      <c r="A7" s="204">
        <v>6</v>
      </c>
      <c r="B7" s="204" t="s">
        <v>379</v>
      </c>
      <c r="C7" s="370">
        <v>45835</v>
      </c>
      <c r="D7" s="370">
        <v>45848</v>
      </c>
      <c r="E7" s="204" t="s">
        <v>135</v>
      </c>
      <c r="F7" s="204" t="s">
        <v>287</v>
      </c>
      <c r="G7" s="136">
        <v>48966</v>
      </c>
      <c r="H7" s="204" t="s">
        <v>665</v>
      </c>
      <c r="I7" s="410" t="s">
        <v>280</v>
      </c>
      <c r="J7" s="204">
        <v>8</v>
      </c>
      <c r="K7" s="204">
        <v>9</v>
      </c>
      <c r="L7" s="204">
        <v>39</v>
      </c>
      <c r="M7" s="207" t="s">
        <v>13</v>
      </c>
      <c r="N7" s="207" t="s">
        <v>666</v>
      </c>
      <c r="O7" s="207"/>
      <c r="P7" s="204" t="s">
        <v>275</v>
      </c>
      <c r="Q7" s="207"/>
      <c r="R7" s="253" t="s">
        <v>667</v>
      </c>
      <c r="S7" s="208">
        <v>45845</v>
      </c>
      <c r="T7" s="208">
        <v>45847</v>
      </c>
      <c r="U7" s="207" t="s">
        <v>668</v>
      </c>
      <c r="V7" s="207"/>
      <c r="W7" s="207" t="s">
        <v>441</v>
      </c>
      <c r="X7" s="208">
        <v>45847</v>
      </c>
      <c r="Y7" s="207"/>
      <c r="Z7" s="207"/>
      <c r="AA7" s="207"/>
      <c r="AB7" s="207"/>
      <c r="AC7" s="194" t="s">
        <v>481</v>
      </c>
    </row>
  </sheetData>
  <dataValidations count="1">
    <dataValidation type="list" allowBlank="1" showInputMessage="1" showErrorMessage="1" sqref="AC2:AC7" xr:uid="{7CD320F6-47C3-4340-9CFE-ECC5DBF75D97}">
      <formula1>"Exceeds Expectation, Meets Expectation, Needs improvements"</formula1>
    </dataValidation>
  </dataValidations>
  <hyperlinks>
    <hyperlink ref="R2" r:id="rId1" xr:uid="{16A84FFC-297A-4AB3-957D-45630603EA84}"/>
    <hyperlink ref="R4" r:id="rId2" xr:uid="{F40023B3-85D0-46EE-8991-AAA8E6A2570F}"/>
    <hyperlink ref="R6" r:id="rId3" xr:uid="{FF8BD08E-D30E-4ECD-BF31-52FF8C5EC500}"/>
    <hyperlink ref="R5" r:id="rId4" xr:uid="{A8C3FEC4-D4F7-4AE6-932E-343E660B9732}"/>
    <hyperlink ref="R3" r:id="rId5" xr:uid="{F4B92C0F-DDCB-4983-B6E0-D7658765DF98}"/>
    <hyperlink ref="R7" r:id="rId6" xr:uid="{B425CF23-6DE1-4B33-B535-534399C4D285}"/>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160AB536-E8E9-443F-B5A3-07142FACB255}">
          <x14:formula1>
            <xm:f>Settings!$C$3:$C$20</xm:f>
          </x14:formula1>
          <xm:sqref>I2:I7</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801D-6741-4992-8A1D-7BF65DCD2921}">
  <sheetPr>
    <outlinePr summaryBelow="0" summaryRight="0"/>
  </sheetPr>
  <dimension ref="A1:AC967"/>
  <sheetViews>
    <sheetView topLeftCell="B1" workbookViewId="0">
      <selection activeCell="N3" sqref="N3"/>
    </sheetView>
  </sheetViews>
  <sheetFormatPr defaultColWidth="12.5703125" defaultRowHeight="15" customHeight="1"/>
  <cols>
    <col min="1" max="1" width="12.5703125" style="70" hidden="1" customWidth="1"/>
    <col min="2" max="2" width="22.7109375" style="70" customWidth="1"/>
    <col min="3" max="3" width="11.7109375" style="48" customWidth="1"/>
    <col min="4" max="4" width="14.42578125" style="48" customWidth="1"/>
    <col min="5" max="5" width="21.85546875" style="48" customWidth="1"/>
    <col min="6" max="6" width="13.85546875" style="70" customWidth="1"/>
    <col min="7" max="7" width="46.28515625" style="70" customWidth="1"/>
    <col min="8" max="8" width="10.42578125" style="48" customWidth="1"/>
    <col min="9" max="9" width="18.7109375" style="48" customWidth="1"/>
    <col min="10" max="10" width="9.140625" style="48" bestFit="1" customWidth="1"/>
    <col min="11" max="11" width="14.42578125" style="48" customWidth="1"/>
    <col min="12" max="12" width="19" style="48" customWidth="1"/>
    <col min="13" max="13" width="20.28515625" style="48" customWidth="1"/>
    <col min="14" max="14" width="56" style="48" customWidth="1"/>
    <col min="15" max="16384" width="12.5703125" style="70"/>
  </cols>
  <sheetData>
    <row r="1" spans="1:29" ht="27">
      <c r="A1" s="406" t="s">
        <v>243</v>
      </c>
      <c r="B1" s="88" t="s">
        <v>11</v>
      </c>
      <c r="C1" s="88" t="s">
        <v>297</v>
      </c>
      <c r="D1" s="88" t="s">
        <v>298</v>
      </c>
      <c r="E1" s="88" t="s">
        <v>245</v>
      </c>
      <c r="F1" s="88" t="s">
        <v>299</v>
      </c>
      <c r="G1" s="88" t="s">
        <v>300</v>
      </c>
      <c r="H1" s="88" t="s">
        <v>301</v>
      </c>
      <c r="I1" s="88" t="s">
        <v>302</v>
      </c>
      <c r="J1" s="88" t="s">
        <v>303</v>
      </c>
      <c r="K1" s="88" t="s">
        <v>304</v>
      </c>
      <c r="L1" s="88" t="s">
        <v>248</v>
      </c>
      <c r="M1" s="187" t="s">
        <v>305</v>
      </c>
      <c r="N1" s="395" t="s">
        <v>306</v>
      </c>
      <c r="O1" s="219"/>
      <c r="P1" s="219"/>
      <c r="Q1" s="219"/>
      <c r="R1" s="219"/>
      <c r="S1" s="219"/>
      <c r="T1" s="219"/>
      <c r="U1" s="219"/>
      <c r="V1" s="219"/>
      <c r="W1" s="219"/>
      <c r="X1" s="219"/>
      <c r="Y1" s="219"/>
      <c r="Z1" s="219"/>
      <c r="AA1" s="219"/>
      <c r="AB1" s="219"/>
      <c r="AC1" s="219"/>
    </row>
    <row r="2" spans="1:29" ht="46.5" customHeight="1">
      <c r="B2" s="136" t="s">
        <v>135</v>
      </c>
      <c r="C2" s="417"/>
      <c r="D2" s="165">
        <v>48346</v>
      </c>
      <c r="E2" s="165" t="s">
        <v>275</v>
      </c>
      <c r="F2" s="67" t="s">
        <v>375</v>
      </c>
      <c r="G2" s="416" t="s">
        <v>669</v>
      </c>
      <c r="H2" s="165" t="s">
        <v>309</v>
      </c>
      <c r="I2" s="165" t="s">
        <v>336</v>
      </c>
      <c r="J2" s="165" t="s">
        <v>371</v>
      </c>
      <c r="K2" s="165" t="s">
        <v>670</v>
      </c>
      <c r="L2" s="165" t="s">
        <v>295</v>
      </c>
      <c r="M2" s="418" t="s">
        <v>313</v>
      </c>
      <c r="N2" s="136" t="s">
        <v>671</v>
      </c>
    </row>
    <row r="3" spans="1:29" ht="26.25" customHeight="1">
      <c r="B3" s="136" t="s">
        <v>135</v>
      </c>
      <c r="C3" s="83"/>
      <c r="D3" s="83">
        <v>48383</v>
      </c>
      <c r="E3" s="83" t="s">
        <v>417</v>
      </c>
      <c r="F3" s="67" t="s">
        <v>375</v>
      </c>
      <c r="G3" s="86" t="s">
        <v>672</v>
      </c>
      <c r="H3" s="83" t="s">
        <v>309</v>
      </c>
      <c r="I3" s="83" t="s">
        <v>336</v>
      </c>
      <c r="J3" s="83" t="s">
        <v>371</v>
      </c>
      <c r="K3" s="83" t="s">
        <v>670</v>
      </c>
      <c r="L3" s="83" t="s">
        <v>295</v>
      </c>
      <c r="M3" s="89" t="s">
        <v>313</v>
      </c>
      <c r="N3" s="127" t="s">
        <v>673</v>
      </c>
    </row>
    <row r="4" spans="1:29" ht="15.75" customHeight="1">
      <c r="B4" s="79" t="s">
        <v>135</v>
      </c>
      <c r="C4" s="413"/>
      <c r="D4" s="413">
        <v>48966</v>
      </c>
      <c r="E4" s="413" t="s">
        <v>287</v>
      </c>
      <c r="F4" s="67" t="s">
        <v>375</v>
      </c>
      <c r="G4" s="79" t="s">
        <v>674</v>
      </c>
      <c r="H4" s="413" t="s">
        <v>335</v>
      </c>
      <c r="I4" s="165" t="s">
        <v>336</v>
      </c>
      <c r="J4" s="165" t="s">
        <v>371</v>
      </c>
      <c r="K4" s="413" t="s">
        <v>618</v>
      </c>
      <c r="L4" s="413" t="s">
        <v>295</v>
      </c>
      <c r="M4" s="419" t="s">
        <v>313</v>
      </c>
      <c r="N4" s="413" t="s">
        <v>675</v>
      </c>
    </row>
    <row r="5" spans="1:29" ht="15.75" customHeight="1">
      <c r="B5" s="67"/>
      <c r="C5" s="83"/>
      <c r="D5" s="83"/>
      <c r="E5" s="83"/>
      <c r="F5" s="67"/>
      <c r="G5" s="67"/>
      <c r="H5" s="83"/>
      <c r="I5" s="83"/>
      <c r="J5" s="83"/>
      <c r="K5" s="83"/>
      <c r="L5" s="83"/>
      <c r="M5" s="89"/>
      <c r="N5" s="83"/>
    </row>
    <row r="6" spans="1:29" ht="15.75" customHeight="1">
      <c r="B6" s="67"/>
      <c r="C6" s="83"/>
      <c r="D6" s="83"/>
      <c r="E6" s="83"/>
      <c r="F6" s="67"/>
      <c r="G6" s="67"/>
      <c r="H6" s="83"/>
      <c r="I6" s="83"/>
      <c r="J6" s="83"/>
      <c r="K6" s="83"/>
      <c r="L6" s="83"/>
      <c r="M6" s="89"/>
      <c r="N6" s="83"/>
    </row>
    <row r="7" spans="1:29" ht="15.75" customHeight="1">
      <c r="B7" s="67"/>
      <c r="C7" s="83"/>
      <c r="D7" s="83"/>
      <c r="E7" s="83"/>
      <c r="F7" s="67"/>
      <c r="G7" s="67"/>
      <c r="H7" s="83"/>
      <c r="I7" s="83"/>
      <c r="J7" s="83"/>
      <c r="K7" s="83"/>
      <c r="L7" s="83"/>
      <c r="M7" s="89"/>
      <c r="N7" s="83"/>
    </row>
    <row r="8" spans="1:29" ht="15.75" customHeight="1">
      <c r="B8" s="67"/>
      <c r="C8" s="83"/>
      <c r="D8" s="83"/>
      <c r="E8" s="83"/>
      <c r="F8" s="67"/>
      <c r="G8" s="67"/>
      <c r="H8" s="83"/>
      <c r="I8" s="83"/>
      <c r="J8" s="83"/>
      <c r="K8" s="83"/>
      <c r="L8" s="83"/>
      <c r="M8" s="89"/>
      <c r="N8" s="83"/>
    </row>
    <row r="9" spans="1:29" ht="15.75" customHeight="1">
      <c r="B9" s="67"/>
      <c r="C9" s="83"/>
      <c r="D9" s="83"/>
      <c r="E9" s="83"/>
      <c r="F9" s="67"/>
      <c r="G9" s="67"/>
      <c r="H9" s="83"/>
      <c r="I9" s="83"/>
      <c r="J9" s="83"/>
      <c r="K9" s="83"/>
      <c r="L9" s="83"/>
      <c r="M9" s="89"/>
      <c r="N9" s="83"/>
    </row>
    <row r="10" spans="1:29" ht="15.75" customHeight="1">
      <c r="B10" s="67"/>
      <c r="C10" s="83"/>
      <c r="D10" s="83"/>
      <c r="E10" s="83"/>
      <c r="F10" s="67"/>
      <c r="G10" s="67"/>
      <c r="H10" s="83"/>
      <c r="I10" s="83"/>
      <c r="J10" s="83"/>
      <c r="K10" s="83"/>
      <c r="L10" s="83"/>
      <c r="M10" s="89"/>
      <c r="N10" s="83"/>
    </row>
    <row r="11" spans="1:29" ht="15.75" customHeight="1">
      <c r="B11" s="67"/>
      <c r="C11" s="83"/>
      <c r="D11" s="83"/>
      <c r="E11" s="83"/>
      <c r="F11" s="67"/>
      <c r="G11" s="67"/>
      <c r="H11" s="83"/>
      <c r="I11" s="83"/>
      <c r="J11" s="83"/>
      <c r="K11" s="83"/>
      <c r="L11" s="83"/>
      <c r="M11" s="89"/>
      <c r="N11" s="83"/>
    </row>
    <row r="12" spans="1:29" ht="15.75" customHeight="1">
      <c r="B12" s="67"/>
      <c r="C12" s="83"/>
      <c r="D12" s="83"/>
      <c r="E12" s="83"/>
      <c r="F12" s="67"/>
      <c r="G12" s="67"/>
      <c r="H12" s="83"/>
      <c r="I12" s="83"/>
      <c r="J12" s="83"/>
      <c r="K12" s="83"/>
      <c r="L12" s="83"/>
      <c r="M12" s="89"/>
      <c r="N12" s="83"/>
    </row>
    <row r="13" spans="1:29" ht="15.75" customHeight="1">
      <c r="B13" s="67"/>
      <c r="C13" s="83"/>
      <c r="D13" s="83"/>
      <c r="E13" s="83"/>
      <c r="F13" s="67"/>
      <c r="G13" s="67"/>
      <c r="H13" s="83"/>
      <c r="I13" s="83"/>
      <c r="J13" s="83"/>
      <c r="K13" s="83"/>
      <c r="L13" s="83"/>
      <c r="M13" s="89"/>
      <c r="N13" s="83"/>
    </row>
    <row r="14" spans="1:29" ht="15.75" customHeight="1">
      <c r="B14" s="67"/>
      <c r="C14" s="83"/>
      <c r="D14" s="83"/>
      <c r="E14" s="83"/>
      <c r="F14" s="67"/>
      <c r="G14" s="67"/>
      <c r="H14" s="83"/>
      <c r="I14" s="83"/>
      <c r="J14" s="83"/>
      <c r="K14" s="83"/>
      <c r="L14" s="83"/>
      <c r="M14" s="89"/>
      <c r="N14" s="83"/>
    </row>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autoFilter ref="A1:N1" xr:uid="{3A2BB050-11AC-4ED7-A296-96B42C7FCFBA}"/>
  <pageMargins left="0" right="0" top="0" bottom="0" header="0" footer="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8601-6080-43BF-8D48-0ADA3A4BF7E7}">
  <dimension ref="A1:AC8"/>
  <sheetViews>
    <sheetView workbookViewId="0">
      <selection activeCell="E5" sqref="E5"/>
    </sheetView>
  </sheetViews>
  <sheetFormatPr defaultRowHeight="12.75"/>
  <cols>
    <col min="1" max="1" width="7.7109375" style="133" bestFit="1" customWidth="1"/>
    <col min="2" max="2" width="13" style="133" customWidth="1"/>
    <col min="3" max="3" width="14.42578125" style="133" customWidth="1"/>
    <col min="4" max="4" width="12" style="133" customWidth="1"/>
    <col min="5" max="5" width="31.28515625" style="133" customWidth="1"/>
    <col min="6" max="6" width="15.85546875" style="133" customWidth="1"/>
    <col min="7" max="7" width="12.140625" style="133" customWidth="1"/>
    <col min="8" max="8" width="42.28515625" style="168" customWidth="1"/>
    <col min="9" max="9" width="20.85546875" style="133" customWidth="1"/>
    <col min="10" max="10" width="10.42578125" style="133" customWidth="1"/>
    <col min="11" max="11" width="9" style="133" customWidth="1"/>
    <col min="12" max="12" width="10.28515625" style="133" customWidth="1"/>
    <col min="13" max="13" width="11.42578125" style="168" customWidth="1"/>
    <col min="14" max="14" width="12.5703125" style="168" customWidth="1"/>
    <col min="15" max="15" width="26.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69.85546875" style="168" customWidth="1"/>
    <col min="28" max="28" width="50.5703125" style="168" customWidth="1"/>
    <col min="29" max="29" width="33.5703125" style="168" customWidth="1"/>
    <col min="30" max="16384" width="9.140625" style="168"/>
  </cols>
  <sheetData>
    <row r="1" spans="1:29" ht="46.5">
      <c r="A1" s="274" t="s">
        <v>243</v>
      </c>
      <c r="B1" s="88" t="s">
        <v>4</v>
      </c>
      <c r="C1" s="88" t="s">
        <v>2</v>
      </c>
      <c r="D1" s="88" t="s">
        <v>3</v>
      </c>
      <c r="E1" s="275" t="s">
        <v>244</v>
      </c>
      <c r="F1" s="275" t="s">
        <v>245</v>
      </c>
      <c r="G1" s="275" t="s">
        <v>246</v>
      </c>
      <c r="H1" s="276" t="s">
        <v>247</v>
      </c>
      <c r="I1" s="275" t="s">
        <v>248</v>
      </c>
      <c r="J1" s="88" t="s">
        <v>249</v>
      </c>
      <c r="K1" s="88" t="s">
        <v>250</v>
      </c>
      <c r="L1" s="88"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c r="AC1" s="276" t="s">
        <v>270</v>
      </c>
    </row>
    <row r="2" spans="1:29" ht="38.25" customHeight="1">
      <c r="A2" s="193">
        <v>1</v>
      </c>
      <c r="B2" s="193" t="s">
        <v>379</v>
      </c>
      <c r="C2" s="313">
        <v>45821</v>
      </c>
      <c r="D2" s="313">
        <v>45834</v>
      </c>
      <c r="E2" s="5" t="s">
        <v>132</v>
      </c>
      <c r="F2" s="193" t="s">
        <v>275</v>
      </c>
      <c r="G2" s="127">
        <v>48685</v>
      </c>
      <c r="H2" s="193" t="s">
        <v>676</v>
      </c>
      <c r="I2" s="193" t="s">
        <v>280</v>
      </c>
      <c r="J2" s="193">
        <v>2</v>
      </c>
      <c r="K2" s="193">
        <v>2</v>
      </c>
      <c r="L2" s="193">
        <v>7</v>
      </c>
      <c r="M2" s="207" t="s">
        <v>13</v>
      </c>
      <c r="N2" s="194" t="s">
        <v>272</v>
      </c>
      <c r="O2" s="415"/>
      <c r="P2" s="207" t="s">
        <v>287</v>
      </c>
      <c r="Q2" s="194"/>
      <c r="R2" s="236" t="s">
        <v>677</v>
      </c>
      <c r="S2" s="206">
        <v>45824</v>
      </c>
      <c r="T2" s="206">
        <v>45825</v>
      </c>
      <c r="U2" s="194" t="s">
        <v>287</v>
      </c>
      <c r="V2" s="194"/>
      <c r="W2" s="194" t="s">
        <v>441</v>
      </c>
      <c r="X2" s="206">
        <v>45825</v>
      </c>
      <c r="Y2" s="194"/>
      <c r="Z2" s="194"/>
      <c r="AA2" s="194"/>
      <c r="AB2" s="194"/>
      <c r="AC2" s="194" t="s">
        <v>481</v>
      </c>
    </row>
    <row r="3" spans="1:29" ht="28.5" customHeight="1">
      <c r="A3" s="193">
        <v>2</v>
      </c>
      <c r="B3" s="193" t="s">
        <v>379</v>
      </c>
      <c r="C3" s="313">
        <v>45821</v>
      </c>
      <c r="D3" s="313">
        <v>45834</v>
      </c>
      <c r="E3" s="5" t="s">
        <v>678</v>
      </c>
      <c r="F3" s="193" t="s">
        <v>272</v>
      </c>
      <c r="G3" s="193">
        <v>48735</v>
      </c>
      <c r="H3" s="193" t="s">
        <v>655</v>
      </c>
      <c r="I3" s="193" t="s">
        <v>274</v>
      </c>
      <c r="J3" s="193">
        <v>13</v>
      </c>
      <c r="K3" s="193">
        <v>5</v>
      </c>
      <c r="L3" s="193">
        <v>20</v>
      </c>
      <c r="M3" s="194"/>
      <c r="N3" s="194"/>
      <c r="O3" s="194"/>
      <c r="P3" s="194"/>
      <c r="Q3" s="194"/>
      <c r="R3" s="236"/>
      <c r="S3" s="206"/>
      <c r="T3" s="194"/>
      <c r="U3" s="194"/>
      <c r="V3" s="194"/>
      <c r="W3" s="194"/>
      <c r="X3" s="206"/>
      <c r="Y3" s="194"/>
      <c r="Z3" s="194"/>
      <c r="AA3" s="194"/>
      <c r="AB3" s="194"/>
      <c r="AC3" s="212"/>
    </row>
    <row r="4" spans="1:29" ht="35.25">
      <c r="A4" s="204">
        <v>3</v>
      </c>
      <c r="B4" s="193" t="s">
        <v>379</v>
      </c>
      <c r="C4" s="313">
        <v>45821</v>
      </c>
      <c r="D4" s="313">
        <v>45834</v>
      </c>
      <c r="E4" s="5" t="s">
        <v>132</v>
      </c>
      <c r="F4" s="193" t="s">
        <v>275</v>
      </c>
      <c r="G4" s="136" t="s">
        <v>679</v>
      </c>
      <c r="H4" s="204" t="s">
        <v>680</v>
      </c>
      <c r="I4" s="193" t="s">
        <v>280</v>
      </c>
      <c r="J4" s="204">
        <v>3</v>
      </c>
      <c r="K4" s="204">
        <v>3</v>
      </c>
      <c r="L4" s="204">
        <v>12</v>
      </c>
      <c r="M4" s="207" t="s">
        <v>13</v>
      </c>
      <c r="N4" s="194" t="s">
        <v>272</v>
      </c>
      <c r="O4" s="207"/>
      <c r="P4" s="207" t="s">
        <v>287</v>
      </c>
      <c r="Q4" s="207"/>
      <c r="R4" s="253" t="s">
        <v>681</v>
      </c>
      <c r="S4" s="208">
        <v>45832</v>
      </c>
      <c r="T4" s="208">
        <v>45833</v>
      </c>
      <c r="U4" s="207" t="s">
        <v>287</v>
      </c>
      <c r="V4" s="207"/>
      <c r="W4" s="207" t="s">
        <v>441</v>
      </c>
      <c r="X4" s="206">
        <v>45833</v>
      </c>
      <c r="Y4" s="207"/>
      <c r="Z4" s="207"/>
      <c r="AA4" s="207"/>
      <c r="AB4" s="207"/>
      <c r="AC4" s="194" t="s">
        <v>481</v>
      </c>
    </row>
    <row r="5" spans="1:29" ht="26.25" customHeight="1">
      <c r="A5" s="204">
        <v>4</v>
      </c>
      <c r="B5" s="193" t="s">
        <v>379</v>
      </c>
      <c r="C5" s="313">
        <v>45821</v>
      </c>
      <c r="D5" s="313">
        <v>45834</v>
      </c>
      <c r="E5" s="5" t="s">
        <v>132</v>
      </c>
      <c r="F5" s="193" t="s">
        <v>275</v>
      </c>
      <c r="G5" s="136" t="s">
        <v>650</v>
      </c>
      <c r="H5" s="204" t="s">
        <v>651</v>
      </c>
      <c r="I5" s="193" t="s">
        <v>428</v>
      </c>
      <c r="J5" s="204">
        <v>3</v>
      </c>
      <c r="K5" s="204">
        <v>3</v>
      </c>
      <c r="L5" s="204">
        <v>12</v>
      </c>
      <c r="M5" s="207" t="s">
        <v>13</v>
      </c>
      <c r="N5" s="194" t="s">
        <v>272</v>
      </c>
      <c r="O5" s="207"/>
      <c r="P5" s="207" t="s">
        <v>287</v>
      </c>
      <c r="Q5" s="207"/>
      <c r="R5" s="106" t="s">
        <v>682</v>
      </c>
      <c r="S5" s="208">
        <v>45833</v>
      </c>
      <c r="T5" s="207"/>
      <c r="U5" s="207" t="s">
        <v>287</v>
      </c>
      <c r="V5" s="207"/>
      <c r="W5" s="207" t="s">
        <v>441</v>
      </c>
      <c r="X5" s="208"/>
      <c r="Y5" s="207"/>
      <c r="Z5" s="207"/>
      <c r="AA5" s="207"/>
      <c r="AB5" s="207" t="s">
        <v>653</v>
      </c>
      <c r="AC5" s="194" t="s">
        <v>481</v>
      </c>
    </row>
    <row r="6" spans="1:29" ht="35.25">
      <c r="A6" s="204">
        <v>5</v>
      </c>
      <c r="B6" s="204" t="s">
        <v>379</v>
      </c>
      <c r="C6" s="370">
        <v>45821</v>
      </c>
      <c r="D6" s="370">
        <v>45834</v>
      </c>
      <c r="E6" s="5" t="s">
        <v>132</v>
      </c>
      <c r="F6" s="204" t="s">
        <v>417</v>
      </c>
      <c r="G6" s="136">
        <v>25295</v>
      </c>
      <c r="H6" s="204" t="s">
        <v>683</v>
      </c>
      <c r="I6" s="193" t="s">
        <v>295</v>
      </c>
      <c r="J6" s="204">
        <v>3</v>
      </c>
      <c r="K6" s="204">
        <v>5</v>
      </c>
      <c r="L6" s="204">
        <v>21.5</v>
      </c>
      <c r="M6" s="207" t="s">
        <v>13</v>
      </c>
      <c r="N6" s="207" t="s">
        <v>287</v>
      </c>
      <c r="O6" s="207"/>
      <c r="P6" s="207" t="s">
        <v>287</v>
      </c>
      <c r="Q6" s="207" t="s">
        <v>684</v>
      </c>
      <c r="R6" s="253" t="s">
        <v>685</v>
      </c>
      <c r="S6" s="208">
        <v>45831</v>
      </c>
      <c r="T6" s="208">
        <v>45831</v>
      </c>
      <c r="U6" s="207" t="s">
        <v>287</v>
      </c>
      <c r="V6" s="207"/>
      <c r="W6" s="207" t="s">
        <v>441</v>
      </c>
      <c r="X6" s="208">
        <v>45831</v>
      </c>
      <c r="Y6" s="207"/>
      <c r="Z6" s="207"/>
      <c r="AA6" s="207"/>
      <c r="AB6" s="207"/>
      <c r="AC6" s="411" t="s">
        <v>481</v>
      </c>
    </row>
    <row r="7" spans="1:29" ht="23.25">
      <c r="A7" s="204">
        <v>6</v>
      </c>
      <c r="B7" s="204" t="s">
        <v>379</v>
      </c>
      <c r="C7" s="370">
        <v>45821</v>
      </c>
      <c r="D7" s="370">
        <v>45834</v>
      </c>
      <c r="E7" s="204" t="s">
        <v>678</v>
      </c>
      <c r="F7" s="204" t="s">
        <v>686</v>
      </c>
      <c r="G7" s="136">
        <v>48145</v>
      </c>
      <c r="H7" s="204" t="s">
        <v>687</v>
      </c>
      <c r="I7" s="193" t="s">
        <v>280</v>
      </c>
      <c r="J7" s="204">
        <v>13</v>
      </c>
      <c r="K7" s="204">
        <v>17</v>
      </c>
      <c r="L7" s="204">
        <v>67</v>
      </c>
      <c r="M7" s="207" t="s">
        <v>13</v>
      </c>
      <c r="N7" s="207" t="s">
        <v>623</v>
      </c>
      <c r="O7" s="207"/>
      <c r="P7" s="207" t="s">
        <v>275</v>
      </c>
      <c r="Q7" s="207"/>
      <c r="R7" s="253" t="s">
        <v>688</v>
      </c>
      <c r="S7" s="208">
        <v>45833</v>
      </c>
      <c r="T7" s="208">
        <v>45833</v>
      </c>
      <c r="U7" s="207" t="s">
        <v>287</v>
      </c>
      <c r="V7" s="207"/>
      <c r="W7" s="207" t="s">
        <v>441</v>
      </c>
      <c r="X7" s="208">
        <v>45834</v>
      </c>
      <c r="Y7" s="207"/>
      <c r="Z7" s="207"/>
      <c r="AA7" s="207"/>
      <c r="AB7" s="207"/>
      <c r="AC7" s="411"/>
    </row>
    <row r="8" spans="1:29">
      <c r="A8" s="193"/>
      <c r="B8" s="193"/>
      <c r="C8" s="313"/>
      <c r="D8" s="313"/>
      <c r="E8" s="193"/>
      <c r="F8" s="193"/>
      <c r="G8" s="127"/>
      <c r="H8" s="204"/>
      <c r="I8" s="407"/>
      <c r="J8" s="193"/>
      <c r="K8" s="193"/>
      <c r="L8" s="193"/>
      <c r="M8" s="194"/>
      <c r="N8" s="194"/>
      <c r="O8" s="194"/>
      <c r="P8" s="194"/>
      <c r="Q8" s="194"/>
      <c r="R8" s="236"/>
      <c r="S8" s="206"/>
      <c r="T8" s="194"/>
      <c r="U8" s="194"/>
      <c r="V8" s="194"/>
      <c r="W8" s="194"/>
      <c r="X8" s="206"/>
      <c r="Y8" s="194"/>
      <c r="Z8" s="194"/>
      <c r="AA8" s="194"/>
      <c r="AB8" s="194"/>
      <c r="AC8" s="212"/>
    </row>
  </sheetData>
  <dataValidations count="1">
    <dataValidation type="list" allowBlank="1" showInputMessage="1" showErrorMessage="1" sqref="AC2:AC8" xr:uid="{840EFCDF-4EAF-40C2-BDFD-C11F0C5F58D9}">
      <formula1>"Exceeds Expectation, Meets Expectation, Needs improvements"</formula1>
    </dataValidation>
  </dataValidations>
  <hyperlinks>
    <hyperlink ref="R2" r:id="rId1" xr:uid="{4BFDEA23-9B2C-4B1F-B1D2-1275B113CC26}"/>
    <hyperlink ref="R6" r:id="rId2" xr:uid="{0B83CFFA-5D96-4B74-A409-26DF94924AC7}"/>
    <hyperlink ref="R4" r:id="rId3" xr:uid="{E3B581FE-D8F3-4444-889A-FD60DFDE7C8D}"/>
    <hyperlink ref="R5" r:id="rId4" xr:uid="{1A3BE089-BA32-4B2F-8DBA-AC2C76083BCE}"/>
    <hyperlink ref="R7" r:id="rId5" xr:uid="{27372459-68E0-4477-B590-9334D5806FF7}"/>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D07E3EA3-92FC-4C14-805B-420159051553}">
          <x14:formula1>
            <xm:f>Settings!$C$3:$C$20</xm:f>
          </x14:formula1>
          <xm:sqref>I2:I8</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AAB13-846E-4813-A514-793B8C0054B8}">
  <sheetPr>
    <outlinePr summaryBelow="0" summaryRight="0"/>
  </sheetPr>
  <dimension ref="A1:AC965"/>
  <sheetViews>
    <sheetView topLeftCell="B1" workbookViewId="0">
      <selection activeCell="A2" sqref="A2"/>
    </sheetView>
  </sheetViews>
  <sheetFormatPr defaultColWidth="12.5703125" defaultRowHeight="15" customHeight="1"/>
  <cols>
    <col min="1" max="1" width="12.5703125" style="70" hidden="1" customWidth="1"/>
    <col min="2" max="2" width="18.28515625" style="70" customWidth="1"/>
    <col min="3" max="3" width="11.7109375" style="48" customWidth="1"/>
    <col min="4" max="4" width="14.42578125" style="48" customWidth="1"/>
    <col min="5" max="5" width="21.85546875" style="48" customWidth="1"/>
    <col min="6" max="6" width="13.85546875" style="70" customWidth="1"/>
    <col min="7" max="7" width="46.28515625" style="70" customWidth="1"/>
    <col min="8" max="8" width="10.42578125" style="48" customWidth="1"/>
    <col min="9" max="9" width="18.7109375" style="48" customWidth="1"/>
    <col min="10" max="10" width="9.140625" style="48" bestFit="1" customWidth="1"/>
    <col min="11" max="11" width="14.42578125" style="48" customWidth="1"/>
    <col min="12" max="12" width="19" style="48" customWidth="1"/>
    <col min="13" max="13" width="20.28515625" style="48" customWidth="1"/>
    <col min="14" max="14" width="56" style="48" customWidth="1"/>
    <col min="15" max="16384" width="12.5703125" style="70"/>
  </cols>
  <sheetData>
    <row r="1" spans="1:29" ht="27">
      <c r="A1" s="406" t="s">
        <v>243</v>
      </c>
      <c r="B1" s="88" t="s">
        <v>11</v>
      </c>
      <c r="C1" s="88" t="s">
        <v>297</v>
      </c>
      <c r="D1" s="88" t="s">
        <v>298</v>
      </c>
      <c r="E1" s="88" t="s">
        <v>245</v>
      </c>
      <c r="F1" s="88" t="s">
        <v>299</v>
      </c>
      <c r="G1" s="88" t="s">
        <v>300</v>
      </c>
      <c r="H1" s="88" t="s">
        <v>301</v>
      </c>
      <c r="I1" s="88" t="s">
        <v>302</v>
      </c>
      <c r="J1" s="88" t="s">
        <v>303</v>
      </c>
      <c r="K1" s="88" t="s">
        <v>304</v>
      </c>
      <c r="L1" s="88" t="s">
        <v>248</v>
      </c>
      <c r="M1" s="187" t="s">
        <v>305</v>
      </c>
      <c r="N1" s="395" t="s">
        <v>306</v>
      </c>
      <c r="O1" s="219"/>
      <c r="P1" s="219"/>
      <c r="Q1" s="219"/>
      <c r="R1" s="219"/>
      <c r="S1" s="219"/>
      <c r="T1" s="219"/>
      <c r="U1" s="219"/>
      <c r="V1" s="219"/>
      <c r="W1" s="219"/>
      <c r="X1" s="219"/>
      <c r="Y1" s="219"/>
      <c r="Z1" s="219"/>
      <c r="AA1" s="219"/>
      <c r="AB1" s="219"/>
      <c r="AC1" s="219"/>
    </row>
    <row r="2" spans="1:29" ht="15.75" customHeight="1">
      <c r="B2" s="67"/>
      <c r="C2" s="83"/>
      <c r="D2" s="83"/>
      <c r="E2" s="83"/>
      <c r="F2" s="67"/>
      <c r="G2" s="67"/>
      <c r="H2" s="83"/>
      <c r="I2" s="83"/>
      <c r="J2" s="83"/>
      <c r="K2" s="83"/>
      <c r="L2" s="83"/>
      <c r="M2" s="83"/>
    </row>
    <row r="3" spans="1:29" ht="15.75" customHeight="1">
      <c r="B3" s="67"/>
      <c r="C3" s="83"/>
      <c r="D3" s="83"/>
      <c r="E3" s="83"/>
      <c r="F3" s="67"/>
      <c r="G3" s="67"/>
      <c r="H3" s="83"/>
      <c r="I3" s="83"/>
      <c r="J3" s="83"/>
      <c r="K3" s="83"/>
      <c r="L3" s="83"/>
      <c r="M3" s="83"/>
    </row>
    <row r="4" spans="1:29" ht="15.75" customHeight="1">
      <c r="B4" s="67"/>
      <c r="C4" s="83"/>
      <c r="D4" s="83"/>
      <c r="E4" s="83"/>
      <c r="F4" s="67"/>
      <c r="G4" s="67"/>
      <c r="H4" s="83"/>
      <c r="I4" s="83"/>
      <c r="J4" s="83"/>
      <c r="K4" s="83"/>
      <c r="L4" s="83"/>
      <c r="M4" s="83"/>
    </row>
    <row r="5" spans="1:29" ht="15.75" customHeight="1">
      <c r="B5" s="67"/>
      <c r="C5" s="83"/>
      <c r="D5" s="83"/>
      <c r="E5" s="83"/>
      <c r="F5" s="67"/>
      <c r="G5" s="67"/>
      <c r="H5" s="83"/>
      <c r="I5" s="83"/>
      <c r="J5" s="83"/>
      <c r="K5" s="83"/>
      <c r="L5" s="83"/>
      <c r="M5" s="83"/>
    </row>
    <row r="6" spans="1:29" ht="15.75" customHeight="1">
      <c r="B6" s="67"/>
      <c r="C6" s="83"/>
      <c r="D6" s="83"/>
      <c r="E6" s="83"/>
      <c r="F6" s="67"/>
      <c r="G6" s="67"/>
      <c r="H6" s="83"/>
      <c r="I6" s="83"/>
      <c r="J6" s="83"/>
      <c r="K6" s="83"/>
      <c r="L6" s="83"/>
      <c r="M6" s="83"/>
    </row>
    <row r="7" spans="1:29" ht="15.75" customHeight="1">
      <c r="B7" s="67"/>
      <c r="C7" s="83"/>
      <c r="D7" s="83"/>
      <c r="E7" s="83"/>
      <c r="F7" s="67"/>
      <c r="G7" s="67"/>
      <c r="H7" s="83"/>
      <c r="I7" s="83"/>
      <c r="J7" s="83"/>
      <c r="K7" s="83"/>
      <c r="L7" s="83"/>
      <c r="M7" s="83"/>
    </row>
    <row r="8" spans="1:29" ht="15.75" customHeight="1">
      <c r="B8" s="67"/>
      <c r="C8" s="83"/>
      <c r="D8" s="83"/>
      <c r="E8" s="83"/>
      <c r="F8" s="67"/>
      <c r="G8" s="67"/>
      <c r="H8" s="83"/>
      <c r="I8" s="83"/>
      <c r="J8" s="83"/>
      <c r="K8" s="83"/>
      <c r="L8" s="83"/>
      <c r="M8" s="83"/>
    </row>
    <row r="9" spans="1:29" ht="15.75" customHeight="1">
      <c r="B9" s="67"/>
      <c r="C9" s="83"/>
      <c r="D9" s="83"/>
      <c r="E9" s="83"/>
      <c r="F9" s="67"/>
      <c r="G9" s="67"/>
      <c r="H9" s="83"/>
      <c r="I9" s="83"/>
      <c r="J9" s="83"/>
      <c r="K9" s="83"/>
      <c r="L9" s="83"/>
      <c r="M9" s="83"/>
    </row>
    <row r="10" spans="1:29" ht="15.75" customHeight="1">
      <c r="B10" s="67"/>
      <c r="C10" s="83"/>
      <c r="D10" s="83"/>
      <c r="E10" s="83"/>
      <c r="F10" s="67"/>
      <c r="G10" s="67"/>
      <c r="H10" s="83"/>
      <c r="I10" s="83"/>
      <c r="J10" s="83"/>
      <c r="K10" s="83"/>
      <c r="L10" s="83"/>
      <c r="M10" s="83"/>
    </row>
    <row r="11" spans="1:29" ht="15.75" customHeight="1">
      <c r="B11" s="67"/>
      <c r="C11" s="83"/>
      <c r="D11" s="83"/>
      <c r="E11" s="83"/>
      <c r="F11" s="67"/>
      <c r="G11" s="67"/>
      <c r="H11" s="83"/>
      <c r="I11" s="83"/>
      <c r="J11" s="83"/>
      <c r="K11" s="83"/>
      <c r="L11" s="83"/>
      <c r="M11" s="83"/>
    </row>
    <row r="12" spans="1:29" ht="15.75" customHeight="1">
      <c r="B12" s="67"/>
      <c r="C12" s="83"/>
      <c r="D12" s="83"/>
      <c r="E12" s="83"/>
      <c r="F12" s="67"/>
      <c r="G12" s="67"/>
      <c r="H12" s="83"/>
      <c r="I12" s="83"/>
      <c r="J12" s="83"/>
      <c r="K12" s="83"/>
      <c r="L12" s="83"/>
      <c r="M12" s="83"/>
    </row>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sheetData>
  <autoFilter ref="A1:N1" xr:uid="{3A2BB050-11AC-4ED7-A296-96B42C7FCFBA}"/>
  <pageMargins left="0" right="0" top="0" bottom="0" header="0" footer="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58CE2-D64A-4C5B-B083-21463C7DE9DF}">
  <dimension ref="A1:AC7"/>
  <sheetViews>
    <sheetView workbookViewId="0">
      <pane xSplit="9" topLeftCell="J4" activePane="topRight" state="frozen"/>
      <selection pane="topRight" activeCell="E17" sqref="E17"/>
    </sheetView>
  </sheetViews>
  <sheetFormatPr defaultRowHeight="12.75"/>
  <cols>
    <col min="1" max="1" width="7.7109375" style="133" bestFit="1" customWidth="1"/>
    <col min="2" max="2" width="13" style="133" customWidth="1"/>
    <col min="3" max="3" width="14.42578125" style="133" customWidth="1"/>
    <col min="4" max="4" width="12" style="133" customWidth="1"/>
    <col min="5" max="5" width="22.140625" style="133" bestFit="1" customWidth="1"/>
    <col min="6" max="6" width="15.85546875" style="133" customWidth="1"/>
    <col min="7" max="7" width="12.140625" style="133" customWidth="1"/>
    <col min="8" max="8" width="43.7109375" style="168" customWidth="1"/>
    <col min="9" max="9" width="22.42578125" style="133" customWidth="1"/>
    <col min="10" max="10" width="10.42578125" style="133" customWidth="1"/>
    <col min="11" max="11" width="9" style="133" customWidth="1"/>
    <col min="12" max="12" width="10.28515625" style="133" customWidth="1"/>
    <col min="13" max="13" width="11.42578125" style="168" customWidth="1"/>
    <col min="14" max="14" width="12.5703125" style="168" customWidth="1"/>
    <col min="15" max="15" width="26.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29" width="33.5703125" style="168" customWidth="1"/>
    <col min="30" max="16384" width="9.140625" style="168"/>
  </cols>
  <sheetData>
    <row r="1" spans="1:29" ht="46.5">
      <c r="A1" s="274" t="s">
        <v>243</v>
      </c>
      <c r="B1" s="88" t="s">
        <v>4</v>
      </c>
      <c r="C1" s="88" t="s">
        <v>2</v>
      </c>
      <c r="D1" s="88" t="s">
        <v>3</v>
      </c>
      <c r="E1" s="275" t="s">
        <v>244</v>
      </c>
      <c r="F1" s="275" t="s">
        <v>245</v>
      </c>
      <c r="G1" s="275" t="s">
        <v>246</v>
      </c>
      <c r="H1" s="276" t="s">
        <v>247</v>
      </c>
      <c r="I1" s="275" t="s">
        <v>248</v>
      </c>
      <c r="J1" s="88" t="s">
        <v>249</v>
      </c>
      <c r="K1" s="88" t="s">
        <v>250</v>
      </c>
      <c r="L1" s="88"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c r="AC1" s="276" t="s">
        <v>270</v>
      </c>
    </row>
    <row r="2" spans="1:29" ht="43.5" customHeight="1">
      <c r="A2" s="193">
        <v>1</v>
      </c>
      <c r="B2" s="193" t="s">
        <v>379</v>
      </c>
      <c r="C2" s="313">
        <v>45807</v>
      </c>
      <c r="D2" s="313">
        <v>45820</v>
      </c>
      <c r="E2" s="5" t="s">
        <v>130</v>
      </c>
      <c r="F2" s="193" t="s">
        <v>275</v>
      </c>
      <c r="G2" s="127">
        <v>25162</v>
      </c>
      <c r="H2" s="193" t="s">
        <v>689</v>
      </c>
      <c r="I2" s="410" t="s">
        <v>295</v>
      </c>
      <c r="J2" s="193">
        <v>3</v>
      </c>
      <c r="K2" s="193">
        <v>3</v>
      </c>
      <c r="L2" s="193">
        <v>12</v>
      </c>
      <c r="M2" s="194" t="s">
        <v>690</v>
      </c>
      <c r="N2" s="194" t="s">
        <v>287</v>
      </c>
      <c r="O2" s="415"/>
      <c r="P2" s="194"/>
      <c r="Q2" s="194"/>
      <c r="R2" s="236" t="s">
        <v>691</v>
      </c>
      <c r="S2" s="206">
        <v>45811</v>
      </c>
      <c r="T2" s="206">
        <v>45811</v>
      </c>
      <c r="U2" s="194" t="s">
        <v>287</v>
      </c>
      <c r="V2" s="194"/>
      <c r="W2" s="194" t="s">
        <v>441</v>
      </c>
      <c r="X2" s="206">
        <v>45811</v>
      </c>
      <c r="Y2" s="194"/>
      <c r="Z2" s="194"/>
      <c r="AA2" s="194"/>
      <c r="AB2" s="194"/>
      <c r="AC2" s="194" t="s">
        <v>481</v>
      </c>
    </row>
    <row r="3" spans="1:29" ht="45" customHeight="1">
      <c r="A3" s="193">
        <v>2</v>
      </c>
      <c r="B3" s="193" t="s">
        <v>379</v>
      </c>
      <c r="C3" s="313">
        <v>45807</v>
      </c>
      <c r="D3" s="313">
        <v>45820</v>
      </c>
      <c r="E3" s="5" t="s">
        <v>130</v>
      </c>
      <c r="F3" s="193" t="s">
        <v>272</v>
      </c>
      <c r="G3" s="127">
        <v>48350</v>
      </c>
      <c r="H3" s="193" t="s">
        <v>692</v>
      </c>
      <c r="I3" s="410" t="s">
        <v>280</v>
      </c>
      <c r="J3" s="193">
        <v>2</v>
      </c>
      <c r="K3" s="193">
        <v>2</v>
      </c>
      <c r="L3" s="193">
        <v>10</v>
      </c>
      <c r="M3" s="194"/>
      <c r="N3" s="194"/>
      <c r="O3" s="415"/>
      <c r="P3" s="194"/>
      <c r="Q3" s="194"/>
      <c r="R3" s="236"/>
      <c r="S3" s="206"/>
      <c r="T3" s="194"/>
      <c r="U3" s="194"/>
      <c r="V3" s="194"/>
      <c r="W3" s="194"/>
      <c r="X3" s="206"/>
      <c r="Y3" s="194"/>
      <c r="Z3" s="194"/>
      <c r="AA3" s="194"/>
      <c r="AB3" s="194"/>
      <c r="AC3" s="194" t="s">
        <v>481</v>
      </c>
    </row>
    <row r="4" spans="1:29" ht="45" customHeight="1">
      <c r="A4" s="193">
        <v>3</v>
      </c>
      <c r="B4" s="193" t="s">
        <v>379</v>
      </c>
      <c r="C4" s="313">
        <v>45807</v>
      </c>
      <c r="D4" s="313">
        <v>45820</v>
      </c>
      <c r="E4" s="193" t="s">
        <v>693</v>
      </c>
      <c r="F4" s="193" t="s">
        <v>417</v>
      </c>
      <c r="G4" s="127">
        <v>25295</v>
      </c>
      <c r="H4" s="193" t="s">
        <v>683</v>
      </c>
      <c r="I4" s="193" t="s">
        <v>694</v>
      </c>
      <c r="J4" s="193">
        <v>5</v>
      </c>
      <c r="K4" s="193">
        <v>2</v>
      </c>
      <c r="L4" s="193">
        <v>8</v>
      </c>
      <c r="M4" s="194"/>
      <c r="N4" s="194"/>
      <c r="O4" s="415"/>
      <c r="P4" s="194"/>
      <c r="Q4" s="194"/>
      <c r="R4" s="236"/>
      <c r="S4" s="206"/>
      <c r="T4" s="194"/>
      <c r="U4" s="194"/>
      <c r="V4" s="194"/>
      <c r="W4" s="194"/>
      <c r="X4" s="206"/>
      <c r="Y4" s="194"/>
      <c r="Z4" s="194"/>
      <c r="AA4" s="194"/>
      <c r="AB4" s="194"/>
      <c r="AC4" s="212"/>
    </row>
    <row r="5" spans="1:29" ht="42" customHeight="1">
      <c r="A5" s="204">
        <v>4</v>
      </c>
      <c r="B5" s="204" t="s">
        <v>379</v>
      </c>
      <c r="C5" s="370">
        <v>45807</v>
      </c>
      <c r="D5" s="370">
        <v>45820</v>
      </c>
      <c r="E5" s="204" t="s">
        <v>130</v>
      </c>
      <c r="F5" s="193" t="s">
        <v>695</v>
      </c>
      <c r="G5" s="136">
        <v>48533</v>
      </c>
      <c r="H5" s="204" t="s">
        <v>696</v>
      </c>
      <c r="I5" s="410" t="s">
        <v>280</v>
      </c>
      <c r="J5" s="204">
        <v>13</v>
      </c>
      <c r="K5" s="204">
        <v>13</v>
      </c>
      <c r="L5" s="204">
        <v>46</v>
      </c>
      <c r="M5" s="207"/>
      <c r="N5" s="207"/>
      <c r="O5" s="207"/>
      <c r="P5" s="207"/>
      <c r="Q5" s="207"/>
      <c r="R5" s="253"/>
      <c r="S5" s="208"/>
      <c r="T5" s="207"/>
      <c r="U5" s="207"/>
      <c r="V5" s="207"/>
      <c r="W5" s="207"/>
      <c r="X5" s="208"/>
      <c r="Y5" s="207"/>
      <c r="Z5" s="207"/>
      <c r="AA5" s="207"/>
      <c r="AB5" s="324" t="s">
        <v>697</v>
      </c>
      <c r="AC5" s="194" t="s">
        <v>481</v>
      </c>
    </row>
    <row r="6" spans="1:29" ht="35.25" customHeight="1">
      <c r="A6" s="204">
        <v>5</v>
      </c>
      <c r="B6" s="204" t="s">
        <v>379</v>
      </c>
      <c r="C6" s="370">
        <v>45807</v>
      </c>
      <c r="D6" s="370">
        <v>45820</v>
      </c>
      <c r="E6" s="204" t="s">
        <v>693</v>
      </c>
      <c r="F6" s="204" t="s">
        <v>287</v>
      </c>
      <c r="G6" s="136">
        <v>48145</v>
      </c>
      <c r="H6" s="204" t="s">
        <v>698</v>
      </c>
      <c r="I6" s="193" t="s">
        <v>274</v>
      </c>
      <c r="J6" s="204">
        <v>13</v>
      </c>
      <c r="K6" s="204">
        <v>7</v>
      </c>
      <c r="L6" s="204">
        <v>29</v>
      </c>
      <c r="M6" s="207"/>
      <c r="N6" s="207"/>
      <c r="O6" s="207"/>
      <c r="P6" s="207"/>
      <c r="Q6" s="207"/>
      <c r="R6" s="253"/>
      <c r="S6" s="208"/>
      <c r="T6" s="207"/>
      <c r="U6" s="207"/>
      <c r="V6" s="207"/>
      <c r="W6" s="207"/>
      <c r="X6" s="208"/>
      <c r="Y6" s="207"/>
      <c r="Z6" s="207"/>
      <c r="AA6" s="207"/>
      <c r="AB6" s="207"/>
      <c r="AC6" s="411"/>
    </row>
    <row r="7" spans="1:29" ht="41.25" customHeight="1">
      <c r="A7" s="204">
        <v>6</v>
      </c>
      <c r="B7" s="204" t="s">
        <v>379</v>
      </c>
      <c r="C7" s="370">
        <v>45807</v>
      </c>
      <c r="D7" s="370">
        <v>45820</v>
      </c>
      <c r="E7" s="5" t="s">
        <v>130</v>
      </c>
      <c r="F7" s="204" t="s">
        <v>272</v>
      </c>
      <c r="G7" s="136">
        <v>48607</v>
      </c>
      <c r="H7" s="204" t="s">
        <v>655</v>
      </c>
      <c r="I7" s="410" t="s">
        <v>280</v>
      </c>
      <c r="J7" s="204">
        <v>5</v>
      </c>
      <c r="K7" s="204">
        <v>5</v>
      </c>
      <c r="L7" s="204">
        <v>22</v>
      </c>
      <c r="M7" s="207"/>
      <c r="N7" s="207"/>
      <c r="O7" s="207"/>
      <c r="P7" s="207" t="s">
        <v>283</v>
      </c>
      <c r="Q7" s="207"/>
      <c r="R7" s="253" t="s">
        <v>699</v>
      </c>
      <c r="S7" s="370">
        <v>45818</v>
      </c>
      <c r="T7" s="370">
        <v>45820</v>
      </c>
      <c r="U7" s="207"/>
      <c r="V7" s="207"/>
      <c r="W7" s="207" t="s">
        <v>283</v>
      </c>
      <c r="X7" s="208"/>
      <c r="Y7" s="207" t="s">
        <v>700</v>
      </c>
      <c r="Z7" s="207"/>
      <c r="AA7" s="207"/>
      <c r="AB7" s="207"/>
      <c r="AC7" s="194" t="s">
        <v>481</v>
      </c>
    </row>
  </sheetData>
  <dataValidations count="1">
    <dataValidation type="list" allowBlank="1" showInputMessage="1" showErrorMessage="1" sqref="AC2:AC7" xr:uid="{FF9FB770-6104-44C9-A811-8682B2AAC1A4}">
      <formula1>"Exceeds Expectation, Meets Expectation, Needs improvements"</formula1>
    </dataValidation>
  </dataValidations>
  <hyperlinks>
    <hyperlink ref="R2" r:id="rId1" xr:uid="{6F702048-8EDA-4E7C-B1DB-540A0F56DBBC}"/>
    <hyperlink ref="R7" r:id="rId2" xr:uid="{9DF95E55-21A8-4F06-9A54-5381A4345C98}"/>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70616FEF-4234-4889-A1EE-FEB9D22160B6}">
          <x14:formula1>
            <xm:f>Settings!$C$3:$C$20</xm:f>
          </x14:formula1>
          <xm:sqref>I2:I7</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61B13-04A6-481E-8C73-20FA615255AE}">
  <sheetPr>
    <outlinePr summaryBelow="0" summaryRight="0"/>
  </sheetPr>
  <dimension ref="A1:AC969"/>
  <sheetViews>
    <sheetView topLeftCell="B1" workbookViewId="0">
      <selection activeCell="A2" sqref="A2"/>
    </sheetView>
  </sheetViews>
  <sheetFormatPr defaultColWidth="12.5703125" defaultRowHeight="15" customHeight="1"/>
  <cols>
    <col min="1" max="1" width="12.5703125" style="70" hidden="1" customWidth="1"/>
    <col min="2" max="2" width="18.28515625" style="70" customWidth="1"/>
    <col min="3" max="3" width="11.7109375" style="48" customWidth="1"/>
    <col min="4" max="4" width="14.42578125" style="48" customWidth="1"/>
    <col min="5" max="5" width="21.85546875" style="48" customWidth="1"/>
    <col min="6" max="6" width="13.85546875" style="70" customWidth="1"/>
    <col min="7" max="7" width="46.28515625" style="70" customWidth="1"/>
    <col min="8" max="8" width="10.42578125" style="48" customWidth="1"/>
    <col min="9" max="9" width="18.7109375" style="48" customWidth="1"/>
    <col min="10" max="10" width="9.140625" style="48" bestFit="1" customWidth="1"/>
    <col min="11" max="11" width="14.42578125" style="48" customWidth="1"/>
    <col min="12" max="12" width="19" style="48" customWidth="1"/>
    <col min="13" max="13" width="20.28515625" style="48" customWidth="1"/>
    <col min="14" max="14" width="56" style="48" customWidth="1"/>
    <col min="15" max="16384" width="12.5703125" style="70"/>
  </cols>
  <sheetData>
    <row r="1" spans="1:29" ht="27">
      <c r="A1" s="406" t="s">
        <v>243</v>
      </c>
      <c r="B1" s="88" t="s">
        <v>11</v>
      </c>
      <c r="C1" s="88" t="s">
        <v>297</v>
      </c>
      <c r="D1" s="88" t="s">
        <v>298</v>
      </c>
      <c r="E1" s="88" t="s">
        <v>245</v>
      </c>
      <c r="F1" s="88" t="s">
        <v>299</v>
      </c>
      <c r="G1" s="88" t="s">
        <v>300</v>
      </c>
      <c r="H1" s="88" t="s">
        <v>301</v>
      </c>
      <c r="I1" s="88" t="s">
        <v>302</v>
      </c>
      <c r="J1" s="88" t="s">
        <v>303</v>
      </c>
      <c r="K1" s="88" t="s">
        <v>304</v>
      </c>
      <c r="L1" s="88" t="s">
        <v>248</v>
      </c>
      <c r="M1" s="187" t="s">
        <v>305</v>
      </c>
      <c r="N1" s="395" t="s">
        <v>306</v>
      </c>
      <c r="O1" s="219"/>
      <c r="P1" s="219"/>
      <c r="Q1" s="219"/>
      <c r="R1" s="219"/>
      <c r="S1" s="219"/>
      <c r="T1" s="219"/>
      <c r="U1" s="219"/>
      <c r="V1" s="219"/>
      <c r="W1" s="219"/>
      <c r="X1" s="219"/>
      <c r="Y1" s="219"/>
      <c r="Z1" s="219"/>
      <c r="AA1" s="219"/>
      <c r="AB1" s="219"/>
      <c r="AC1" s="219"/>
    </row>
    <row r="2" spans="1:29" ht="12.75">
      <c r="B2" s="5"/>
      <c r="C2" s="413"/>
      <c r="D2" s="413"/>
      <c r="E2" s="413"/>
      <c r="F2" s="222"/>
      <c r="G2" s="299"/>
      <c r="H2" s="413"/>
      <c r="I2" s="83"/>
      <c r="J2" s="83"/>
      <c r="K2" s="83"/>
      <c r="L2" s="414"/>
      <c r="M2" s="83"/>
    </row>
    <row r="3" spans="1:29" ht="15.75" customHeight="1">
      <c r="B3" s="5"/>
      <c r="C3" s="83"/>
      <c r="D3" s="83"/>
      <c r="E3" s="299"/>
      <c r="F3" s="222"/>
      <c r="G3" s="299"/>
      <c r="H3" s="413"/>
      <c r="I3" s="83"/>
      <c r="J3" s="83"/>
      <c r="K3" s="83"/>
      <c r="L3" s="299"/>
      <c r="M3" s="83"/>
    </row>
    <row r="4" spans="1:29" ht="15.75" customHeight="1">
      <c r="B4" s="67"/>
      <c r="C4" s="83"/>
      <c r="D4" s="83"/>
      <c r="E4" s="83"/>
      <c r="F4" s="67"/>
      <c r="G4" s="67"/>
      <c r="H4" s="83"/>
      <c r="I4" s="83"/>
      <c r="J4" s="83"/>
      <c r="K4" s="83"/>
      <c r="L4" s="83"/>
      <c r="M4" s="83"/>
    </row>
    <row r="5" spans="1:29" ht="15.75" customHeight="1">
      <c r="B5" s="67"/>
      <c r="C5" s="83"/>
      <c r="D5" s="83"/>
      <c r="E5" s="83"/>
      <c r="F5" s="67"/>
      <c r="G5" s="67"/>
      <c r="H5" s="83"/>
      <c r="I5" s="83"/>
      <c r="J5" s="83"/>
      <c r="K5" s="83"/>
      <c r="L5" s="83"/>
      <c r="M5" s="83"/>
    </row>
    <row r="6" spans="1:29" ht="15.75" customHeight="1">
      <c r="B6" s="67"/>
      <c r="C6" s="83"/>
      <c r="D6" s="83"/>
      <c r="E6" s="83"/>
      <c r="F6" s="67"/>
      <c r="G6" s="67"/>
      <c r="H6" s="83"/>
      <c r="I6" s="83"/>
      <c r="J6" s="83"/>
      <c r="K6" s="83"/>
      <c r="L6" s="83"/>
      <c r="M6" s="83"/>
    </row>
    <row r="7" spans="1:29" ht="15.75" customHeight="1">
      <c r="B7" s="67"/>
      <c r="C7" s="83"/>
      <c r="D7" s="83"/>
      <c r="E7" s="83"/>
      <c r="F7" s="67"/>
      <c r="G7" s="67"/>
      <c r="H7" s="83"/>
      <c r="I7" s="83"/>
      <c r="J7" s="83"/>
      <c r="K7" s="83"/>
      <c r="L7" s="83"/>
      <c r="M7" s="83"/>
    </row>
    <row r="8" spans="1:29" ht="15.75" customHeight="1">
      <c r="B8" s="67"/>
      <c r="C8" s="83"/>
      <c r="D8" s="83"/>
      <c r="E8" s="83"/>
      <c r="F8" s="67"/>
      <c r="G8" s="67"/>
      <c r="H8" s="83"/>
      <c r="I8" s="83"/>
      <c r="J8" s="83"/>
      <c r="K8" s="83"/>
      <c r="L8" s="83"/>
      <c r="M8" s="83"/>
    </row>
    <row r="9" spans="1:29" ht="15.75" customHeight="1">
      <c r="B9" s="67"/>
      <c r="C9" s="83"/>
      <c r="D9" s="83"/>
      <c r="E9" s="83"/>
      <c r="F9" s="67"/>
      <c r="G9" s="67"/>
      <c r="H9" s="83"/>
      <c r="I9" s="83"/>
      <c r="J9" s="83"/>
      <c r="K9" s="83"/>
      <c r="L9" s="83"/>
      <c r="M9" s="83"/>
    </row>
    <row r="10" spans="1:29" ht="15.75" customHeight="1">
      <c r="B10" s="67"/>
      <c r="C10" s="83"/>
      <c r="D10" s="83"/>
      <c r="E10" s="83"/>
      <c r="F10" s="67"/>
      <c r="G10" s="67"/>
      <c r="H10" s="83"/>
      <c r="I10" s="83"/>
      <c r="J10" s="83"/>
      <c r="K10" s="83"/>
      <c r="L10" s="83"/>
      <c r="M10" s="83"/>
    </row>
    <row r="11" spans="1:29" ht="15.75" customHeight="1">
      <c r="B11" s="67"/>
      <c r="C11" s="83"/>
      <c r="D11" s="83"/>
      <c r="E11" s="83"/>
      <c r="F11" s="67"/>
      <c r="G11" s="67"/>
      <c r="H11" s="83"/>
      <c r="I11" s="83"/>
      <c r="J11" s="83"/>
      <c r="K11" s="83"/>
      <c r="L11" s="83"/>
      <c r="M11" s="83"/>
    </row>
    <row r="12" spans="1:29" ht="15.75" customHeight="1">
      <c r="B12" s="67"/>
      <c r="C12" s="83"/>
      <c r="D12" s="83"/>
      <c r="E12" s="83"/>
      <c r="F12" s="67"/>
      <c r="G12" s="67"/>
      <c r="H12" s="83"/>
      <c r="I12" s="83"/>
      <c r="J12" s="83"/>
      <c r="K12" s="83"/>
      <c r="L12" s="83"/>
      <c r="M12" s="83"/>
    </row>
    <row r="13" spans="1:29" ht="15.75" customHeight="1">
      <c r="B13" s="67"/>
      <c r="C13" s="83"/>
      <c r="D13" s="83"/>
      <c r="E13" s="83"/>
      <c r="F13" s="67"/>
      <c r="G13" s="67"/>
      <c r="H13" s="83"/>
      <c r="I13" s="83"/>
      <c r="J13" s="83"/>
      <c r="K13" s="83"/>
      <c r="L13" s="83"/>
      <c r="M13" s="83"/>
    </row>
    <row r="14" spans="1:29" ht="15.75" customHeight="1">
      <c r="B14" s="67"/>
      <c r="C14" s="83"/>
      <c r="D14" s="83"/>
      <c r="E14" s="83"/>
      <c r="F14" s="67"/>
      <c r="G14" s="67"/>
      <c r="H14" s="83"/>
      <c r="I14" s="83"/>
      <c r="J14" s="83"/>
      <c r="K14" s="83"/>
      <c r="L14" s="83"/>
      <c r="M14" s="83"/>
    </row>
    <row r="15" spans="1:29" ht="15.75" customHeight="1">
      <c r="B15" s="67"/>
      <c r="C15" s="83"/>
      <c r="D15" s="83"/>
      <c r="E15" s="83"/>
      <c r="F15" s="67"/>
      <c r="G15" s="67"/>
      <c r="H15" s="83"/>
      <c r="I15" s="83"/>
      <c r="J15" s="83"/>
      <c r="K15" s="83"/>
      <c r="L15" s="83"/>
      <c r="M15" s="83"/>
    </row>
    <row r="16" spans="1:29" ht="15.75" customHeight="1">
      <c r="B16" s="67"/>
      <c r="C16" s="83"/>
      <c r="D16" s="83"/>
      <c r="E16" s="83"/>
      <c r="F16" s="67"/>
      <c r="G16" s="67"/>
      <c r="H16" s="83"/>
      <c r="I16" s="83"/>
      <c r="J16" s="83"/>
      <c r="K16" s="83"/>
      <c r="L16" s="83"/>
      <c r="M16" s="83"/>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autoFilter ref="A1:N1" xr:uid="{3A2BB050-11AC-4ED7-A296-96B42C7FCFBA}"/>
  <dataValidations count="1">
    <dataValidation type="list" allowBlank="1" showErrorMessage="1" sqref="F2:F3" xr:uid="{84090741-57A9-44AC-A938-8D6697327491}">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E01E3174-808C-40DF-B3E7-6BFF6A635B7D}">
          <x14:formula1>
            <xm:f>Settings!$C$3:$C$20</xm:f>
          </x14:formula1>
          <xm:sqref>L3</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C9D22-F7DA-4032-BAC5-49DB11287505}">
  <dimension ref="A1:AC11"/>
  <sheetViews>
    <sheetView workbookViewId="0">
      <pane xSplit="7" topLeftCell="J2" activePane="topRight" state="frozen"/>
      <selection pane="topRight" activeCell="J2" sqref="J2:J9"/>
    </sheetView>
  </sheetViews>
  <sheetFormatPr defaultRowHeight="12.75"/>
  <cols>
    <col min="1" max="1" width="7.7109375" style="133" bestFit="1" customWidth="1"/>
    <col min="2" max="2" width="13" style="133" customWidth="1"/>
    <col min="3" max="3" width="14.42578125" style="133" customWidth="1"/>
    <col min="4" max="4" width="12" style="133" customWidth="1"/>
    <col min="5" max="5" width="17" style="133" customWidth="1"/>
    <col min="6" max="6" width="15.85546875" style="133" customWidth="1"/>
    <col min="7" max="7" width="16.5703125" style="133" customWidth="1"/>
    <col min="8" max="8" width="42.28515625" style="168" customWidth="1"/>
    <col min="9" max="9" width="18.85546875" style="133" customWidth="1"/>
    <col min="10" max="10" width="10.42578125" style="133" customWidth="1"/>
    <col min="11" max="11" width="9" style="133" customWidth="1"/>
    <col min="12" max="12" width="10.28515625" style="133" customWidth="1"/>
    <col min="13" max="13" width="11.42578125" style="168" customWidth="1"/>
    <col min="14" max="14" width="12.5703125" style="168" customWidth="1"/>
    <col min="15" max="15" width="26.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29" width="33.5703125" style="168" customWidth="1"/>
    <col min="30" max="16384" width="9.140625" style="168"/>
  </cols>
  <sheetData>
    <row r="1" spans="1:29" ht="46.5">
      <c r="A1" s="274" t="s">
        <v>243</v>
      </c>
      <c r="B1" s="88" t="s">
        <v>4</v>
      </c>
      <c r="C1" s="88" t="s">
        <v>2</v>
      </c>
      <c r="D1" s="88" t="s">
        <v>3</v>
      </c>
      <c r="E1" s="275" t="s">
        <v>244</v>
      </c>
      <c r="F1" s="275" t="s">
        <v>245</v>
      </c>
      <c r="G1" s="275" t="s">
        <v>246</v>
      </c>
      <c r="H1" s="276" t="s">
        <v>247</v>
      </c>
      <c r="I1" s="275" t="s">
        <v>248</v>
      </c>
      <c r="J1" s="88" t="s">
        <v>249</v>
      </c>
      <c r="K1" s="88" t="s">
        <v>250</v>
      </c>
      <c r="L1" s="88"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c r="AC1" s="276" t="s">
        <v>270</v>
      </c>
    </row>
    <row r="2" spans="1:29" ht="33" customHeight="1">
      <c r="A2" s="204">
        <v>1</v>
      </c>
      <c r="B2" s="204" t="s">
        <v>379</v>
      </c>
      <c r="C2" s="370">
        <v>45793</v>
      </c>
      <c r="D2" s="370">
        <v>45806</v>
      </c>
      <c r="E2" s="204" t="s">
        <v>125</v>
      </c>
      <c r="F2" s="204" t="s">
        <v>701</v>
      </c>
      <c r="G2" s="204">
        <v>47562</v>
      </c>
      <c r="H2" s="204" t="s">
        <v>702</v>
      </c>
      <c r="I2" s="410" t="s">
        <v>280</v>
      </c>
      <c r="J2" s="204">
        <v>5</v>
      </c>
      <c r="K2" s="204">
        <v>5</v>
      </c>
      <c r="L2" s="204">
        <v>20</v>
      </c>
      <c r="M2" s="207"/>
      <c r="N2" s="207"/>
      <c r="O2" s="207"/>
      <c r="P2" s="207"/>
      <c r="Q2" s="207"/>
      <c r="R2" s="253"/>
      <c r="S2" s="208"/>
      <c r="T2" s="207"/>
      <c r="U2" s="207"/>
      <c r="V2" s="207"/>
      <c r="W2" s="207"/>
      <c r="X2" s="208"/>
      <c r="Y2" s="207"/>
      <c r="Z2" s="207"/>
      <c r="AA2" s="207"/>
      <c r="AB2" s="207"/>
      <c r="AC2" s="194"/>
    </row>
    <row r="3" spans="1:29" ht="39" customHeight="1">
      <c r="A3" s="204">
        <v>2</v>
      </c>
      <c r="B3" s="204" t="s">
        <v>379</v>
      </c>
      <c r="C3" s="370">
        <v>45793</v>
      </c>
      <c r="D3" s="370">
        <v>45806</v>
      </c>
      <c r="E3" s="204" t="s">
        <v>703</v>
      </c>
      <c r="F3" s="204" t="s">
        <v>272</v>
      </c>
      <c r="G3" s="204">
        <v>48235</v>
      </c>
      <c r="H3" s="204" t="s">
        <v>704</v>
      </c>
      <c r="I3" s="410" t="s">
        <v>280</v>
      </c>
      <c r="J3" s="204">
        <v>3</v>
      </c>
      <c r="K3" s="204">
        <v>5</v>
      </c>
      <c r="L3" s="204">
        <v>29</v>
      </c>
      <c r="M3" s="207"/>
      <c r="N3" s="207" t="s">
        <v>283</v>
      </c>
      <c r="O3" s="207"/>
      <c r="P3" s="207" t="s">
        <v>283</v>
      </c>
      <c r="Q3" s="207"/>
      <c r="R3" s="253" t="s">
        <v>705</v>
      </c>
      <c r="S3" s="206">
        <v>45796</v>
      </c>
      <c r="T3" s="206">
        <v>45798</v>
      </c>
      <c r="U3" s="207"/>
      <c r="V3" s="207"/>
      <c r="W3" s="207" t="s">
        <v>283</v>
      </c>
      <c r="X3" s="206">
        <v>45798</v>
      </c>
      <c r="Y3" s="207"/>
      <c r="Z3" s="207"/>
      <c r="AA3" s="207"/>
      <c r="AB3" s="207" t="s">
        <v>706</v>
      </c>
      <c r="AC3" s="194"/>
    </row>
    <row r="4" spans="1:29" ht="27.75" customHeight="1">
      <c r="A4" s="193">
        <v>3</v>
      </c>
      <c r="B4" s="204" t="s">
        <v>379</v>
      </c>
      <c r="C4" s="370">
        <v>45793</v>
      </c>
      <c r="D4" s="370">
        <v>45806</v>
      </c>
      <c r="E4" s="204" t="s">
        <v>125</v>
      </c>
      <c r="F4" s="204" t="s">
        <v>272</v>
      </c>
      <c r="G4" s="204">
        <v>48347</v>
      </c>
      <c r="H4" s="204" t="s">
        <v>637</v>
      </c>
      <c r="I4" s="410" t="s">
        <v>280</v>
      </c>
      <c r="J4" s="193">
        <v>5</v>
      </c>
      <c r="K4" s="193">
        <v>5</v>
      </c>
      <c r="L4" s="193">
        <v>22</v>
      </c>
      <c r="M4" s="194"/>
      <c r="N4" s="194"/>
      <c r="O4" s="194"/>
      <c r="P4" s="194"/>
      <c r="Q4" s="194"/>
      <c r="R4" s="236"/>
      <c r="S4" s="206"/>
      <c r="T4" s="194"/>
      <c r="U4" s="194"/>
      <c r="V4" s="194"/>
      <c r="W4" s="194"/>
      <c r="X4" s="206"/>
      <c r="Y4" s="194"/>
      <c r="Z4" s="194"/>
      <c r="AA4" s="194"/>
      <c r="AB4" s="194"/>
      <c r="AC4" s="194"/>
    </row>
    <row r="5" spans="1:29" ht="28.5" customHeight="1">
      <c r="A5" s="193">
        <v>4</v>
      </c>
      <c r="B5" s="204" t="s">
        <v>379</v>
      </c>
      <c r="C5" s="370">
        <v>45793</v>
      </c>
      <c r="D5" s="370">
        <v>45806</v>
      </c>
      <c r="E5" s="204" t="s">
        <v>125</v>
      </c>
      <c r="F5" s="204" t="s">
        <v>272</v>
      </c>
      <c r="G5" s="193">
        <v>48351</v>
      </c>
      <c r="H5" s="193" t="s">
        <v>707</v>
      </c>
      <c r="I5" s="410" t="s">
        <v>280</v>
      </c>
      <c r="J5" s="193">
        <v>8</v>
      </c>
      <c r="K5" s="193">
        <v>8</v>
      </c>
      <c r="L5" s="193">
        <v>32</v>
      </c>
      <c r="M5" s="194"/>
      <c r="N5" s="194"/>
      <c r="O5" s="194"/>
      <c r="P5" s="194"/>
      <c r="Q5" s="194"/>
      <c r="R5" s="236"/>
      <c r="S5" s="206"/>
      <c r="T5" s="194"/>
      <c r="U5" s="194"/>
      <c r="V5" s="194"/>
      <c r="W5" s="194"/>
      <c r="X5" s="206"/>
      <c r="Y5" s="194"/>
      <c r="Z5" s="194"/>
      <c r="AA5" s="194"/>
      <c r="AB5" s="194"/>
      <c r="AC5" s="194"/>
    </row>
    <row r="6" spans="1:29" ht="34.5" customHeight="1">
      <c r="A6" s="193">
        <v>5</v>
      </c>
      <c r="B6" s="204" t="s">
        <v>379</v>
      </c>
      <c r="C6" s="370">
        <v>45793</v>
      </c>
      <c r="D6" s="370">
        <v>45806</v>
      </c>
      <c r="E6" s="204" t="s">
        <v>125</v>
      </c>
      <c r="F6" s="193" t="s">
        <v>275</v>
      </c>
      <c r="G6" s="193">
        <v>25162</v>
      </c>
      <c r="H6" s="193" t="s">
        <v>689</v>
      </c>
      <c r="I6" s="193" t="s">
        <v>694</v>
      </c>
      <c r="J6" s="193">
        <v>3</v>
      </c>
      <c r="K6" s="193">
        <v>8</v>
      </c>
      <c r="L6" s="193">
        <v>32</v>
      </c>
      <c r="M6" s="194"/>
      <c r="N6" s="194"/>
      <c r="O6" s="194"/>
      <c r="P6" s="194"/>
      <c r="Q6" s="194"/>
      <c r="R6" s="236"/>
      <c r="S6" s="206"/>
      <c r="T6" s="194"/>
      <c r="U6" s="194"/>
      <c r="V6" s="194"/>
      <c r="W6" s="194"/>
      <c r="X6" s="206"/>
      <c r="Y6" s="194"/>
      <c r="Z6" s="194"/>
      <c r="AA6" s="194"/>
      <c r="AB6" s="194" t="s">
        <v>708</v>
      </c>
      <c r="AC6" s="194"/>
    </row>
    <row r="7" spans="1:29" ht="40.5" customHeight="1">
      <c r="A7" s="193">
        <v>6</v>
      </c>
      <c r="B7" s="193" t="s">
        <v>379</v>
      </c>
      <c r="C7" s="313">
        <v>45793</v>
      </c>
      <c r="D7" s="313">
        <v>45806</v>
      </c>
      <c r="E7" s="193" t="s">
        <v>125</v>
      </c>
      <c r="F7" s="193" t="s">
        <v>417</v>
      </c>
      <c r="G7" s="193">
        <v>25282</v>
      </c>
      <c r="H7" s="193" t="s">
        <v>709</v>
      </c>
      <c r="I7" s="410" t="s">
        <v>295</v>
      </c>
      <c r="J7" s="193"/>
      <c r="K7" s="193"/>
      <c r="L7" s="193"/>
      <c r="M7" s="194"/>
      <c r="N7" s="194" t="s">
        <v>272</v>
      </c>
      <c r="O7" s="194"/>
      <c r="P7" s="194" t="s">
        <v>275</v>
      </c>
      <c r="Q7" s="194"/>
      <c r="R7" s="236" t="s">
        <v>710</v>
      </c>
      <c r="S7" s="206">
        <v>45804</v>
      </c>
      <c r="T7" s="206">
        <v>45804</v>
      </c>
      <c r="U7" s="194" t="s">
        <v>287</v>
      </c>
      <c r="V7" s="194"/>
      <c r="W7" s="194" t="s">
        <v>441</v>
      </c>
      <c r="X7" s="206">
        <v>45805</v>
      </c>
      <c r="Y7" s="194"/>
      <c r="Z7" s="194"/>
      <c r="AA7" s="194"/>
      <c r="AB7" s="194"/>
      <c r="AC7" s="194"/>
    </row>
    <row r="8" spans="1:29" ht="39.75" customHeight="1">
      <c r="A8" s="193">
        <v>7</v>
      </c>
      <c r="B8" s="193" t="s">
        <v>379</v>
      </c>
      <c r="C8" s="313">
        <v>45793</v>
      </c>
      <c r="D8" s="313">
        <v>45806</v>
      </c>
      <c r="E8" s="193" t="s">
        <v>125</v>
      </c>
      <c r="F8" s="193" t="s">
        <v>417</v>
      </c>
      <c r="G8" s="193">
        <v>25302</v>
      </c>
      <c r="H8" s="193" t="s">
        <v>711</v>
      </c>
      <c r="I8" s="410" t="s">
        <v>295</v>
      </c>
      <c r="J8" s="193"/>
      <c r="K8" s="193"/>
      <c r="L8" s="193"/>
      <c r="M8" s="194"/>
      <c r="N8" s="194" t="s">
        <v>272</v>
      </c>
      <c r="O8" s="194"/>
      <c r="P8" s="194" t="s">
        <v>275</v>
      </c>
      <c r="Q8" s="194"/>
      <c r="R8" s="236" t="s">
        <v>712</v>
      </c>
      <c r="S8" s="206">
        <v>45804</v>
      </c>
      <c r="T8" s="206">
        <v>45804</v>
      </c>
      <c r="U8" s="194" t="s">
        <v>287</v>
      </c>
      <c r="V8" s="194"/>
      <c r="W8" s="194" t="s">
        <v>441</v>
      </c>
      <c r="X8" s="206">
        <v>45805</v>
      </c>
      <c r="Y8" s="194"/>
      <c r="Z8" s="194"/>
      <c r="AA8" s="194"/>
      <c r="AB8" s="194"/>
      <c r="AC8" s="86"/>
    </row>
    <row r="9" spans="1:29" ht="41.25" customHeight="1">
      <c r="A9" s="204">
        <v>8</v>
      </c>
      <c r="B9" s="193" t="s">
        <v>379</v>
      </c>
      <c r="C9" s="313">
        <v>45793</v>
      </c>
      <c r="D9" s="370">
        <v>45806</v>
      </c>
      <c r="E9" s="204" t="s">
        <v>703</v>
      </c>
      <c r="F9" s="204" t="s">
        <v>595</v>
      </c>
      <c r="G9" s="204">
        <v>47610</v>
      </c>
      <c r="H9" s="204" t="s">
        <v>713</v>
      </c>
      <c r="I9" s="410" t="s">
        <v>280</v>
      </c>
      <c r="J9" s="204">
        <v>3</v>
      </c>
      <c r="K9" s="204">
        <v>3</v>
      </c>
      <c r="L9" s="204">
        <v>12</v>
      </c>
      <c r="M9" s="207"/>
      <c r="N9" s="207"/>
      <c r="O9" s="207"/>
      <c r="P9" s="207" t="s">
        <v>287</v>
      </c>
      <c r="Q9" s="207"/>
      <c r="R9" s="106" t="s">
        <v>714</v>
      </c>
      <c r="S9" s="208">
        <v>45800</v>
      </c>
      <c r="T9" s="208">
        <v>45800</v>
      </c>
      <c r="U9" s="194" t="s">
        <v>287</v>
      </c>
      <c r="V9" s="194"/>
      <c r="W9" s="194" t="s">
        <v>441</v>
      </c>
      <c r="X9" s="208">
        <v>45800</v>
      </c>
      <c r="Y9" s="207"/>
      <c r="Z9" s="207"/>
      <c r="AA9" s="207"/>
      <c r="AB9" s="207"/>
      <c r="AC9" s="411"/>
    </row>
    <row r="10" spans="1:29">
      <c r="A10" s="193"/>
      <c r="B10" s="193"/>
      <c r="C10" s="313"/>
      <c r="D10" s="313"/>
      <c r="E10" s="193"/>
      <c r="F10" s="193"/>
      <c r="G10" s="193"/>
      <c r="H10" s="193"/>
      <c r="I10" s="407"/>
      <c r="J10" s="193"/>
      <c r="K10" s="193"/>
      <c r="L10" s="193"/>
      <c r="M10" s="194"/>
      <c r="N10" s="194"/>
      <c r="O10" s="194"/>
      <c r="P10" s="194"/>
      <c r="Q10" s="194"/>
      <c r="R10" s="236"/>
      <c r="S10" s="206"/>
      <c r="T10" s="194"/>
      <c r="U10" s="194"/>
      <c r="V10" s="194"/>
      <c r="W10" s="194"/>
      <c r="X10" s="206"/>
      <c r="Y10" s="194"/>
      <c r="Z10" s="194"/>
      <c r="AA10" s="194"/>
      <c r="AB10" s="194"/>
      <c r="AC10" s="212"/>
    </row>
    <row r="11" spans="1:29">
      <c r="A11" s="193"/>
      <c r="B11" s="193"/>
      <c r="C11" s="313"/>
      <c r="D11" s="313"/>
      <c r="E11" s="193"/>
      <c r="F11" s="193"/>
      <c r="G11" s="127"/>
      <c r="H11" s="193"/>
      <c r="I11" s="407"/>
      <c r="J11" s="193"/>
      <c r="K11" s="193"/>
      <c r="L11" s="193"/>
      <c r="M11" s="194"/>
      <c r="N11" s="194"/>
      <c r="O11" s="194"/>
      <c r="P11" s="194"/>
      <c r="Q11" s="194"/>
      <c r="R11" s="236"/>
      <c r="S11" s="206"/>
      <c r="T11" s="194"/>
      <c r="U11" s="194"/>
      <c r="V11" s="194"/>
      <c r="W11" s="194"/>
      <c r="X11" s="206"/>
      <c r="Y11" s="194"/>
      <c r="Z11" s="194"/>
      <c r="AA11" s="194"/>
      <c r="AB11" s="194"/>
      <c r="AC11" s="212"/>
    </row>
  </sheetData>
  <dataValidations count="1">
    <dataValidation type="list" allowBlank="1" showInputMessage="1" showErrorMessage="1" sqref="AC2:AC11" xr:uid="{1EDCA2D4-DB7D-466F-A274-9D5778EFFA99}">
      <formula1>"Exceeds Expectation, Meets Expectation, Needs improvements"</formula1>
    </dataValidation>
  </dataValidations>
  <hyperlinks>
    <hyperlink ref="R8" r:id="rId1" xr:uid="{FD8AC8CF-3175-4593-B7D0-063670CD5D3E}"/>
    <hyperlink ref="R7" r:id="rId2" xr:uid="{4ED4C054-C995-444A-AB3B-89B249C9ABB7}"/>
    <hyperlink ref="R3" r:id="rId3" xr:uid="{55ED9C9B-EFCF-476D-9B3A-2A834EDA5932}"/>
    <hyperlink ref="R9" r:id="rId4" xr:uid="{08381BE5-BBE3-415F-8834-395262E2784E}"/>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B73939CB-DFEC-4B71-886A-E8BFD258833F}">
          <x14:formula1>
            <xm:f>Settings!$C$3:$C$20</xm:f>
          </x14:formula1>
          <xm:sqref>I2:I11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0D11F-11F9-467B-8296-947BE9804057}">
  <sheetPr>
    <outlinePr summaryBelow="0" summaryRight="0"/>
  </sheetPr>
  <dimension ref="A1:AC971"/>
  <sheetViews>
    <sheetView topLeftCell="B1" workbookViewId="0">
      <selection activeCell="G6" sqref="G6"/>
    </sheetView>
  </sheetViews>
  <sheetFormatPr defaultColWidth="12.5703125" defaultRowHeight="15" customHeight="1"/>
  <cols>
    <col min="1" max="1" width="12.5703125" style="70" hidden="1" customWidth="1"/>
    <col min="2" max="2" width="18.28515625" style="70" customWidth="1"/>
    <col min="3" max="3" width="11.7109375" style="48" customWidth="1"/>
    <col min="4" max="4" width="14.42578125" style="48" customWidth="1"/>
    <col min="5" max="5" width="21.85546875" style="48" customWidth="1"/>
    <col min="6" max="6" width="13.85546875" style="70" customWidth="1"/>
    <col min="7" max="7" width="46.28515625" style="70" customWidth="1"/>
    <col min="8" max="8" width="10.42578125" style="48" customWidth="1"/>
    <col min="9" max="9" width="18.7109375" style="48" customWidth="1"/>
    <col min="10" max="10" width="9.140625" style="48" bestFit="1" customWidth="1"/>
    <col min="11" max="11" width="14.42578125" style="48" customWidth="1"/>
    <col min="12" max="12" width="19" style="48" customWidth="1"/>
    <col min="13" max="13" width="20.28515625" style="48" customWidth="1"/>
    <col min="14" max="14" width="56" style="48" customWidth="1"/>
    <col min="15" max="16384" width="12.5703125" style="70"/>
  </cols>
  <sheetData>
    <row r="1" spans="1:29" ht="27">
      <c r="A1" s="406" t="s">
        <v>243</v>
      </c>
      <c r="B1" s="88" t="s">
        <v>11</v>
      </c>
      <c r="C1" s="88" t="s">
        <v>297</v>
      </c>
      <c r="D1" s="88" t="s">
        <v>298</v>
      </c>
      <c r="E1" s="88" t="s">
        <v>245</v>
      </c>
      <c r="F1" s="88" t="s">
        <v>299</v>
      </c>
      <c r="G1" s="88" t="s">
        <v>300</v>
      </c>
      <c r="H1" s="88" t="s">
        <v>301</v>
      </c>
      <c r="I1" s="88" t="s">
        <v>302</v>
      </c>
      <c r="J1" s="88" t="s">
        <v>303</v>
      </c>
      <c r="K1" s="88" t="s">
        <v>304</v>
      </c>
      <c r="L1" s="88" t="s">
        <v>248</v>
      </c>
      <c r="M1" s="187" t="s">
        <v>305</v>
      </c>
      <c r="N1" s="395" t="s">
        <v>306</v>
      </c>
      <c r="O1" s="219"/>
      <c r="P1" s="219"/>
      <c r="Q1" s="219"/>
      <c r="R1" s="219"/>
      <c r="S1" s="219"/>
      <c r="T1" s="219"/>
      <c r="U1" s="219"/>
      <c r="V1" s="219"/>
      <c r="W1" s="219"/>
      <c r="X1" s="219"/>
      <c r="Y1" s="219"/>
      <c r="Z1" s="219"/>
      <c r="AA1" s="219"/>
      <c r="AB1" s="219"/>
      <c r="AC1" s="219"/>
    </row>
    <row r="2" spans="1:29" s="67" customFormat="1" ht="46.5" customHeight="1">
      <c r="B2" s="299" t="s">
        <v>125</v>
      </c>
      <c r="C2" s="412">
        <v>25282</v>
      </c>
      <c r="D2" s="83"/>
      <c r="E2" s="83" t="s">
        <v>417</v>
      </c>
      <c r="F2" s="222" t="s">
        <v>715</v>
      </c>
      <c r="G2" s="299" t="s">
        <v>716</v>
      </c>
      <c r="H2" s="83" t="s">
        <v>309</v>
      </c>
      <c r="I2" s="83" t="s">
        <v>336</v>
      </c>
      <c r="J2" s="83" t="s">
        <v>371</v>
      </c>
      <c r="K2" s="83" t="s">
        <v>618</v>
      </c>
      <c r="L2" s="414" t="s">
        <v>717</v>
      </c>
      <c r="M2" s="83" t="s">
        <v>313</v>
      </c>
      <c r="N2" s="83" t="s">
        <v>718</v>
      </c>
    </row>
    <row r="3" spans="1:29" s="67" customFormat="1" ht="30.75" customHeight="1">
      <c r="B3" s="83" t="s">
        <v>125</v>
      </c>
      <c r="C3" s="67">
        <v>25302</v>
      </c>
      <c r="D3" s="83"/>
      <c r="E3" s="83" t="s">
        <v>417</v>
      </c>
      <c r="F3" s="222" t="s">
        <v>715</v>
      </c>
      <c r="G3" s="86" t="s">
        <v>719</v>
      </c>
      <c r="H3" s="83" t="s">
        <v>309</v>
      </c>
      <c r="I3" s="83" t="s">
        <v>336</v>
      </c>
      <c r="J3" s="83" t="s">
        <v>371</v>
      </c>
      <c r="K3" s="83" t="s">
        <v>720</v>
      </c>
      <c r="L3" s="414" t="s">
        <v>717</v>
      </c>
      <c r="M3" s="83" t="s">
        <v>721</v>
      </c>
      <c r="N3" s="83" t="s">
        <v>722</v>
      </c>
    </row>
    <row r="4" spans="1:29" ht="15.75" customHeight="1">
      <c r="B4" s="79"/>
      <c r="C4" s="413"/>
      <c r="D4" s="413"/>
      <c r="E4" s="413"/>
      <c r="F4" s="79"/>
      <c r="G4" s="79"/>
      <c r="H4" s="413"/>
      <c r="I4" s="413"/>
      <c r="J4" s="413"/>
      <c r="K4" s="413"/>
      <c r="L4" s="413"/>
      <c r="M4" s="413"/>
    </row>
    <row r="5" spans="1:29" ht="15.75" customHeight="1">
      <c r="B5" s="67"/>
      <c r="C5" s="83"/>
      <c r="D5" s="83"/>
      <c r="E5" s="83"/>
      <c r="F5" s="67"/>
      <c r="G5" s="67"/>
      <c r="H5" s="83"/>
      <c r="I5" s="83"/>
      <c r="J5" s="83"/>
      <c r="K5" s="83"/>
      <c r="L5" s="83"/>
      <c r="M5" s="83"/>
    </row>
    <row r="6" spans="1:29" ht="15.75" customHeight="1">
      <c r="B6" s="67"/>
      <c r="C6" s="83"/>
      <c r="D6" s="83"/>
      <c r="E6" s="83"/>
      <c r="F6" s="67"/>
      <c r="G6" s="67"/>
      <c r="H6" s="83"/>
      <c r="I6" s="83"/>
      <c r="J6" s="83"/>
      <c r="K6" s="83"/>
      <c r="L6" s="83"/>
      <c r="M6" s="83"/>
    </row>
    <row r="7" spans="1:29" ht="15.75" customHeight="1">
      <c r="B7" s="67"/>
      <c r="C7" s="83"/>
      <c r="D7" s="83"/>
      <c r="E7" s="83"/>
      <c r="F7" s="67"/>
      <c r="G7" s="67"/>
      <c r="H7" s="83"/>
      <c r="I7" s="83"/>
      <c r="J7" s="83"/>
      <c r="K7" s="83"/>
      <c r="L7" s="83"/>
      <c r="M7" s="83"/>
    </row>
    <row r="8" spans="1:29" ht="15.75" customHeight="1">
      <c r="B8" s="67"/>
      <c r="C8" s="83"/>
      <c r="D8" s="83"/>
      <c r="E8" s="83"/>
      <c r="F8" s="67"/>
      <c r="G8" s="67"/>
      <c r="H8" s="83"/>
      <c r="I8" s="83"/>
      <c r="J8" s="83"/>
      <c r="K8" s="83"/>
      <c r="L8" s="83"/>
      <c r="M8" s="83"/>
    </row>
    <row r="9" spans="1:29" ht="15.75" customHeight="1">
      <c r="B9" s="67"/>
      <c r="C9" s="83"/>
      <c r="D9" s="83"/>
      <c r="E9" s="83"/>
      <c r="F9" s="67"/>
      <c r="G9" s="67"/>
      <c r="H9" s="83"/>
      <c r="I9" s="83"/>
      <c r="J9" s="83"/>
      <c r="K9" s="83"/>
      <c r="L9" s="83"/>
      <c r="M9" s="83"/>
    </row>
    <row r="10" spans="1:29" ht="15.75" customHeight="1">
      <c r="B10" s="67"/>
      <c r="C10" s="83"/>
      <c r="D10" s="83"/>
      <c r="E10" s="83"/>
      <c r="F10" s="67"/>
      <c r="G10" s="67"/>
      <c r="H10" s="83"/>
      <c r="I10" s="83"/>
      <c r="J10" s="83"/>
      <c r="K10" s="83"/>
      <c r="L10" s="83"/>
      <c r="M10" s="83"/>
    </row>
    <row r="11" spans="1:29" ht="15.75" customHeight="1">
      <c r="B11" s="67"/>
      <c r="C11" s="83"/>
      <c r="D11" s="83"/>
      <c r="E11" s="83"/>
      <c r="F11" s="67"/>
      <c r="G11" s="67"/>
      <c r="H11" s="83"/>
      <c r="I11" s="83"/>
      <c r="J11" s="83"/>
      <c r="K11" s="83"/>
      <c r="L11" s="83"/>
      <c r="M11" s="83"/>
    </row>
    <row r="12" spans="1:29" ht="15.75" customHeight="1">
      <c r="B12" s="67"/>
      <c r="C12" s="83"/>
      <c r="D12" s="83"/>
      <c r="E12" s="83"/>
      <c r="F12" s="67"/>
      <c r="G12" s="67"/>
      <c r="H12" s="83"/>
      <c r="I12" s="83"/>
      <c r="J12" s="83"/>
      <c r="K12" s="83"/>
      <c r="L12" s="83"/>
      <c r="M12" s="83"/>
    </row>
    <row r="13" spans="1:29" ht="15.75" customHeight="1">
      <c r="B13" s="67"/>
      <c r="C13" s="83"/>
      <c r="D13" s="83"/>
      <c r="E13" s="83"/>
      <c r="F13" s="67"/>
      <c r="G13" s="67"/>
      <c r="H13" s="83"/>
      <c r="I13" s="83"/>
      <c r="J13" s="83"/>
      <c r="K13" s="83"/>
      <c r="L13" s="83"/>
      <c r="M13" s="83"/>
    </row>
    <row r="14" spans="1:29" ht="15.75" customHeight="1">
      <c r="B14" s="67"/>
      <c r="C14" s="83"/>
      <c r="D14" s="83"/>
      <c r="E14" s="83"/>
      <c r="F14" s="67"/>
      <c r="G14" s="67"/>
      <c r="H14" s="83"/>
      <c r="I14" s="83"/>
      <c r="J14" s="83"/>
      <c r="K14" s="83"/>
      <c r="L14" s="83"/>
      <c r="M14" s="83"/>
    </row>
    <row r="15" spans="1:29" ht="15.75" customHeight="1">
      <c r="B15" s="67"/>
      <c r="C15" s="83"/>
      <c r="D15" s="83"/>
      <c r="E15" s="83"/>
      <c r="F15" s="67"/>
      <c r="G15" s="67"/>
      <c r="H15" s="83"/>
      <c r="I15" s="83"/>
      <c r="J15" s="83"/>
      <c r="K15" s="83"/>
      <c r="L15" s="83"/>
      <c r="M15" s="83"/>
    </row>
    <row r="16" spans="1:29" ht="15.75" customHeight="1">
      <c r="B16" s="67"/>
      <c r="C16" s="83"/>
      <c r="D16" s="83"/>
      <c r="E16" s="83"/>
      <c r="F16" s="67"/>
      <c r="G16" s="67"/>
      <c r="H16" s="83"/>
      <c r="I16" s="83"/>
      <c r="J16" s="83"/>
      <c r="K16" s="83"/>
      <c r="L16" s="83"/>
      <c r="M16" s="83"/>
    </row>
    <row r="17" spans="2:13" ht="15.75" customHeight="1">
      <c r="B17" s="67"/>
      <c r="C17" s="83"/>
      <c r="D17" s="83"/>
      <c r="E17" s="83"/>
      <c r="F17" s="67"/>
      <c r="G17" s="67"/>
      <c r="H17" s="83"/>
      <c r="I17" s="83"/>
      <c r="J17" s="83"/>
      <c r="K17" s="83"/>
      <c r="L17" s="83"/>
      <c r="M17" s="83"/>
    </row>
    <row r="18" spans="2:13" ht="15.75" customHeight="1">
      <c r="B18" s="67"/>
      <c r="C18" s="83"/>
      <c r="D18" s="83"/>
      <c r="E18" s="83"/>
      <c r="F18" s="67"/>
      <c r="G18" s="67"/>
      <c r="H18" s="83"/>
      <c r="I18" s="83"/>
      <c r="J18" s="83"/>
      <c r="K18" s="83"/>
      <c r="L18" s="83"/>
      <c r="M18" s="83"/>
    </row>
    <row r="19" spans="2:13" ht="15.75" customHeight="1"/>
    <row r="20" spans="2:13" ht="15.75" customHeight="1"/>
    <row r="21" spans="2:13" ht="15.75" customHeight="1"/>
    <row r="22" spans="2:13" ht="15.75" customHeight="1"/>
    <row r="23" spans="2:13" ht="15.75" customHeight="1"/>
    <row r="24" spans="2:13" ht="15.75" customHeight="1"/>
    <row r="25" spans="2:13" ht="15.75" customHeight="1"/>
    <row r="26" spans="2:13" ht="15.75" customHeight="1"/>
    <row r="27" spans="2:13" ht="15.75" customHeight="1"/>
    <row r="28" spans="2:13" ht="15.75" customHeight="1"/>
    <row r="29" spans="2:13" ht="15.75" customHeight="1"/>
    <row r="30" spans="2:13" ht="15.75" customHeight="1"/>
    <row r="31" spans="2:13" ht="15.75" customHeight="1"/>
    <row r="32" spans="2: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autoFilter ref="A1:N1" xr:uid="{3A2BB050-11AC-4ED7-A296-96B42C7FCFBA}"/>
  <dataValidations count="1">
    <dataValidation type="list" allowBlank="1" showErrorMessage="1" sqref="F2:F3" xr:uid="{480EA374-F494-4146-858F-DF6A52E653AC}">
      <formula1>"Bounceback,Defect,None"</formula1>
    </dataValidation>
  </dataValidations>
  <pageMargins left="0" right="0" top="0" bottom="0" header="0" footer="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EA7B-647E-4831-A359-793F2484E817}">
  <dimension ref="A1:AC11"/>
  <sheetViews>
    <sheetView workbookViewId="0">
      <pane xSplit="9" topLeftCell="K1" activePane="topRight" state="frozen"/>
      <selection pane="topRight" activeCell="G5" sqref="G5"/>
    </sheetView>
  </sheetViews>
  <sheetFormatPr defaultRowHeight="12.75"/>
  <cols>
    <col min="1" max="1" width="7.7109375" style="133" bestFit="1" customWidth="1"/>
    <col min="2" max="2" width="12" style="133" customWidth="1"/>
    <col min="3" max="3" width="13.85546875" style="133" customWidth="1"/>
    <col min="4" max="4" width="11" style="133" bestFit="1" customWidth="1"/>
    <col min="5" max="5" width="18" style="133" customWidth="1"/>
    <col min="6" max="6" width="16.85546875" style="133" customWidth="1"/>
    <col min="7" max="7" width="11.85546875" style="133" customWidth="1"/>
    <col min="8" max="8" width="42.28515625" style="168" customWidth="1"/>
    <col min="9" max="9" width="18.85546875" style="133" customWidth="1"/>
    <col min="10" max="10" width="10.42578125" style="133" customWidth="1"/>
    <col min="11" max="11" width="9" style="133" customWidth="1"/>
    <col min="12" max="12" width="10.28515625" style="133" customWidth="1"/>
    <col min="13" max="13" width="11.42578125" style="168" customWidth="1"/>
    <col min="14" max="14" width="12.5703125" style="168" customWidth="1"/>
    <col min="15" max="15" width="26.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62.7109375" style="168" customWidth="1"/>
    <col min="28" max="28" width="50.5703125" style="168" customWidth="1"/>
    <col min="29" max="29" width="33.5703125" style="168" customWidth="1"/>
    <col min="30" max="16384" width="9.140625" style="168"/>
  </cols>
  <sheetData>
    <row r="1" spans="1:29" ht="46.5">
      <c r="A1" s="274" t="s">
        <v>243</v>
      </c>
      <c r="B1" s="88" t="s">
        <v>4</v>
      </c>
      <c r="C1" s="88" t="s">
        <v>2</v>
      </c>
      <c r="D1" s="88" t="s">
        <v>3</v>
      </c>
      <c r="E1" s="275" t="s">
        <v>244</v>
      </c>
      <c r="F1" s="275" t="s">
        <v>245</v>
      </c>
      <c r="G1" s="275" t="s">
        <v>246</v>
      </c>
      <c r="H1" s="276" t="s">
        <v>247</v>
      </c>
      <c r="I1" s="275" t="s">
        <v>248</v>
      </c>
      <c r="J1" s="88" t="s">
        <v>249</v>
      </c>
      <c r="K1" s="88" t="s">
        <v>250</v>
      </c>
      <c r="L1" s="88"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c r="AC1" s="276" t="s">
        <v>270</v>
      </c>
    </row>
    <row r="2" spans="1:29" ht="38.25" customHeight="1">
      <c r="A2" s="193">
        <v>1</v>
      </c>
      <c r="B2" s="193" t="s">
        <v>379</v>
      </c>
      <c r="C2" s="313">
        <v>45779</v>
      </c>
      <c r="D2" s="313">
        <v>45792</v>
      </c>
      <c r="E2" s="193" t="s">
        <v>120</v>
      </c>
      <c r="F2" s="193" t="s">
        <v>275</v>
      </c>
      <c r="G2" s="405">
        <v>48127</v>
      </c>
      <c r="H2" s="193" t="s">
        <v>723</v>
      </c>
      <c r="I2" s="410" t="s">
        <v>280</v>
      </c>
      <c r="J2" s="193">
        <v>3</v>
      </c>
      <c r="K2" s="193">
        <v>3</v>
      </c>
      <c r="L2" s="193">
        <v>14</v>
      </c>
      <c r="M2" s="194"/>
      <c r="N2" s="194"/>
      <c r="O2" s="194"/>
      <c r="P2" s="194"/>
      <c r="Q2" s="194"/>
      <c r="R2" s="236" t="s">
        <v>724</v>
      </c>
      <c r="S2" s="206"/>
      <c r="T2" s="206"/>
      <c r="U2" s="194"/>
      <c r="V2" s="194"/>
      <c r="W2" s="194"/>
      <c r="X2" s="206"/>
      <c r="Y2" s="194"/>
      <c r="Z2" s="194"/>
      <c r="AA2" s="194"/>
      <c r="AB2" s="273" t="s">
        <v>725</v>
      </c>
      <c r="AC2" s="194" t="s">
        <v>726</v>
      </c>
    </row>
    <row r="3" spans="1:29" ht="35.25">
      <c r="A3" s="204">
        <v>2</v>
      </c>
      <c r="B3" s="204" t="s">
        <v>379</v>
      </c>
      <c r="C3" s="370">
        <v>45779</v>
      </c>
      <c r="D3" s="370">
        <v>45792</v>
      </c>
      <c r="E3" s="204" t="s">
        <v>120</v>
      </c>
      <c r="F3" s="204" t="s">
        <v>417</v>
      </c>
      <c r="G3" s="136">
        <v>48070</v>
      </c>
      <c r="H3" s="204" t="s">
        <v>727</v>
      </c>
      <c r="I3" s="410" t="s">
        <v>280</v>
      </c>
      <c r="J3" s="204">
        <v>5</v>
      </c>
      <c r="K3" s="204">
        <v>5</v>
      </c>
      <c r="L3" s="204">
        <v>23</v>
      </c>
      <c r="M3" s="207"/>
      <c r="N3" s="207" t="s">
        <v>325</v>
      </c>
      <c r="O3" s="207"/>
      <c r="P3" s="207" t="s">
        <v>287</v>
      </c>
      <c r="Q3" s="207"/>
      <c r="R3" s="253" t="s">
        <v>728</v>
      </c>
      <c r="S3" s="208">
        <v>45785</v>
      </c>
      <c r="T3" s="208">
        <v>45786</v>
      </c>
      <c r="U3" s="207" t="s">
        <v>287</v>
      </c>
      <c r="V3" s="207"/>
      <c r="W3" s="207" t="s">
        <v>441</v>
      </c>
      <c r="X3" s="208">
        <v>45786</v>
      </c>
      <c r="Y3" s="207"/>
      <c r="Z3" s="207"/>
      <c r="AA3" s="207"/>
      <c r="AB3" s="279"/>
      <c r="AC3" s="194" t="s">
        <v>481</v>
      </c>
    </row>
    <row r="4" spans="1:29" ht="35.25">
      <c r="A4" s="204">
        <v>3</v>
      </c>
      <c r="B4" s="204" t="s">
        <v>379</v>
      </c>
      <c r="C4" s="370">
        <v>45779</v>
      </c>
      <c r="D4" s="370">
        <v>45792</v>
      </c>
      <c r="E4" s="204" t="s">
        <v>729</v>
      </c>
      <c r="F4" s="204" t="s">
        <v>272</v>
      </c>
      <c r="G4" s="136">
        <v>48235</v>
      </c>
      <c r="H4" s="204" t="s">
        <v>704</v>
      </c>
      <c r="I4" s="193" t="s">
        <v>274</v>
      </c>
      <c r="J4" s="204">
        <v>5</v>
      </c>
      <c r="K4" s="204">
        <v>5</v>
      </c>
      <c r="L4" s="204">
        <v>20</v>
      </c>
      <c r="M4" s="207"/>
      <c r="N4" s="207"/>
      <c r="O4" s="207"/>
      <c r="P4" s="207"/>
      <c r="Q4" s="207"/>
      <c r="R4" s="253"/>
      <c r="S4" s="208"/>
      <c r="T4" s="207"/>
      <c r="U4" s="207"/>
      <c r="V4" s="207"/>
      <c r="W4" s="207"/>
      <c r="X4" s="208"/>
      <c r="Y4" s="207"/>
      <c r="Z4" s="207"/>
      <c r="AA4" s="207"/>
      <c r="AB4" s="207"/>
      <c r="AC4" s="194"/>
    </row>
    <row r="5" spans="1:29" ht="23.25">
      <c r="A5" s="204">
        <v>4</v>
      </c>
      <c r="B5" s="204" t="s">
        <v>379</v>
      </c>
      <c r="C5" s="370">
        <v>45779</v>
      </c>
      <c r="D5" s="370">
        <v>45792</v>
      </c>
      <c r="E5" s="204" t="s">
        <v>120</v>
      </c>
      <c r="F5" s="204" t="s">
        <v>730</v>
      </c>
      <c r="G5" s="136">
        <v>47562</v>
      </c>
      <c r="H5" s="204" t="s">
        <v>702</v>
      </c>
      <c r="I5" s="193" t="s">
        <v>274</v>
      </c>
      <c r="J5" s="204">
        <v>8</v>
      </c>
      <c r="K5" s="204">
        <v>8</v>
      </c>
      <c r="L5" s="204">
        <v>34</v>
      </c>
      <c r="M5" s="207"/>
      <c r="N5" s="207"/>
      <c r="O5" s="207"/>
      <c r="P5" s="207"/>
      <c r="Q5" s="207"/>
      <c r="R5" s="253"/>
      <c r="S5" s="208"/>
      <c r="T5" s="207"/>
      <c r="U5" s="207"/>
      <c r="V5" s="207"/>
      <c r="W5" s="207"/>
      <c r="X5" s="208"/>
      <c r="Y5" s="207"/>
      <c r="Z5" s="207"/>
      <c r="AA5" s="207"/>
      <c r="AB5" s="207" t="s">
        <v>731</v>
      </c>
      <c r="AC5" s="194"/>
    </row>
    <row r="6" spans="1:29" ht="23.25">
      <c r="A6" s="204">
        <v>5</v>
      </c>
      <c r="B6" s="204" t="s">
        <v>379</v>
      </c>
      <c r="C6" s="370">
        <v>45779</v>
      </c>
      <c r="D6" s="370">
        <v>45792</v>
      </c>
      <c r="E6" s="204" t="s">
        <v>729</v>
      </c>
      <c r="F6" s="204" t="s">
        <v>730</v>
      </c>
      <c r="G6" s="409">
        <v>25206</v>
      </c>
      <c r="H6" s="204" t="s">
        <v>732</v>
      </c>
      <c r="I6" s="410" t="s">
        <v>280</v>
      </c>
      <c r="J6" s="204">
        <v>2</v>
      </c>
      <c r="K6" s="204">
        <v>2</v>
      </c>
      <c r="L6" s="204">
        <v>6</v>
      </c>
      <c r="M6" s="207"/>
      <c r="N6" s="207"/>
      <c r="O6" s="207"/>
      <c r="P6" s="207"/>
      <c r="Q6" s="207"/>
      <c r="R6" s="253" t="s">
        <v>733</v>
      </c>
      <c r="S6" s="208">
        <v>45790</v>
      </c>
      <c r="T6" s="208">
        <v>45790</v>
      </c>
      <c r="U6" s="207" t="s">
        <v>287</v>
      </c>
      <c r="V6" s="207"/>
      <c r="W6" s="207" t="s">
        <v>441</v>
      </c>
      <c r="X6" s="208">
        <v>45790</v>
      </c>
      <c r="Y6" s="207"/>
      <c r="Z6" s="207"/>
      <c r="AA6" s="207"/>
      <c r="AB6" s="207"/>
      <c r="AC6" s="194" t="s">
        <v>481</v>
      </c>
    </row>
    <row r="7" spans="1:29">
      <c r="A7" s="193"/>
      <c r="B7" s="193"/>
      <c r="C7" s="313"/>
      <c r="D7" s="313"/>
      <c r="E7" s="193"/>
      <c r="F7" s="193"/>
      <c r="G7" s="127"/>
      <c r="H7" s="193"/>
      <c r="I7" s="407"/>
      <c r="J7" s="193"/>
      <c r="K7" s="193"/>
      <c r="L7" s="193"/>
      <c r="M7" s="194"/>
      <c r="N7" s="194"/>
      <c r="O7" s="194"/>
      <c r="P7" s="194"/>
      <c r="Q7" s="194"/>
      <c r="R7" s="236"/>
      <c r="S7" s="206"/>
      <c r="T7" s="194"/>
      <c r="U7" s="194"/>
      <c r="V7" s="194"/>
      <c r="W7" s="194"/>
      <c r="X7" s="206"/>
      <c r="Y7" s="194"/>
      <c r="Z7" s="194"/>
      <c r="AA7" s="194"/>
      <c r="AB7" s="194"/>
      <c r="AC7" s="194"/>
    </row>
    <row r="8" spans="1:29">
      <c r="A8" s="193"/>
      <c r="B8" s="193"/>
      <c r="C8" s="313"/>
      <c r="D8" s="313"/>
      <c r="E8" s="193"/>
      <c r="F8" s="193"/>
      <c r="G8" s="127"/>
      <c r="H8" s="193"/>
      <c r="I8" s="407"/>
      <c r="J8" s="193"/>
      <c r="K8" s="193"/>
      <c r="L8" s="193"/>
      <c r="M8" s="194"/>
      <c r="N8" s="194"/>
      <c r="O8" s="194"/>
      <c r="P8" s="194"/>
      <c r="Q8" s="194"/>
      <c r="R8" s="236"/>
      <c r="S8" s="206"/>
      <c r="T8" s="194"/>
      <c r="U8" s="194"/>
      <c r="V8" s="194"/>
      <c r="W8" s="194"/>
      <c r="X8" s="206"/>
      <c r="Y8" s="194"/>
      <c r="Z8" s="194"/>
      <c r="AA8" s="194"/>
      <c r="AB8" s="194"/>
      <c r="AC8" s="194"/>
    </row>
    <row r="9" spans="1:29">
      <c r="A9" s="193"/>
      <c r="B9" s="193"/>
      <c r="C9" s="313"/>
      <c r="D9" s="313"/>
      <c r="E9" s="193"/>
      <c r="F9" s="193"/>
      <c r="G9" s="127"/>
      <c r="H9" s="193"/>
      <c r="I9" s="407"/>
      <c r="J9" s="193"/>
      <c r="K9" s="193"/>
      <c r="L9" s="193"/>
      <c r="M9" s="194"/>
      <c r="N9" s="194"/>
      <c r="O9" s="194"/>
      <c r="P9" s="194"/>
      <c r="Q9" s="194"/>
      <c r="R9" s="236"/>
      <c r="S9" s="206"/>
      <c r="T9" s="194"/>
      <c r="U9" s="194"/>
      <c r="V9" s="194"/>
      <c r="W9" s="194"/>
      <c r="X9" s="206"/>
      <c r="Y9" s="194"/>
      <c r="Z9" s="194"/>
      <c r="AA9" s="194"/>
      <c r="AB9" s="194"/>
      <c r="AC9" s="194"/>
    </row>
    <row r="10" spans="1:29">
      <c r="A10" s="193"/>
      <c r="B10" s="193"/>
      <c r="C10" s="313"/>
      <c r="D10" s="313"/>
      <c r="E10" s="193"/>
      <c r="F10" s="193"/>
      <c r="G10" s="127"/>
      <c r="H10" s="193"/>
      <c r="I10" s="407"/>
      <c r="J10" s="193"/>
      <c r="K10" s="193"/>
      <c r="L10" s="193"/>
      <c r="M10" s="194"/>
      <c r="N10" s="194"/>
      <c r="O10" s="194"/>
      <c r="P10" s="194"/>
      <c r="Q10" s="194"/>
      <c r="R10" s="236"/>
      <c r="S10" s="206"/>
      <c r="T10" s="194"/>
      <c r="U10" s="194"/>
      <c r="V10" s="194"/>
      <c r="W10" s="194"/>
      <c r="X10" s="206"/>
      <c r="Y10" s="194"/>
      <c r="Z10" s="194"/>
      <c r="AA10" s="194"/>
      <c r="AB10" s="194"/>
      <c r="AC10" s="194"/>
    </row>
    <row r="11" spans="1:29">
      <c r="A11" s="193"/>
      <c r="B11" s="193"/>
      <c r="C11" s="313"/>
      <c r="D11" s="313"/>
      <c r="E11" s="193"/>
      <c r="F11" s="193"/>
      <c r="G11" s="127"/>
      <c r="H11" s="193"/>
      <c r="I11" s="407"/>
      <c r="J11" s="193"/>
      <c r="K11" s="193"/>
      <c r="L11" s="193"/>
      <c r="M11" s="194"/>
      <c r="N11" s="194"/>
      <c r="O11" s="194"/>
      <c r="P11" s="194"/>
      <c r="Q11" s="194"/>
      <c r="R11" s="236"/>
      <c r="S11" s="206"/>
      <c r="T11" s="194"/>
      <c r="U11" s="194"/>
      <c r="V11" s="194"/>
      <c r="W11" s="194"/>
      <c r="X11" s="206"/>
      <c r="Y11" s="194"/>
      <c r="Z11" s="194"/>
      <c r="AA11" s="194"/>
      <c r="AB11" s="194"/>
      <c r="AC11" s="86"/>
    </row>
  </sheetData>
  <dataValidations count="1">
    <dataValidation type="list" allowBlank="1" showInputMessage="1" showErrorMessage="1" sqref="AC2:AC11" xr:uid="{41F4F569-981B-4AC0-8CE6-24BEFADE36AA}">
      <formula1>"Exceeds Expectation, Meets Expectation, Needs improvements"</formula1>
    </dataValidation>
  </dataValidations>
  <hyperlinks>
    <hyperlink ref="R3" r:id="rId1" xr:uid="{0BB06D86-07EE-4C35-B0F3-C53413CAE0CB}"/>
    <hyperlink ref="R6" r:id="rId2" xr:uid="{CC501FA9-57DF-4029-92D1-36BF57DF095F}"/>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ADFDE3B6-AE37-4EC3-939F-1B12F95E1634}">
          <x14:formula1>
            <xm:f>Settings!$C$3:$C$20</xm:f>
          </x14:formula1>
          <xm:sqref>I2:I11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E2A4-431A-4B34-B493-937C5D9F7E4C}">
  <sheetPr>
    <outlinePr summaryBelow="0" summaryRight="0"/>
  </sheetPr>
  <dimension ref="A1:AC971"/>
  <sheetViews>
    <sheetView topLeftCell="G1" workbookViewId="0">
      <selection activeCell="H2" sqref="H2:M2"/>
    </sheetView>
  </sheetViews>
  <sheetFormatPr defaultColWidth="12.5703125" defaultRowHeight="15" customHeight="1"/>
  <cols>
    <col min="1" max="1" width="12.5703125" style="70" hidden="1" customWidth="1"/>
    <col min="2" max="2" width="18.28515625" style="70" customWidth="1"/>
    <col min="3" max="3" width="11.7109375" style="48" customWidth="1"/>
    <col min="4" max="4" width="14.42578125" style="48" customWidth="1"/>
    <col min="5" max="5" width="21.85546875" style="48" customWidth="1"/>
    <col min="6" max="6" width="13.85546875" style="70" customWidth="1"/>
    <col min="7" max="7" width="46.28515625" style="70" customWidth="1"/>
    <col min="8" max="8" width="10.42578125" style="48" customWidth="1"/>
    <col min="9" max="9" width="18.7109375" style="48" customWidth="1"/>
    <col min="10" max="10" width="9.140625" style="48" bestFit="1" customWidth="1"/>
    <col min="11" max="11" width="14.42578125" style="48" customWidth="1"/>
    <col min="12" max="12" width="19" style="48" customWidth="1"/>
    <col min="13" max="13" width="20.28515625" style="48" customWidth="1"/>
    <col min="14" max="14" width="56" style="48" customWidth="1"/>
    <col min="15" max="16384" width="12.5703125" style="70"/>
  </cols>
  <sheetData>
    <row r="1" spans="1:29" ht="27">
      <c r="A1" s="360" t="s">
        <v>243</v>
      </c>
      <c r="B1" s="88" t="s">
        <v>11</v>
      </c>
      <c r="C1" s="88" t="s">
        <v>297</v>
      </c>
      <c r="D1" s="88" t="s">
        <v>298</v>
      </c>
      <c r="E1" s="88" t="s">
        <v>245</v>
      </c>
      <c r="F1" s="88" t="s">
        <v>299</v>
      </c>
      <c r="G1" s="88" t="s">
        <v>300</v>
      </c>
      <c r="H1" s="88" t="s">
        <v>301</v>
      </c>
      <c r="I1" s="88" t="s">
        <v>302</v>
      </c>
      <c r="J1" s="88" t="s">
        <v>303</v>
      </c>
      <c r="K1" s="88" t="s">
        <v>304</v>
      </c>
      <c r="L1" s="88" t="s">
        <v>248</v>
      </c>
      <c r="M1" s="187" t="s">
        <v>305</v>
      </c>
      <c r="N1" s="372" t="s">
        <v>306</v>
      </c>
      <c r="O1" s="219"/>
      <c r="P1" s="219"/>
      <c r="Q1" s="219"/>
      <c r="R1" s="219"/>
      <c r="S1" s="219"/>
      <c r="T1" s="219"/>
      <c r="U1" s="219"/>
      <c r="V1" s="219"/>
      <c r="W1" s="219"/>
      <c r="X1" s="219"/>
      <c r="Y1" s="219"/>
      <c r="Z1" s="219"/>
      <c r="AA1" s="219"/>
      <c r="AB1" s="219"/>
      <c r="AC1" s="219"/>
    </row>
    <row r="2" spans="1:29" ht="30" customHeight="1">
      <c r="B2" s="325" t="s">
        <v>729</v>
      </c>
      <c r="C2" s="408">
        <v>25206</v>
      </c>
      <c r="D2" s="83"/>
      <c r="E2" s="83" t="s">
        <v>287</v>
      </c>
      <c r="F2" s="222" t="s">
        <v>715</v>
      </c>
      <c r="G2" s="325" t="s">
        <v>732</v>
      </c>
      <c r="H2" s="83" t="s">
        <v>335</v>
      </c>
      <c r="I2" s="83" t="s">
        <v>336</v>
      </c>
      <c r="J2" s="83" t="s">
        <v>371</v>
      </c>
      <c r="K2" s="83" t="s">
        <v>618</v>
      </c>
      <c r="L2" s="83" t="s">
        <v>295</v>
      </c>
      <c r="M2" s="83" t="s">
        <v>734</v>
      </c>
      <c r="N2" s="48" t="s">
        <v>735</v>
      </c>
    </row>
    <row r="3" spans="1:29" ht="15.75" customHeight="1">
      <c r="B3" s="67"/>
      <c r="C3" s="83"/>
      <c r="D3" s="83"/>
      <c r="E3" s="83"/>
      <c r="F3" s="222"/>
      <c r="G3" s="67"/>
      <c r="H3" s="83"/>
      <c r="I3" s="83"/>
      <c r="J3" s="83"/>
      <c r="K3" s="83"/>
      <c r="L3" s="83"/>
      <c r="M3" s="83"/>
    </row>
    <row r="4" spans="1:29" ht="15.75" customHeight="1">
      <c r="B4" s="67"/>
      <c r="C4" s="83"/>
      <c r="D4" s="83"/>
      <c r="E4" s="83"/>
      <c r="F4" s="67"/>
      <c r="G4" s="67"/>
      <c r="H4" s="83"/>
      <c r="I4" s="83"/>
      <c r="J4" s="83"/>
      <c r="K4" s="83"/>
      <c r="L4" s="83"/>
      <c r="M4" s="83"/>
    </row>
    <row r="5" spans="1:29" ht="15.75" customHeight="1">
      <c r="B5" s="67"/>
      <c r="C5" s="83"/>
      <c r="D5" s="83"/>
      <c r="E5" s="83"/>
      <c r="F5" s="67"/>
      <c r="G5" s="67"/>
      <c r="H5" s="83"/>
      <c r="I5" s="83"/>
      <c r="J5" s="83"/>
      <c r="K5" s="83"/>
      <c r="L5" s="83"/>
      <c r="M5" s="83"/>
    </row>
    <row r="6" spans="1:29" ht="15.75" customHeight="1">
      <c r="B6" s="67"/>
      <c r="C6" s="83"/>
      <c r="D6" s="83"/>
      <c r="E6" s="83"/>
      <c r="F6" s="67"/>
      <c r="G6" s="67"/>
      <c r="H6" s="83"/>
      <c r="I6" s="83"/>
      <c r="J6" s="83"/>
      <c r="K6" s="83"/>
      <c r="L6" s="83"/>
      <c r="M6" s="83"/>
    </row>
    <row r="7" spans="1:29" ht="15.75" customHeight="1">
      <c r="B7" s="67"/>
      <c r="C7" s="83"/>
      <c r="D7" s="83"/>
      <c r="E7" s="83"/>
      <c r="F7" s="67"/>
      <c r="G7" s="67"/>
      <c r="H7" s="83"/>
      <c r="I7" s="83"/>
      <c r="J7" s="83"/>
      <c r="K7" s="83"/>
      <c r="L7" s="83"/>
      <c r="M7" s="83"/>
    </row>
    <row r="8" spans="1:29" ht="15.75" customHeight="1">
      <c r="B8" s="67"/>
      <c r="C8" s="83"/>
      <c r="D8" s="83"/>
      <c r="E8" s="83"/>
      <c r="F8" s="67"/>
      <c r="G8" s="67"/>
      <c r="H8" s="83"/>
      <c r="I8" s="83"/>
      <c r="J8" s="83"/>
      <c r="K8" s="83"/>
      <c r="L8" s="83"/>
      <c r="M8" s="83"/>
    </row>
    <row r="9" spans="1:29" ht="15.75" customHeight="1">
      <c r="B9" s="67"/>
      <c r="C9" s="83"/>
      <c r="D9" s="83"/>
      <c r="E9" s="83"/>
      <c r="F9" s="67"/>
      <c r="G9" s="67"/>
      <c r="H9" s="83"/>
      <c r="I9" s="83"/>
      <c r="J9" s="83"/>
      <c r="K9" s="83"/>
      <c r="L9" s="83"/>
      <c r="M9" s="83"/>
    </row>
    <row r="10" spans="1:29" ht="15.75" customHeight="1">
      <c r="B10" s="67"/>
      <c r="C10" s="83"/>
      <c r="D10" s="83"/>
      <c r="E10" s="83"/>
      <c r="F10" s="67"/>
      <c r="G10" s="67"/>
      <c r="H10" s="83"/>
      <c r="I10" s="83"/>
      <c r="J10" s="83"/>
      <c r="K10" s="83"/>
      <c r="L10" s="83"/>
      <c r="M10" s="83"/>
    </row>
    <row r="11" spans="1:29" ht="15.75" customHeight="1">
      <c r="B11" s="67"/>
      <c r="C11" s="83"/>
      <c r="D11" s="83"/>
      <c r="E11" s="83"/>
      <c r="F11" s="67"/>
      <c r="G11" s="67"/>
      <c r="H11" s="83"/>
      <c r="I11" s="83"/>
      <c r="J11" s="83"/>
      <c r="K11" s="83"/>
      <c r="L11" s="83"/>
      <c r="M11" s="83"/>
    </row>
    <row r="12" spans="1:29" ht="15.75" customHeight="1">
      <c r="B12" s="67"/>
      <c r="C12" s="83"/>
      <c r="D12" s="83"/>
      <c r="E12" s="83"/>
      <c r="F12" s="67"/>
      <c r="G12" s="67"/>
      <c r="H12" s="83"/>
      <c r="I12" s="83"/>
      <c r="J12" s="83"/>
      <c r="K12" s="83"/>
      <c r="L12" s="83"/>
      <c r="M12" s="83"/>
    </row>
    <row r="13" spans="1:29" ht="15.75" customHeight="1">
      <c r="B13" s="67"/>
      <c r="C13" s="83"/>
      <c r="D13" s="83"/>
      <c r="E13" s="83"/>
      <c r="F13" s="67"/>
      <c r="G13" s="67"/>
      <c r="H13" s="83"/>
      <c r="I13" s="83"/>
      <c r="J13" s="83"/>
      <c r="K13" s="83"/>
      <c r="L13" s="83"/>
      <c r="M13" s="83"/>
    </row>
    <row r="14" spans="1:29" ht="15.75" customHeight="1">
      <c r="B14" s="67"/>
      <c r="C14" s="83"/>
      <c r="D14" s="83"/>
      <c r="E14" s="83"/>
      <c r="F14" s="67"/>
      <c r="G14" s="67"/>
      <c r="H14" s="83"/>
      <c r="I14" s="83"/>
      <c r="J14" s="83"/>
      <c r="K14" s="83"/>
      <c r="L14" s="83"/>
      <c r="M14" s="83"/>
    </row>
    <row r="15" spans="1:29" ht="15.75" customHeight="1">
      <c r="B15" s="67"/>
      <c r="C15" s="83"/>
      <c r="D15" s="83"/>
      <c r="E15" s="83"/>
      <c r="F15" s="67"/>
      <c r="G15" s="67"/>
      <c r="H15" s="83"/>
      <c r="I15" s="83"/>
      <c r="J15" s="83"/>
      <c r="K15" s="83"/>
      <c r="L15" s="83"/>
      <c r="M15" s="83"/>
    </row>
    <row r="16" spans="1:29" ht="15.75" customHeight="1">
      <c r="B16" s="67"/>
      <c r="C16" s="83"/>
      <c r="D16" s="83"/>
      <c r="E16" s="83"/>
      <c r="F16" s="67"/>
      <c r="G16" s="67"/>
      <c r="H16" s="83"/>
      <c r="I16" s="83"/>
      <c r="J16" s="83"/>
      <c r="K16" s="83"/>
      <c r="L16" s="83"/>
      <c r="M16" s="83"/>
    </row>
    <row r="17" spans="2:13" ht="15.75" customHeight="1">
      <c r="B17" s="67"/>
      <c r="C17" s="83"/>
      <c r="D17" s="83"/>
      <c r="E17" s="83"/>
      <c r="F17" s="67"/>
      <c r="G17" s="67"/>
      <c r="H17" s="83"/>
      <c r="I17" s="83"/>
      <c r="J17" s="83"/>
      <c r="K17" s="83"/>
      <c r="L17" s="83"/>
      <c r="M17" s="83"/>
    </row>
    <row r="18" spans="2:13" ht="15.75" customHeight="1">
      <c r="B18" s="67"/>
      <c r="C18" s="83"/>
      <c r="D18" s="83"/>
      <c r="E18" s="83"/>
      <c r="F18" s="67"/>
      <c r="G18" s="67"/>
      <c r="H18" s="83"/>
      <c r="I18" s="83"/>
      <c r="J18" s="83"/>
      <c r="K18" s="83"/>
      <c r="L18" s="83"/>
      <c r="M18" s="83"/>
    </row>
    <row r="19" spans="2:13" ht="15.75" customHeight="1"/>
    <row r="20" spans="2:13" ht="15.75" customHeight="1"/>
    <row r="21" spans="2:13" ht="15.75" customHeight="1"/>
    <row r="22" spans="2:13" ht="15.75" customHeight="1"/>
    <row r="23" spans="2:13" ht="15.75" customHeight="1"/>
    <row r="24" spans="2:13" ht="15.75" customHeight="1"/>
    <row r="25" spans="2:13" ht="15.75" customHeight="1"/>
    <row r="26" spans="2:13" ht="15.75" customHeight="1"/>
    <row r="27" spans="2:13" ht="15.75" customHeight="1"/>
    <row r="28" spans="2:13" ht="15.75" customHeight="1"/>
    <row r="29" spans="2:13" ht="15.75" customHeight="1"/>
    <row r="30" spans="2:13" ht="15.75" customHeight="1"/>
    <row r="31" spans="2:13" ht="15.75" customHeight="1"/>
    <row r="32" spans="2: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autoFilter ref="A1:N1" xr:uid="{3A2BB050-11AC-4ED7-A296-96B42C7FCFBA}"/>
  <dataValidations count="1">
    <dataValidation type="list" allowBlank="1" showErrorMessage="1" sqref="F2:F3" xr:uid="{586F6515-99F0-48FD-A28D-ADCA65BCFE2D}">
      <formula1>"Bounceback,Defect,None"</formula1>
    </dataValidation>
  </dataValidations>
  <pageMargins left="0" right="0" top="0" bottom="0" header="0" footer="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149B8-8A4B-4FB9-AC66-E4CF46C85DF9}">
  <dimension ref="A1:AB7"/>
  <sheetViews>
    <sheetView workbookViewId="0">
      <pane xSplit="9" topLeftCell="J1" activePane="topRight" state="frozen"/>
      <selection pane="topRight" activeCell="H2" sqref="H2:H7"/>
    </sheetView>
  </sheetViews>
  <sheetFormatPr defaultRowHeight="12.75"/>
  <cols>
    <col min="1" max="1" width="7.7109375" style="133" bestFit="1" customWidth="1"/>
    <col min="2" max="2" width="12" style="133" customWidth="1"/>
    <col min="3" max="3" width="13.85546875" style="133" customWidth="1"/>
    <col min="4" max="4" width="11" style="133" bestFit="1" customWidth="1"/>
    <col min="5" max="5" width="18" style="133" customWidth="1"/>
    <col min="6" max="6" width="15.42578125" style="133" customWidth="1"/>
    <col min="7" max="7" width="11.85546875" style="133" customWidth="1"/>
    <col min="8" max="8" width="48.28515625" style="168" customWidth="1"/>
    <col min="9" max="9" width="18.85546875" style="133" customWidth="1"/>
    <col min="10" max="10" width="10.42578125" style="133" customWidth="1"/>
    <col min="11" max="11" width="9" style="133" customWidth="1"/>
    <col min="12" max="12" width="10.28515625" style="133" customWidth="1"/>
    <col min="13" max="13" width="11.42578125" style="168" customWidth="1"/>
    <col min="14" max="14" width="12.5703125" style="168" customWidth="1"/>
    <col min="15" max="15" width="26.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16384" width="9.140625" style="168"/>
  </cols>
  <sheetData>
    <row r="1" spans="1:28" ht="46.5">
      <c r="A1" s="274" t="s">
        <v>243</v>
      </c>
      <c r="B1" s="88" t="s">
        <v>4</v>
      </c>
      <c r="C1" s="88" t="s">
        <v>2</v>
      </c>
      <c r="D1" s="88" t="s">
        <v>3</v>
      </c>
      <c r="E1" s="275" t="s">
        <v>244</v>
      </c>
      <c r="F1" s="275" t="s">
        <v>245</v>
      </c>
      <c r="G1" s="275" t="s">
        <v>246</v>
      </c>
      <c r="H1" s="276" t="s">
        <v>247</v>
      </c>
      <c r="I1" s="275" t="s">
        <v>248</v>
      </c>
      <c r="J1" s="88" t="s">
        <v>249</v>
      </c>
      <c r="K1" s="88" t="s">
        <v>250</v>
      </c>
      <c r="L1" s="88"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row>
    <row r="2" spans="1:28" ht="38.25" customHeight="1">
      <c r="A2" s="204">
        <v>1</v>
      </c>
      <c r="B2" s="204" t="s">
        <v>379</v>
      </c>
      <c r="C2" s="370">
        <v>45765</v>
      </c>
      <c r="D2" s="370">
        <v>45778</v>
      </c>
      <c r="E2" s="204" t="s">
        <v>116</v>
      </c>
      <c r="F2" s="204" t="s">
        <v>275</v>
      </c>
      <c r="G2" s="204">
        <v>22944</v>
      </c>
      <c r="H2" s="204" t="s">
        <v>736</v>
      </c>
      <c r="I2" s="397" t="s">
        <v>295</v>
      </c>
      <c r="J2" s="204">
        <v>3</v>
      </c>
      <c r="K2" s="204">
        <v>3</v>
      </c>
      <c r="L2" s="204">
        <v>16</v>
      </c>
      <c r="M2" s="207"/>
      <c r="N2" s="207" t="s">
        <v>272</v>
      </c>
      <c r="O2" s="207"/>
      <c r="P2" s="207"/>
      <c r="Q2" s="207"/>
      <c r="R2" s="253" t="s">
        <v>737</v>
      </c>
      <c r="S2" s="208">
        <v>45776</v>
      </c>
      <c r="T2" s="208">
        <v>45776</v>
      </c>
      <c r="U2" s="207" t="s">
        <v>441</v>
      </c>
      <c r="V2" s="207"/>
      <c r="W2" s="207" t="s">
        <v>441</v>
      </c>
      <c r="X2" s="208">
        <v>45776</v>
      </c>
      <c r="Y2" s="207"/>
      <c r="Z2" s="207"/>
      <c r="AA2" s="207"/>
      <c r="AB2" s="207"/>
    </row>
    <row r="3" spans="1:28" ht="32.25" customHeight="1">
      <c r="A3" s="204">
        <v>2</v>
      </c>
      <c r="B3" s="204" t="s">
        <v>379</v>
      </c>
      <c r="C3" s="370">
        <v>45765</v>
      </c>
      <c r="D3" s="370">
        <v>45778</v>
      </c>
      <c r="E3" s="204" t="s">
        <v>116</v>
      </c>
      <c r="F3" s="204" t="s">
        <v>272</v>
      </c>
      <c r="G3" s="204">
        <v>47805</v>
      </c>
      <c r="H3" s="398" t="s">
        <v>738</v>
      </c>
      <c r="I3" s="397" t="s">
        <v>280</v>
      </c>
      <c r="J3" s="204">
        <v>8</v>
      </c>
      <c r="K3" s="204">
        <v>8</v>
      </c>
      <c r="L3" s="204">
        <v>32</v>
      </c>
      <c r="M3" s="207"/>
      <c r="N3" s="207" t="s">
        <v>739</v>
      </c>
      <c r="O3" s="207"/>
      <c r="P3" s="207" t="s">
        <v>739</v>
      </c>
      <c r="Q3" s="207"/>
      <c r="R3" s="253" t="s">
        <v>740</v>
      </c>
      <c r="S3" s="208">
        <v>45772</v>
      </c>
      <c r="T3" s="208">
        <v>45776</v>
      </c>
      <c r="U3" s="207" t="s">
        <v>409</v>
      </c>
      <c r="V3" s="207"/>
      <c r="W3" s="207"/>
      <c r="X3" s="208">
        <v>45776</v>
      </c>
      <c r="Y3" s="207"/>
      <c r="Z3" s="207"/>
      <c r="AA3" s="207"/>
      <c r="AB3" s="207"/>
    </row>
    <row r="4" spans="1:28" ht="33.75" customHeight="1">
      <c r="A4" s="204">
        <v>3</v>
      </c>
      <c r="B4" s="204" t="s">
        <v>379</v>
      </c>
      <c r="C4" s="370">
        <v>45765</v>
      </c>
      <c r="D4" s="370">
        <v>45778</v>
      </c>
      <c r="E4" s="204" t="s">
        <v>116</v>
      </c>
      <c r="F4" s="204" t="s">
        <v>417</v>
      </c>
      <c r="G4" s="204">
        <v>24944</v>
      </c>
      <c r="H4" s="204" t="s">
        <v>741</v>
      </c>
      <c r="I4" s="397" t="s">
        <v>295</v>
      </c>
      <c r="J4" s="204">
        <v>2</v>
      </c>
      <c r="K4" s="204">
        <v>2</v>
      </c>
      <c r="L4" s="204">
        <v>15</v>
      </c>
      <c r="M4" s="207"/>
      <c r="N4" s="207" t="s">
        <v>272</v>
      </c>
      <c r="O4" s="207"/>
      <c r="P4" s="207" t="s">
        <v>287</v>
      </c>
      <c r="Q4" s="207"/>
      <c r="R4" s="253" t="s">
        <v>742</v>
      </c>
      <c r="S4" s="208">
        <v>45769</v>
      </c>
      <c r="T4" s="208">
        <v>45769</v>
      </c>
      <c r="U4" s="207" t="s">
        <v>275</v>
      </c>
      <c r="V4" s="207"/>
      <c r="W4" s="207" t="s">
        <v>441</v>
      </c>
      <c r="X4" s="208">
        <v>45769</v>
      </c>
      <c r="Y4" s="207"/>
      <c r="Z4" s="207"/>
      <c r="AA4" s="207"/>
      <c r="AB4" s="207"/>
    </row>
    <row r="5" spans="1:28" ht="42.75" customHeight="1">
      <c r="A5" s="204">
        <v>4</v>
      </c>
      <c r="B5" s="204" t="s">
        <v>379</v>
      </c>
      <c r="C5" s="370">
        <v>45765</v>
      </c>
      <c r="D5" s="370">
        <v>45778</v>
      </c>
      <c r="E5" s="204" t="s">
        <v>116</v>
      </c>
      <c r="F5" s="204" t="s">
        <v>743</v>
      </c>
      <c r="G5" s="204">
        <v>47964</v>
      </c>
      <c r="H5" s="204" t="s">
        <v>744</v>
      </c>
      <c r="I5" s="397" t="s">
        <v>280</v>
      </c>
      <c r="J5" s="204">
        <v>5</v>
      </c>
      <c r="K5" s="204">
        <v>5</v>
      </c>
      <c r="L5" s="204">
        <v>40</v>
      </c>
      <c r="M5" s="207"/>
      <c r="N5" s="207" t="s">
        <v>272</v>
      </c>
      <c r="O5" s="207"/>
      <c r="P5" s="207"/>
      <c r="Q5" s="207"/>
      <c r="R5" s="253" t="s">
        <v>745</v>
      </c>
      <c r="S5" s="208">
        <v>45771</v>
      </c>
      <c r="T5" s="208">
        <v>45771</v>
      </c>
      <c r="U5" s="207" t="s">
        <v>287</v>
      </c>
      <c r="V5" s="207"/>
      <c r="W5" s="207" t="s">
        <v>441</v>
      </c>
      <c r="X5" s="208">
        <v>45771</v>
      </c>
      <c r="Y5" s="207"/>
      <c r="Z5" s="207"/>
      <c r="AA5" s="207"/>
      <c r="AB5" s="207"/>
    </row>
    <row r="6" spans="1:28" ht="32.25" customHeight="1">
      <c r="A6" s="204">
        <v>5</v>
      </c>
      <c r="B6" s="204" t="s">
        <v>379</v>
      </c>
      <c r="C6" s="370">
        <v>45765</v>
      </c>
      <c r="D6" s="370">
        <v>45778</v>
      </c>
      <c r="E6" s="204" t="s">
        <v>116</v>
      </c>
      <c r="F6" s="204" t="s">
        <v>746</v>
      </c>
      <c r="G6" s="204">
        <v>47988</v>
      </c>
      <c r="H6" s="204" t="s">
        <v>747</v>
      </c>
      <c r="I6" s="397" t="s">
        <v>280</v>
      </c>
      <c r="J6" s="204">
        <v>8</v>
      </c>
      <c r="K6" s="204">
        <v>8</v>
      </c>
      <c r="L6" s="204">
        <v>27</v>
      </c>
      <c r="M6" s="207"/>
      <c r="N6" s="207"/>
      <c r="O6" s="207"/>
      <c r="P6" s="207"/>
      <c r="Q6" s="207"/>
      <c r="R6" s="253" t="s">
        <v>748</v>
      </c>
      <c r="S6" s="208">
        <v>45777</v>
      </c>
      <c r="T6" s="207"/>
      <c r="U6" s="207" t="s">
        <v>275</v>
      </c>
      <c r="V6" s="207"/>
      <c r="W6" s="207" t="s">
        <v>441</v>
      </c>
      <c r="X6" s="208"/>
      <c r="Y6" s="207"/>
      <c r="Z6" s="207"/>
      <c r="AA6" s="207"/>
      <c r="AB6" s="207"/>
    </row>
    <row r="7" spans="1:28" ht="54" customHeight="1">
      <c r="A7" s="204">
        <v>6</v>
      </c>
      <c r="B7" s="204" t="s">
        <v>379</v>
      </c>
      <c r="C7" s="370">
        <v>45765</v>
      </c>
      <c r="D7" s="370">
        <v>45778</v>
      </c>
      <c r="E7" s="204" t="s">
        <v>116</v>
      </c>
      <c r="F7" s="204" t="s">
        <v>749</v>
      </c>
      <c r="G7" s="204">
        <v>47973</v>
      </c>
      <c r="H7" s="204" t="s">
        <v>750</v>
      </c>
      <c r="I7" s="397" t="s">
        <v>280</v>
      </c>
      <c r="J7" s="204">
        <v>3</v>
      </c>
      <c r="K7" s="204">
        <v>3</v>
      </c>
      <c r="L7" s="204">
        <v>15</v>
      </c>
      <c r="M7" s="207"/>
      <c r="N7" s="207"/>
      <c r="O7" s="207"/>
      <c r="P7" s="207"/>
      <c r="Q7" s="207"/>
      <c r="R7" s="404" t="s">
        <v>448</v>
      </c>
      <c r="S7" s="208"/>
      <c r="T7" s="207"/>
      <c r="U7" s="207"/>
      <c r="V7" s="207"/>
      <c r="W7" s="207"/>
      <c r="X7" s="208"/>
      <c r="Y7" s="207"/>
      <c r="Z7" s="207"/>
      <c r="AA7" s="207"/>
      <c r="AB7" s="207" t="s">
        <v>751</v>
      </c>
    </row>
  </sheetData>
  <hyperlinks>
    <hyperlink ref="R3" r:id="rId1" xr:uid="{318ED970-F155-4080-A3F3-69D24C37F532}"/>
    <hyperlink ref="R4" r:id="rId2" xr:uid="{64D74747-C874-4461-BA23-DFA4F4A44050}"/>
    <hyperlink ref="R2" r:id="rId3" xr:uid="{44C7F2B0-14E1-403B-9C04-00DD8E4DC0BF}"/>
    <hyperlink ref="R5" r:id="rId4" xr:uid="{C4CA5944-E574-4E01-BF9C-23992798195C}"/>
    <hyperlink ref="R6" r:id="rId5" xr:uid="{ACB28437-3FDC-4550-B04C-DC1ED70C4DB7}"/>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D374F2E0-3AF5-42CA-907B-321F5C26AD9E}">
          <x14:formula1>
            <xm:f>Settings!$C$3:$C$20</xm:f>
          </x14:formula1>
          <xm:sqref>I2:I7</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115FD-F693-4C1C-AE10-E679CAD2FF41}">
  <sheetPr>
    <outlinePr summaryBelow="0" summaryRight="0"/>
  </sheetPr>
  <dimension ref="A1:AC973"/>
  <sheetViews>
    <sheetView topLeftCell="G1" workbookViewId="0">
      <selection activeCell="H3" sqref="H3:N3"/>
    </sheetView>
  </sheetViews>
  <sheetFormatPr defaultColWidth="12.5703125" defaultRowHeight="15" customHeight="1"/>
  <cols>
    <col min="1" max="1" width="12.5703125" style="70" hidden="1" customWidth="1"/>
    <col min="2" max="2" width="18.28515625" style="70" customWidth="1"/>
    <col min="3" max="3" width="11.7109375" style="48" customWidth="1"/>
    <col min="4" max="4" width="14.42578125" style="48" customWidth="1"/>
    <col min="5" max="5" width="21.85546875" style="48" customWidth="1"/>
    <col min="6" max="6" width="13.85546875" style="70" customWidth="1"/>
    <col min="7" max="7" width="46.28515625" style="70" customWidth="1"/>
    <col min="8" max="8" width="10.42578125" style="48" customWidth="1"/>
    <col min="9" max="9" width="18.7109375" style="48" customWidth="1"/>
    <col min="10" max="10" width="9.140625" style="48" bestFit="1" customWidth="1"/>
    <col min="11" max="11" width="14.42578125" style="48" customWidth="1"/>
    <col min="12" max="12" width="19" style="48" customWidth="1"/>
    <col min="13" max="13" width="20.28515625" style="48" customWidth="1"/>
    <col min="14" max="14" width="56" style="48" customWidth="1"/>
    <col min="15" max="16384" width="12.5703125" style="70"/>
  </cols>
  <sheetData>
    <row r="1" spans="1:29" ht="27">
      <c r="A1" s="406" t="s">
        <v>243</v>
      </c>
      <c r="B1" s="88" t="s">
        <v>11</v>
      </c>
      <c r="C1" s="88" t="s">
        <v>297</v>
      </c>
      <c r="D1" s="88" t="s">
        <v>298</v>
      </c>
      <c r="E1" s="88" t="s">
        <v>245</v>
      </c>
      <c r="F1" s="88" t="s">
        <v>299</v>
      </c>
      <c r="G1" s="88" t="s">
        <v>300</v>
      </c>
      <c r="H1" s="88" t="s">
        <v>301</v>
      </c>
      <c r="I1" s="88" t="s">
        <v>302</v>
      </c>
      <c r="J1" s="88" t="s">
        <v>303</v>
      </c>
      <c r="K1" s="88" t="s">
        <v>304</v>
      </c>
      <c r="L1" s="88" t="s">
        <v>248</v>
      </c>
      <c r="M1" s="187" t="s">
        <v>305</v>
      </c>
      <c r="N1" s="395" t="s">
        <v>306</v>
      </c>
      <c r="O1" s="219"/>
      <c r="P1" s="219"/>
      <c r="Q1" s="219"/>
      <c r="R1" s="219"/>
      <c r="S1" s="219"/>
      <c r="T1" s="219"/>
      <c r="U1" s="219"/>
      <c r="V1" s="219"/>
      <c r="W1" s="219"/>
      <c r="X1" s="219"/>
      <c r="Y1" s="219"/>
      <c r="Z1" s="219"/>
      <c r="AA1" s="219"/>
      <c r="AB1" s="219"/>
      <c r="AC1" s="219"/>
    </row>
    <row r="2" spans="1:29" s="67" customFormat="1" ht="24" customHeight="1">
      <c r="B2" s="67" t="s">
        <v>116</v>
      </c>
      <c r="C2" s="114">
        <v>24944</v>
      </c>
      <c r="D2" s="83"/>
      <c r="E2" s="83" t="s">
        <v>417</v>
      </c>
      <c r="F2" s="222" t="s">
        <v>715</v>
      </c>
      <c r="G2" s="67" t="s">
        <v>741</v>
      </c>
      <c r="H2" s="83" t="s">
        <v>309</v>
      </c>
      <c r="I2" s="83" t="s">
        <v>336</v>
      </c>
      <c r="J2" s="83" t="s">
        <v>371</v>
      </c>
      <c r="K2" s="83" t="s">
        <v>618</v>
      </c>
      <c r="L2" s="83" t="s">
        <v>295</v>
      </c>
      <c r="M2" s="83" t="s">
        <v>734</v>
      </c>
      <c r="N2" s="83" t="s">
        <v>752</v>
      </c>
    </row>
    <row r="3" spans="1:29" s="67" customFormat="1" ht="23.25">
      <c r="B3" s="67" t="s">
        <v>116</v>
      </c>
      <c r="C3" s="114">
        <v>22944</v>
      </c>
      <c r="D3" s="83"/>
      <c r="E3" s="299" t="s">
        <v>275</v>
      </c>
      <c r="F3" s="222" t="s">
        <v>715</v>
      </c>
      <c r="G3" s="299" t="s">
        <v>736</v>
      </c>
      <c r="H3" s="83" t="s">
        <v>309</v>
      </c>
      <c r="I3" s="83" t="s">
        <v>753</v>
      </c>
      <c r="J3" s="83" t="s">
        <v>371</v>
      </c>
      <c r="K3" s="83" t="s">
        <v>720</v>
      </c>
      <c r="L3" s="83" t="s">
        <v>295</v>
      </c>
      <c r="M3" s="83" t="s">
        <v>734</v>
      </c>
      <c r="N3" s="83" t="s">
        <v>754</v>
      </c>
    </row>
    <row r="4" spans="1:29" ht="15.75" customHeight="1">
      <c r="F4" s="210"/>
    </row>
    <row r="5" spans="1:29" ht="15.75" customHeight="1">
      <c r="F5" s="210"/>
    </row>
    <row r="6" spans="1:29" ht="15.75" customHeight="1"/>
    <row r="7" spans="1:29" ht="15.75" customHeight="1"/>
    <row r="8" spans="1:29" ht="15.75" customHeight="1"/>
    <row r="9" spans="1:29" ht="15.75" customHeight="1"/>
    <row r="10" spans="1:29" ht="15.75" customHeight="1"/>
    <row r="11" spans="1:29" ht="15.75" customHeight="1"/>
    <row r="12" spans="1:29" ht="15.75" customHeight="1"/>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autoFilter ref="A1:N1" xr:uid="{3A2BB050-11AC-4ED7-A296-96B42C7FCFBA}"/>
  <dataValidations count="1">
    <dataValidation type="list" allowBlank="1" showErrorMessage="1" sqref="F2:F5" xr:uid="{29409DF3-255D-44A9-BBC8-46450CCB2635}">
      <formula1>"Bounceback,Defect,None"</formula1>
    </dataValidation>
  </dataValidations>
  <pageMargins left="0" right="0" top="0" bottom="0" header="0" footer="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F250-8C37-4072-AB19-0DA936F59452}">
  <dimension ref="A1:AB13"/>
  <sheetViews>
    <sheetView workbookViewId="0">
      <pane xSplit="9" topLeftCell="J13" activePane="topRight" state="frozen"/>
      <selection pane="topRight" activeCell="H13" sqref="H13"/>
    </sheetView>
  </sheetViews>
  <sheetFormatPr defaultRowHeight="12.75"/>
  <cols>
    <col min="1" max="1" width="7.7109375" style="133" bestFit="1" customWidth="1"/>
    <col min="2" max="2" width="12" style="133" customWidth="1"/>
    <col min="3" max="3" width="13.85546875" style="133" customWidth="1"/>
    <col min="4" max="4" width="11" style="133" bestFit="1" customWidth="1"/>
    <col min="5" max="5" width="18" style="133" customWidth="1"/>
    <col min="6" max="6" width="14.28515625" style="133" customWidth="1"/>
    <col min="7" max="7" width="13.5703125" style="133" customWidth="1"/>
    <col min="8" max="8" width="42.28515625" style="168" customWidth="1"/>
    <col min="9" max="9" width="18.85546875" style="133" customWidth="1"/>
    <col min="10" max="10" width="11.5703125" style="133" customWidth="1"/>
    <col min="11" max="11" width="10.5703125" style="133" customWidth="1"/>
    <col min="12" max="12" width="12.140625" style="133" customWidth="1"/>
    <col min="13" max="13" width="11.42578125" style="168" customWidth="1"/>
    <col min="14" max="14" width="11.5703125" style="168" customWidth="1"/>
    <col min="15" max="15" width="26.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16384" width="9.140625" style="168"/>
  </cols>
  <sheetData>
    <row r="1" spans="1:28" ht="46.5">
      <c r="A1" s="274" t="s">
        <v>243</v>
      </c>
      <c r="B1" s="88" t="s">
        <v>4</v>
      </c>
      <c r="C1" s="88" t="s">
        <v>2</v>
      </c>
      <c r="D1" s="88" t="s">
        <v>3</v>
      </c>
      <c r="E1" s="275" t="s">
        <v>244</v>
      </c>
      <c r="F1" s="275" t="s">
        <v>245</v>
      </c>
      <c r="G1" s="275" t="s">
        <v>246</v>
      </c>
      <c r="H1" s="276" t="s">
        <v>247</v>
      </c>
      <c r="I1" s="275" t="s">
        <v>248</v>
      </c>
      <c r="J1" s="88" t="s">
        <v>249</v>
      </c>
      <c r="K1" s="88" t="s">
        <v>250</v>
      </c>
      <c r="L1" s="88"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row>
    <row r="2" spans="1:28" ht="38.25" customHeight="1">
      <c r="A2" s="204">
        <v>1</v>
      </c>
      <c r="B2" s="204" t="s">
        <v>379</v>
      </c>
      <c r="C2" s="370">
        <v>45751</v>
      </c>
      <c r="D2" s="370">
        <v>45764</v>
      </c>
      <c r="E2" s="204" t="s">
        <v>113</v>
      </c>
      <c r="F2" s="204" t="s">
        <v>275</v>
      </c>
      <c r="G2" s="204">
        <v>24915</v>
      </c>
      <c r="H2" s="398" t="s">
        <v>755</v>
      </c>
      <c r="I2" s="397" t="s">
        <v>295</v>
      </c>
      <c r="J2" s="204">
        <v>5</v>
      </c>
      <c r="K2" s="204">
        <v>5</v>
      </c>
      <c r="L2" s="204">
        <v>24</v>
      </c>
      <c r="M2" s="207"/>
      <c r="N2" s="207" t="s">
        <v>623</v>
      </c>
      <c r="O2" s="207"/>
      <c r="P2" s="207"/>
      <c r="Q2" s="207"/>
      <c r="R2" s="253" t="s">
        <v>756</v>
      </c>
      <c r="S2" s="208">
        <v>45756</v>
      </c>
      <c r="T2" s="208">
        <v>45756</v>
      </c>
      <c r="U2" s="207" t="s">
        <v>287</v>
      </c>
      <c r="V2" s="207"/>
      <c r="W2" s="207" t="s">
        <v>441</v>
      </c>
      <c r="X2" s="208">
        <v>45756</v>
      </c>
      <c r="Y2" s="207"/>
      <c r="Z2" s="207"/>
      <c r="AA2" s="207"/>
      <c r="AB2" s="207"/>
    </row>
    <row r="3" spans="1:28" s="86" customFormat="1" ht="57.75" customHeight="1">
      <c r="A3" s="204">
        <v>2</v>
      </c>
      <c r="B3" s="204" t="s">
        <v>379</v>
      </c>
      <c r="C3" s="370">
        <v>45751</v>
      </c>
      <c r="D3" s="370">
        <v>45764</v>
      </c>
      <c r="E3" s="204" t="s">
        <v>757</v>
      </c>
      <c r="F3" s="204" t="s">
        <v>272</v>
      </c>
      <c r="G3" s="204">
        <v>47805</v>
      </c>
      <c r="H3" s="398" t="s">
        <v>738</v>
      </c>
      <c r="I3" s="292" t="s">
        <v>274</v>
      </c>
      <c r="J3" s="204">
        <v>13</v>
      </c>
      <c r="K3" s="204">
        <v>6</v>
      </c>
      <c r="L3" s="204">
        <v>23</v>
      </c>
      <c r="M3" s="207"/>
      <c r="N3" s="207"/>
      <c r="O3" s="207"/>
      <c r="P3" s="207"/>
      <c r="Q3" s="207"/>
      <c r="R3" s="253"/>
      <c r="S3" s="208"/>
      <c r="T3" s="207"/>
      <c r="U3" s="207"/>
      <c r="V3" s="207"/>
      <c r="W3" s="207"/>
      <c r="X3" s="208"/>
      <c r="Y3" s="207"/>
      <c r="Z3" s="207"/>
      <c r="AA3" s="207"/>
      <c r="AB3" s="207" t="s">
        <v>758</v>
      </c>
    </row>
    <row r="4" spans="1:28" s="86" customFormat="1" ht="35.25">
      <c r="A4" s="204">
        <v>3</v>
      </c>
      <c r="B4" s="204" t="s">
        <v>379</v>
      </c>
      <c r="C4" s="370">
        <v>45751</v>
      </c>
      <c r="D4" s="370">
        <v>45764</v>
      </c>
      <c r="E4" s="204" t="s">
        <v>113</v>
      </c>
      <c r="F4" s="204" t="s">
        <v>417</v>
      </c>
      <c r="G4" s="204">
        <v>24882</v>
      </c>
      <c r="H4" s="398" t="s">
        <v>759</v>
      </c>
      <c r="I4" s="397" t="s">
        <v>295</v>
      </c>
      <c r="J4" s="204">
        <v>5</v>
      </c>
      <c r="K4" s="204">
        <v>5</v>
      </c>
      <c r="L4" s="204">
        <v>29</v>
      </c>
      <c r="M4" s="207"/>
      <c r="N4" s="207" t="s">
        <v>272</v>
      </c>
      <c r="O4" s="207"/>
      <c r="P4" s="207"/>
      <c r="Q4" s="207"/>
      <c r="R4" s="253" t="s">
        <v>760</v>
      </c>
      <c r="S4" s="208">
        <v>45756</v>
      </c>
      <c r="T4" s="208">
        <v>45756</v>
      </c>
      <c r="U4" s="207" t="s">
        <v>287</v>
      </c>
      <c r="V4" s="207"/>
      <c r="W4" s="207" t="s">
        <v>441</v>
      </c>
      <c r="X4" s="208">
        <v>45756</v>
      </c>
      <c r="Y4" s="207"/>
      <c r="Z4" s="207"/>
      <c r="AA4" s="207"/>
      <c r="AB4" s="207"/>
    </row>
    <row r="5" spans="1:28" s="86" customFormat="1" ht="28.5" customHeight="1">
      <c r="A5" s="204">
        <v>4</v>
      </c>
      <c r="B5" s="204" t="s">
        <v>379</v>
      </c>
      <c r="C5" s="370">
        <v>45751</v>
      </c>
      <c r="D5" s="370">
        <v>45764</v>
      </c>
      <c r="E5" s="204" t="s">
        <v>757</v>
      </c>
      <c r="F5" s="204" t="s">
        <v>275</v>
      </c>
      <c r="G5" s="204">
        <v>38108</v>
      </c>
      <c r="H5" s="398" t="s">
        <v>761</v>
      </c>
      <c r="I5" s="397" t="s">
        <v>280</v>
      </c>
      <c r="J5" s="204">
        <v>3</v>
      </c>
      <c r="K5" s="204">
        <v>1</v>
      </c>
      <c r="L5" s="204">
        <v>5</v>
      </c>
      <c r="M5" s="207"/>
      <c r="N5" s="207"/>
      <c r="O5" s="207"/>
      <c r="P5" s="207"/>
      <c r="Q5" s="207"/>
      <c r="R5" s="402" t="s">
        <v>762</v>
      </c>
      <c r="S5" s="208"/>
      <c r="T5" s="207"/>
      <c r="U5" s="207"/>
      <c r="V5" s="207"/>
      <c r="W5" s="207"/>
      <c r="X5" s="208"/>
      <c r="Y5" s="207"/>
      <c r="Z5" s="207"/>
      <c r="AA5" s="207"/>
      <c r="AB5" s="401" t="s">
        <v>763</v>
      </c>
    </row>
    <row r="6" spans="1:28" s="86" customFormat="1" ht="35.25">
      <c r="A6" s="204">
        <v>5</v>
      </c>
      <c r="B6" s="204" t="s">
        <v>379</v>
      </c>
      <c r="C6" s="370">
        <v>45751</v>
      </c>
      <c r="D6" s="370">
        <v>45764</v>
      </c>
      <c r="E6" s="204" t="s">
        <v>757</v>
      </c>
      <c r="F6" s="204" t="s">
        <v>417</v>
      </c>
      <c r="G6" s="204">
        <v>24951</v>
      </c>
      <c r="H6" s="398" t="s">
        <v>764</v>
      </c>
      <c r="I6" s="397" t="s">
        <v>295</v>
      </c>
      <c r="J6" s="204">
        <v>1</v>
      </c>
      <c r="K6" s="204">
        <v>1</v>
      </c>
      <c r="L6" s="204">
        <v>4</v>
      </c>
      <c r="M6" s="207"/>
      <c r="N6" s="207" t="s">
        <v>272</v>
      </c>
      <c r="O6" s="207"/>
      <c r="P6" s="207" t="s">
        <v>287</v>
      </c>
      <c r="Q6" s="207"/>
      <c r="R6" s="253" t="s">
        <v>765</v>
      </c>
      <c r="S6" s="208">
        <v>45761</v>
      </c>
      <c r="T6" s="208">
        <v>45761</v>
      </c>
      <c r="U6" s="207" t="s">
        <v>287</v>
      </c>
      <c r="V6" s="207"/>
      <c r="W6" s="207" t="s">
        <v>441</v>
      </c>
      <c r="X6" s="208">
        <v>45761</v>
      </c>
      <c r="Y6" s="207"/>
      <c r="Z6" s="207"/>
      <c r="AA6" s="207"/>
      <c r="AB6" s="207"/>
    </row>
    <row r="7" spans="1:28" ht="35.25">
      <c r="A7" s="204">
        <v>6</v>
      </c>
      <c r="B7" s="204" t="s">
        <v>379</v>
      </c>
      <c r="C7" s="370">
        <v>45751</v>
      </c>
      <c r="D7" s="370">
        <v>45764</v>
      </c>
      <c r="E7" s="204" t="s">
        <v>757</v>
      </c>
      <c r="F7" s="204" t="s">
        <v>417</v>
      </c>
      <c r="G7" s="204">
        <v>24953</v>
      </c>
      <c r="H7" s="398" t="s">
        <v>766</v>
      </c>
      <c r="I7" s="397" t="s">
        <v>295</v>
      </c>
      <c r="J7" s="204">
        <v>2</v>
      </c>
      <c r="K7" s="204">
        <v>2</v>
      </c>
      <c r="L7" s="204">
        <v>7</v>
      </c>
      <c r="M7" s="207"/>
      <c r="N7" s="207" t="s">
        <v>272</v>
      </c>
      <c r="O7" s="207"/>
      <c r="P7" s="207" t="s">
        <v>287</v>
      </c>
      <c r="Q7" s="207"/>
      <c r="R7" s="253" t="s">
        <v>767</v>
      </c>
      <c r="S7" s="208">
        <v>45761</v>
      </c>
      <c r="T7" s="208">
        <v>45761</v>
      </c>
      <c r="U7" s="207" t="s">
        <v>287</v>
      </c>
      <c r="V7" s="207"/>
      <c r="W7" s="207" t="s">
        <v>441</v>
      </c>
      <c r="X7" s="208">
        <v>45761</v>
      </c>
      <c r="Y7" s="207"/>
      <c r="Z7" s="207"/>
      <c r="AA7" s="207"/>
      <c r="AB7" s="207"/>
    </row>
    <row r="8" spans="1:28" ht="23.25">
      <c r="A8" s="204">
        <v>7</v>
      </c>
      <c r="B8" s="204" t="s">
        <v>379</v>
      </c>
      <c r="C8" s="370">
        <v>45751</v>
      </c>
      <c r="D8" s="370">
        <v>45764</v>
      </c>
      <c r="E8" s="204" t="s">
        <v>768</v>
      </c>
      <c r="F8" s="204" t="s">
        <v>417</v>
      </c>
      <c r="G8" s="204">
        <v>24997</v>
      </c>
      <c r="H8" s="398" t="s">
        <v>769</v>
      </c>
      <c r="I8" s="397" t="s">
        <v>295</v>
      </c>
      <c r="J8" s="204">
        <v>2</v>
      </c>
      <c r="K8" s="204">
        <v>2</v>
      </c>
      <c r="L8" s="204">
        <v>8</v>
      </c>
      <c r="M8" s="207"/>
      <c r="N8" s="207" t="s">
        <v>272</v>
      </c>
      <c r="O8" s="207"/>
      <c r="P8" s="207" t="s">
        <v>287</v>
      </c>
      <c r="Q8" s="207"/>
      <c r="R8" s="253" t="s">
        <v>770</v>
      </c>
      <c r="S8" s="208">
        <v>45761</v>
      </c>
      <c r="T8" s="208">
        <v>45761</v>
      </c>
      <c r="U8" s="207" t="s">
        <v>287</v>
      </c>
      <c r="V8" s="207"/>
      <c r="W8" s="207" t="s">
        <v>441</v>
      </c>
      <c r="X8" s="208">
        <v>45761</v>
      </c>
      <c r="Y8" s="207"/>
      <c r="Z8" s="207"/>
      <c r="AA8" s="207"/>
      <c r="AB8" s="207"/>
    </row>
    <row r="9" spans="1:28" ht="23.25">
      <c r="A9" s="204">
        <v>8</v>
      </c>
      <c r="B9" s="204" t="s">
        <v>379</v>
      </c>
      <c r="C9" s="370">
        <v>45751</v>
      </c>
      <c r="D9" s="370">
        <v>45764</v>
      </c>
      <c r="E9" s="204" t="s">
        <v>757</v>
      </c>
      <c r="F9" s="204" t="s">
        <v>417</v>
      </c>
      <c r="G9" s="204">
        <v>25022</v>
      </c>
      <c r="H9" s="398" t="s">
        <v>771</v>
      </c>
      <c r="I9" s="397" t="s">
        <v>295</v>
      </c>
      <c r="J9" s="204">
        <v>2</v>
      </c>
      <c r="K9" s="204">
        <v>2</v>
      </c>
      <c r="L9" s="204">
        <v>8</v>
      </c>
      <c r="M9" s="207"/>
      <c r="N9" s="207" t="s">
        <v>272</v>
      </c>
      <c r="O9" s="207"/>
      <c r="P9" s="207" t="s">
        <v>287</v>
      </c>
      <c r="Q9" s="207"/>
      <c r="R9" s="253" t="s">
        <v>772</v>
      </c>
      <c r="S9" s="208">
        <v>45763</v>
      </c>
      <c r="T9" s="208">
        <v>45763</v>
      </c>
      <c r="U9" s="207" t="s">
        <v>287</v>
      </c>
      <c r="V9" s="207"/>
      <c r="W9" s="207" t="s">
        <v>441</v>
      </c>
      <c r="X9" s="208">
        <v>45763</v>
      </c>
      <c r="Y9" s="207"/>
      <c r="Z9" s="207"/>
      <c r="AA9" s="207"/>
      <c r="AB9" s="207"/>
    </row>
    <row r="10" spans="1:28" ht="23.25">
      <c r="A10" s="204">
        <v>9</v>
      </c>
      <c r="B10" s="204" t="s">
        <v>379</v>
      </c>
      <c r="C10" s="370">
        <v>45751</v>
      </c>
      <c r="D10" s="370">
        <v>45764</v>
      </c>
      <c r="E10" s="204" t="s">
        <v>757</v>
      </c>
      <c r="F10" s="204" t="s">
        <v>275</v>
      </c>
      <c r="G10" s="204">
        <v>24217</v>
      </c>
      <c r="H10" s="398" t="s">
        <v>773</v>
      </c>
      <c r="I10" s="397" t="s">
        <v>295</v>
      </c>
      <c r="J10" s="204">
        <v>3</v>
      </c>
      <c r="K10" s="204">
        <v>3</v>
      </c>
      <c r="L10" s="204">
        <v>10</v>
      </c>
      <c r="M10" s="207"/>
      <c r="N10" s="207" t="s">
        <v>272</v>
      </c>
      <c r="O10" s="207"/>
      <c r="P10" s="207" t="s">
        <v>287</v>
      </c>
      <c r="Q10" s="207"/>
      <c r="R10" s="253" t="s">
        <v>774</v>
      </c>
      <c r="S10" s="208">
        <v>45763</v>
      </c>
      <c r="T10" s="207"/>
      <c r="U10" s="207" t="s">
        <v>287</v>
      </c>
      <c r="V10" s="207"/>
      <c r="W10" s="207" t="s">
        <v>441</v>
      </c>
      <c r="X10" s="208"/>
      <c r="Y10" s="207"/>
      <c r="Z10" s="207"/>
      <c r="AA10" s="207"/>
      <c r="AB10" s="207"/>
    </row>
    <row r="11" spans="1:28" ht="33.75">
      <c r="A11" s="204">
        <v>10</v>
      </c>
      <c r="B11" s="204" t="s">
        <v>379</v>
      </c>
      <c r="C11" s="370">
        <v>45751</v>
      </c>
      <c r="D11" s="370">
        <v>45764</v>
      </c>
      <c r="E11" s="204" t="s">
        <v>768</v>
      </c>
      <c r="F11" s="204" t="s">
        <v>287</v>
      </c>
      <c r="G11" s="403">
        <v>34180</v>
      </c>
      <c r="H11" s="400" t="s">
        <v>775</v>
      </c>
      <c r="I11" s="397" t="s">
        <v>280</v>
      </c>
      <c r="J11" s="204">
        <v>3</v>
      </c>
      <c r="K11" s="204">
        <v>3</v>
      </c>
      <c r="L11" s="204">
        <v>5</v>
      </c>
      <c r="M11" s="207"/>
      <c r="N11" s="207"/>
      <c r="O11" s="207"/>
      <c r="P11" s="207"/>
      <c r="Q11" s="207"/>
      <c r="R11" s="402" t="s">
        <v>762</v>
      </c>
      <c r="S11" s="208"/>
      <c r="T11" s="207"/>
      <c r="U11" s="207"/>
      <c r="V11" s="207"/>
      <c r="W11" s="207"/>
      <c r="X11" s="208"/>
      <c r="Y11" s="207"/>
      <c r="Z11" s="207"/>
      <c r="AA11" s="207"/>
      <c r="AB11" s="401" t="s">
        <v>763</v>
      </c>
    </row>
    <row r="12" spans="1:28" ht="33.75">
      <c r="A12" s="204">
        <v>11</v>
      </c>
      <c r="B12" s="204" t="s">
        <v>379</v>
      </c>
      <c r="C12" s="370">
        <v>45751</v>
      </c>
      <c r="D12" s="370">
        <v>45764</v>
      </c>
      <c r="E12" s="204" t="s">
        <v>768</v>
      </c>
      <c r="F12" s="204" t="s">
        <v>287</v>
      </c>
      <c r="G12" s="403">
        <v>47832</v>
      </c>
      <c r="H12" s="400" t="s">
        <v>776</v>
      </c>
      <c r="I12" s="397" t="s">
        <v>280</v>
      </c>
      <c r="J12" s="204">
        <v>8</v>
      </c>
      <c r="K12" s="204">
        <v>8</v>
      </c>
      <c r="L12" s="204">
        <v>35</v>
      </c>
      <c r="M12" s="207"/>
      <c r="N12" s="207"/>
      <c r="O12" s="207"/>
      <c r="P12" s="207"/>
      <c r="Q12" s="207"/>
      <c r="R12" s="253" t="s">
        <v>777</v>
      </c>
      <c r="S12" s="208">
        <v>45762</v>
      </c>
      <c r="T12" s="208">
        <v>45762</v>
      </c>
      <c r="U12" s="207" t="s">
        <v>287</v>
      </c>
      <c r="V12" s="207"/>
      <c r="W12" s="207" t="s">
        <v>441</v>
      </c>
      <c r="X12" s="208">
        <v>45762</v>
      </c>
      <c r="Y12" s="207"/>
      <c r="Z12" s="207"/>
      <c r="AA12" s="207"/>
      <c r="AB12" s="207"/>
    </row>
    <row r="13" spans="1:28" ht="23.25">
      <c r="A13" s="204">
        <v>12</v>
      </c>
      <c r="B13" s="204" t="s">
        <v>379</v>
      </c>
      <c r="C13" s="370">
        <v>45751</v>
      </c>
      <c r="D13" s="370">
        <v>45764</v>
      </c>
      <c r="E13" s="204" t="s">
        <v>757</v>
      </c>
      <c r="F13" s="204" t="s">
        <v>417</v>
      </c>
      <c r="G13" s="204">
        <v>24944</v>
      </c>
      <c r="H13" s="398" t="s">
        <v>741</v>
      </c>
      <c r="I13" s="292" t="s">
        <v>694</v>
      </c>
      <c r="J13" s="204">
        <v>3</v>
      </c>
      <c r="K13" s="204"/>
      <c r="L13" s="204"/>
      <c r="M13" s="207"/>
      <c r="N13" s="207"/>
      <c r="O13" s="207"/>
      <c r="P13" s="207"/>
      <c r="Q13" s="207"/>
      <c r="R13" s="253"/>
      <c r="S13" s="208"/>
      <c r="T13" s="207"/>
      <c r="U13" s="207"/>
      <c r="V13" s="207"/>
      <c r="W13" s="207"/>
      <c r="X13" s="208"/>
      <c r="Y13" s="207"/>
      <c r="Z13" s="207"/>
      <c r="AA13" s="207"/>
      <c r="AB13" s="207"/>
    </row>
  </sheetData>
  <hyperlinks>
    <hyperlink ref="R2" r:id="rId1" xr:uid="{28A60E47-23D5-48B3-B1AC-5941BBBEF6C0}"/>
    <hyperlink ref="R4" r:id="rId2" xr:uid="{6BCFED10-7751-4610-9C06-1FD1B2A449ED}"/>
    <hyperlink ref="R6" r:id="rId3" xr:uid="{DB5B0879-E9AC-43E8-9D3E-DCDE957B17AF}"/>
    <hyperlink ref="R7" r:id="rId4" xr:uid="{CEBD1629-1D82-4B17-8F9D-8B0AF0AC8874}"/>
    <hyperlink ref="R8" r:id="rId5" xr:uid="{AA904B93-CFDC-4CF7-B5DE-6E5905447506}"/>
    <hyperlink ref="R9" r:id="rId6" xr:uid="{AEA02915-35B1-429C-AC2E-C569D5A68A60}"/>
    <hyperlink ref="R10" r:id="rId7" xr:uid="{03A0B2EE-74D9-428E-B55D-EC36B5B4470D}"/>
    <hyperlink ref="R12" r:id="rId8" xr:uid="{9809F4CE-F89C-4CA1-8C97-DB171638CB54}"/>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InputMessage="1" showErrorMessage="1" xr:uid="{60D03742-3AD4-4AD8-B4CE-C9AB60A233AD}">
          <x14:formula1>
            <xm:f>Settings!$C$3:$C$20</xm:f>
          </x14:formula1>
          <xm:sqref>I2:I13</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21642-3EAE-416C-88BC-F9D93212672E}">
  <sheetPr>
    <outlinePr summaryBelow="0" summaryRight="0"/>
  </sheetPr>
  <dimension ref="A1:AC981"/>
  <sheetViews>
    <sheetView topLeftCell="G1" workbookViewId="0">
      <selection activeCell="N9" sqref="N9"/>
    </sheetView>
  </sheetViews>
  <sheetFormatPr defaultColWidth="12.5703125" defaultRowHeight="15" customHeight="1"/>
  <cols>
    <col min="1" max="1" width="12.5703125" style="70" hidden="1" customWidth="1"/>
    <col min="2" max="2" width="18.28515625" style="70" customWidth="1"/>
    <col min="3" max="3" width="11.7109375" style="48" customWidth="1"/>
    <col min="4" max="4" width="14.42578125" style="48" customWidth="1"/>
    <col min="5" max="5" width="21.85546875" style="48" customWidth="1"/>
    <col min="6" max="6" width="13.85546875" style="70" customWidth="1"/>
    <col min="7" max="7" width="46.28515625" style="70" customWidth="1"/>
    <col min="8" max="8" width="10.42578125" style="48" customWidth="1"/>
    <col min="9" max="9" width="18.7109375" style="48" customWidth="1"/>
    <col min="10" max="10" width="9.140625" style="48" bestFit="1" customWidth="1"/>
    <col min="11" max="11" width="14.42578125" style="48" customWidth="1"/>
    <col min="12" max="12" width="19" style="48" customWidth="1"/>
    <col min="13" max="13" width="20.28515625" style="48" customWidth="1"/>
    <col min="14" max="14" width="56" style="48" customWidth="1"/>
    <col min="15" max="16384" width="12.5703125" style="70"/>
  </cols>
  <sheetData>
    <row r="1" spans="1:29" ht="27">
      <c r="A1" s="360" t="s">
        <v>243</v>
      </c>
      <c r="B1" s="1" t="s">
        <v>11</v>
      </c>
      <c r="C1" s="1" t="s">
        <v>297</v>
      </c>
      <c r="D1" s="1" t="s">
        <v>298</v>
      </c>
      <c r="E1" s="1" t="s">
        <v>245</v>
      </c>
      <c r="F1" s="1" t="s">
        <v>299</v>
      </c>
      <c r="G1" s="1" t="s">
        <v>300</v>
      </c>
      <c r="H1" s="1" t="s">
        <v>301</v>
      </c>
      <c r="I1" s="1" t="s">
        <v>302</v>
      </c>
      <c r="J1" s="1" t="s">
        <v>303</v>
      </c>
      <c r="K1" s="1" t="s">
        <v>304</v>
      </c>
      <c r="L1" s="1" t="s">
        <v>248</v>
      </c>
      <c r="M1" s="130" t="s">
        <v>305</v>
      </c>
      <c r="N1" s="372" t="s">
        <v>306</v>
      </c>
      <c r="O1" s="219"/>
      <c r="P1" s="219"/>
      <c r="Q1" s="219"/>
      <c r="R1" s="219"/>
      <c r="S1" s="219"/>
      <c r="T1" s="219"/>
      <c r="U1" s="219"/>
      <c r="V1" s="219"/>
      <c r="W1" s="219"/>
      <c r="X1" s="219"/>
      <c r="Y1" s="219"/>
      <c r="Z1" s="219"/>
      <c r="AA1" s="219"/>
      <c r="AB1" s="219"/>
      <c r="AC1" s="219"/>
    </row>
    <row r="2" spans="1:29" ht="33" customHeight="1">
      <c r="B2" s="70" t="s">
        <v>113</v>
      </c>
      <c r="C2" s="48">
        <v>24882</v>
      </c>
      <c r="E2" s="48" t="s">
        <v>746</v>
      </c>
      <c r="F2" s="210" t="s">
        <v>715</v>
      </c>
      <c r="G2" s="43" t="s">
        <v>778</v>
      </c>
      <c r="H2" s="48" t="s">
        <v>309</v>
      </c>
      <c r="I2" s="48" t="s">
        <v>336</v>
      </c>
      <c r="J2" s="48" t="s">
        <v>371</v>
      </c>
      <c r="K2" s="48" t="s">
        <v>779</v>
      </c>
      <c r="L2" s="48" t="s">
        <v>780</v>
      </c>
      <c r="M2" s="48" t="s">
        <v>734</v>
      </c>
      <c r="N2" s="133" t="s">
        <v>781</v>
      </c>
      <c r="O2" s="168"/>
    </row>
    <row r="3" spans="1:29" ht="36" customHeight="1">
      <c r="B3" s="70" t="s">
        <v>113</v>
      </c>
      <c r="C3" s="325">
        <v>24915</v>
      </c>
      <c r="E3" s="48" t="s">
        <v>782</v>
      </c>
      <c r="F3" s="210" t="s">
        <v>715</v>
      </c>
      <c r="G3" s="168" t="s">
        <v>783</v>
      </c>
      <c r="H3" s="49" t="s">
        <v>784</v>
      </c>
      <c r="I3" s="48" t="s">
        <v>336</v>
      </c>
      <c r="J3" s="48" t="s">
        <v>311</v>
      </c>
      <c r="K3" s="48" t="s">
        <v>785</v>
      </c>
      <c r="L3" s="48" t="s">
        <v>780</v>
      </c>
      <c r="M3" s="83" t="s">
        <v>734</v>
      </c>
      <c r="N3" s="133" t="s">
        <v>786</v>
      </c>
    </row>
    <row r="4" spans="1:29" ht="32.25" customHeight="1">
      <c r="B4" s="70" t="s">
        <v>757</v>
      </c>
      <c r="C4" s="48">
        <v>24951</v>
      </c>
      <c r="E4" s="48" t="s">
        <v>746</v>
      </c>
      <c r="F4" s="210" t="s">
        <v>715</v>
      </c>
      <c r="G4" s="168" t="s">
        <v>787</v>
      </c>
      <c r="H4" s="48" t="s">
        <v>309</v>
      </c>
      <c r="I4" s="48" t="s">
        <v>336</v>
      </c>
      <c r="J4" s="48" t="s">
        <v>371</v>
      </c>
      <c r="K4" s="48" t="s">
        <v>779</v>
      </c>
      <c r="L4" s="48" t="s">
        <v>780</v>
      </c>
      <c r="M4" s="48" t="s">
        <v>734</v>
      </c>
      <c r="N4" s="48" t="s">
        <v>788</v>
      </c>
    </row>
    <row r="5" spans="1:29" ht="39" customHeight="1">
      <c r="B5" s="70" t="s">
        <v>757</v>
      </c>
      <c r="C5" s="48">
        <v>24953</v>
      </c>
      <c r="E5" s="48" t="s">
        <v>746</v>
      </c>
      <c r="F5" s="210" t="s">
        <v>715</v>
      </c>
      <c r="G5" s="168" t="s">
        <v>789</v>
      </c>
      <c r="H5" s="48" t="s">
        <v>309</v>
      </c>
      <c r="I5" s="48" t="s">
        <v>336</v>
      </c>
      <c r="J5" s="48" t="s">
        <v>371</v>
      </c>
      <c r="K5" s="48" t="s">
        <v>779</v>
      </c>
      <c r="L5" s="48" t="s">
        <v>780</v>
      </c>
      <c r="M5" s="48" t="s">
        <v>734</v>
      </c>
      <c r="N5" s="133" t="s">
        <v>790</v>
      </c>
    </row>
    <row r="6" spans="1:29" ht="33.75" customHeight="1">
      <c r="B6" s="70" t="s">
        <v>113</v>
      </c>
      <c r="C6" s="48">
        <v>24997</v>
      </c>
      <c r="E6" s="48" t="s">
        <v>746</v>
      </c>
      <c r="F6" s="210" t="s">
        <v>715</v>
      </c>
      <c r="G6" s="168" t="s">
        <v>769</v>
      </c>
      <c r="H6" s="48" t="s">
        <v>309</v>
      </c>
      <c r="I6" s="48" t="s">
        <v>336</v>
      </c>
      <c r="J6" s="48" t="s">
        <v>371</v>
      </c>
      <c r="K6" s="48" t="s">
        <v>618</v>
      </c>
      <c r="L6" s="48" t="s">
        <v>780</v>
      </c>
      <c r="M6" s="48" t="s">
        <v>734</v>
      </c>
      <c r="N6" s="133" t="s">
        <v>791</v>
      </c>
    </row>
    <row r="7" spans="1:29" ht="15.75" customHeight="1">
      <c r="B7" s="70" t="s">
        <v>757</v>
      </c>
      <c r="C7" s="48">
        <v>25022</v>
      </c>
      <c r="E7" s="48" t="s">
        <v>417</v>
      </c>
      <c r="F7" s="210" t="s">
        <v>715</v>
      </c>
      <c r="G7" s="168" t="s">
        <v>792</v>
      </c>
      <c r="H7" s="48" t="s">
        <v>309</v>
      </c>
      <c r="I7" s="48" t="s">
        <v>336</v>
      </c>
      <c r="J7" s="48" t="s">
        <v>371</v>
      </c>
      <c r="K7" s="48" t="s">
        <v>779</v>
      </c>
      <c r="L7" s="48" t="s">
        <v>780</v>
      </c>
      <c r="M7" s="48" t="s">
        <v>793</v>
      </c>
      <c r="N7" s="133" t="s">
        <v>794</v>
      </c>
    </row>
    <row r="8" spans="1:29" ht="23.25">
      <c r="B8" s="70" t="s">
        <v>757</v>
      </c>
      <c r="C8" s="48">
        <v>24217</v>
      </c>
      <c r="E8" s="48" t="s">
        <v>782</v>
      </c>
      <c r="F8" s="210"/>
      <c r="G8" s="399" t="s">
        <v>773</v>
      </c>
      <c r="H8" s="48" t="s">
        <v>309</v>
      </c>
      <c r="I8" s="48" t="s">
        <v>336</v>
      </c>
      <c r="J8" s="48" t="s">
        <v>311</v>
      </c>
      <c r="K8" s="48" t="s">
        <v>618</v>
      </c>
      <c r="L8" s="48" t="s">
        <v>780</v>
      </c>
      <c r="M8" s="83" t="s">
        <v>734</v>
      </c>
      <c r="N8" s="133" t="s">
        <v>795</v>
      </c>
    </row>
    <row r="9" spans="1:29" ht="22.5" customHeight="1">
      <c r="B9" s="70" t="s">
        <v>757</v>
      </c>
      <c r="C9" s="48">
        <v>24944</v>
      </c>
      <c r="E9" s="48" t="s">
        <v>417</v>
      </c>
      <c r="F9" s="210" t="s">
        <v>715</v>
      </c>
      <c r="G9" s="168" t="s">
        <v>741</v>
      </c>
      <c r="H9" s="48" t="s">
        <v>309</v>
      </c>
      <c r="I9" s="48" t="s">
        <v>336</v>
      </c>
      <c r="J9" s="48" t="s">
        <v>311</v>
      </c>
      <c r="K9" s="48" t="s">
        <v>618</v>
      </c>
      <c r="L9" s="48" t="s">
        <v>796</v>
      </c>
      <c r="M9" s="48" t="s">
        <v>734</v>
      </c>
      <c r="N9" s="133" t="s">
        <v>797</v>
      </c>
    </row>
    <row r="10" spans="1:29" ht="15.75" customHeight="1">
      <c r="F10" s="210"/>
    </row>
    <row r="11" spans="1:29" ht="15.75" customHeight="1">
      <c r="F11" s="210"/>
    </row>
    <row r="12" spans="1:29" ht="15.75" customHeight="1">
      <c r="F12" s="210"/>
    </row>
    <row r="13" spans="1:29" ht="15.75" customHeight="1">
      <c r="F13" s="210"/>
    </row>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autoFilter ref="A1:N1" xr:uid="{3A2BB050-11AC-4ED7-A296-96B42C7FCFBA}"/>
  <dataValidations count="1">
    <dataValidation type="list" allowBlank="1" showErrorMessage="1" sqref="F2:F13" xr:uid="{F45BC90B-7083-40F8-B79C-D6475F5366D5}">
      <formula1>"Bounceback,Defect,None"</formula1>
    </dataValidation>
  </dataValidations>
  <pageMargins left="0" right="0" top="0" bottom="0" header="0" footer="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AEDD-5965-4B07-9B8E-315122E1F2CE}">
  <dimension ref="A1:AT13"/>
  <sheetViews>
    <sheetView workbookViewId="0">
      <pane xSplit="9" topLeftCell="AD2" activePane="topRight" state="frozen"/>
      <selection pane="topRight" activeCell="F7" sqref="F7"/>
    </sheetView>
  </sheetViews>
  <sheetFormatPr defaultRowHeight="12.75"/>
  <cols>
    <col min="1" max="1" width="7.7109375" style="133" bestFit="1" customWidth="1"/>
    <col min="2" max="2" width="12" style="133" customWidth="1"/>
    <col min="3" max="3" width="17.5703125" style="133" customWidth="1"/>
    <col min="4" max="4" width="11" style="133" bestFit="1" customWidth="1"/>
    <col min="5" max="5" width="11.85546875" style="133" customWidth="1"/>
    <col min="6" max="6" width="12.42578125" style="133" bestFit="1" customWidth="1"/>
    <col min="7" max="7" width="11.85546875" style="133" customWidth="1"/>
    <col min="8" max="8" width="45.5703125" style="168" customWidth="1"/>
    <col min="9" max="9" width="18.5703125" style="133" customWidth="1"/>
    <col min="10" max="10" width="13.85546875" style="133" customWidth="1"/>
    <col min="11" max="11" width="12.85546875" style="133" customWidth="1"/>
    <col min="12" max="12" width="11.42578125" style="133" customWidth="1"/>
    <col min="13" max="13" width="11.42578125" style="168" customWidth="1"/>
    <col min="14" max="14" width="16.7109375" style="168" customWidth="1"/>
    <col min="15" max="15" width="14.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16384" width="9.140625" style="168"/>
  </cols>
  <sheetData>
    <row r="1" spans="1:46" ht="46.5">
      <c r="A1" s="274" t="s">
        <v>243</v>
      </c>
      <c r="B1" s="88" t="s">
        <v>4</v>
      </c>
      <c r="C1" s="88" t="s">
        <v>2</v>
      </c>
      <c r="D1" s="88" t="s">
        <v>3</v>
      </c>
      <c r="E1" s="275" t="s">
        <v>244</v>
      </c>
      <c r="F1" s="275" t="s">
        <v>245</v>
      </c>
      <c r="G1" s="275" t="s">
        <v>246</v>
      </c>
      <c r="H1" s="276" t="s">
        <v>247</v>
      </c>
      <c r="I1" s="275" t="s">
        <v>248</v>
      </c>
      <c r="J1" s="88" t="s">
        <v>249</v>
      </c>
      <c r="K1" s="88" t="s">
        <v>250</v>
      </c>
      <c r="L1" s="88"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row>
    <row r="2" spans="1:46" ht="30.75" customHeight="1">
      <c r="A2" s="193">
        <v>1</v>
      </c>
      <c r="B2" s="193" t="s">
        <v>379</v>
      </c>
      <c r="C2" s="313">
        <v>45737</v>
      </c>
      <c r="D2" s="313">
        <v>45750</v>
      </c>
      <c r="E2" s="169" t="s">
        <v>109</v>
      </c>
      <c r="F2" s="193" t="s">
        <v>275</v>
      </c>
      <c r="G2" s="193">
        <v>47109</v>
      </c>
      <c r="H2" s="194" t="s">
        <v>798</v>
      </c>
      <c r="I2" s="291" t="s">
        <v>280</v>
      </c>
      <c r="J2" s="193">
        <v>5</v>
      </c>
      <c r="K2" s="127">
        <v>5</v>
      </c>
      <c r="L2" s="193">
        <v>38</v>
      </c>
      <c r="M2" s="194" t="s">
        <v>13</v>
      </c>
      <c r="N2" s="194"/>
      <c r="O2" s="194"/>
      <c r="P2" s="194"/>
      <c r="Q2" s="194"/>
      <c r="R2" s="236" t="s">
        <v>799</v>
      </c>
      <c r="S2" s="206">
        <v>45744</v>
      </c>
      <c r="T2" s="206">
        <v>45744</v>
      </c>
      <c r="U2" s="194" t="s">
        <v>287</v>
      </c>
      <c r="V2" s="194"/>
      <c r="W2" s="194" t="s">
        <v>441</v>
      </c>
      <c r="X2" s="206">
        <v>45744</v>
      </c>
      <c r="Y2" s="194"/>
      <c r="Z2" s="194"/>
      <c r="AA2" s="194" t="s">
        <v>800</v>
      </c>
      <c r="AB2" s="194" t="s">
        <v>801</v>
      </c>
      <c r="AC2" s="312"/>
      <c r="AD2" s="312"/>
      <c r="AE2" s="312"/>
      <c r="AF2" s="312"/>
      <c r="AG2" s="312"/>
      <c r="AH2" s="312"/>
      <c r="AI2" s="312"/>
      <c r="AJ2" s="312"/>
      <c r="AK2" s="312"/>
      <c r="AL2" s="312"/>
      <c r="AM2" s="312"/>
      <c r="AN2" s="312"/>
      <c r="AO2" s="312"/>
      <c r="AP2" s="312"/>
      <c r="AQ2" s="312"/>
      <c r="AR2" s="312"/>
      <c r="AS2" s="312"/>
      <c r="AT2" s="312"/>
    </row>
    <row r="3" spans="1:46" ht="33.75" customHeight="1">
      <c r="A3" s="204">
        <v>2</v>
      </c>
      <c r="B3" s="193" t="s">
        <v>379</v>
      </c>
      <c r="C3" s="313">
        <v>45737</v>
      </c>
      <c r="D3" s="313">
        <v>45750</v>
      </c>
      <c r="E3" s="169" t="s">
        <v>109</v>
      </c>
      <c r="F3" s="204" t="s">
        <v>272</v>
      </c>
      <c r="G3" s="204">
        <v>47151</v>
      </c>
      <c r="H3" s="207" t="s">
        <v>802</v>
      </c>
      <c r="I3" s="390" t="s">
        <v>280</v>
      </c>
      <c r="J3" s="204">
        <v>5</v>
      </c>
      <c r="K3" s="204">
        <v>5</v>
      </c>
      <c r="L3" s="204">
        <v>12</v>
      </c>
      <c r="M3" s="207"/>
      <c r="N3" s="207" t="s">
        <v>634</v>
      </c>
      <c r="O3" s="207"/>
      <c r="P3" s="207" t="s">
        <v>803</v>
      </c>
      <c r="Q3" s="207" t="s">
        <v>281</v>
      </c>
      <c r="R3" s="253" t="s">
        <v>804</v>
      </c>
      <c r="S3" s="208">
        <v>45736</v>
      </c>
      <c r="T3" s="208">
        <v>45741</v>
      </c>
      <c r="U3" s="207" t="s">
        <v>805</v>
      </c>
      <c r="V3" s="207" t="s">
        <v>281</v>
      </c>
      <c r="W3" s="207"/>
      <c r="X3" s="208">
        <v>45741</v>
      </c>
      <c r="Y3" s="207"/>
      <c r="Z3" s="207"/>
      <c r="AA3" s="207"/>
      <c r="AB3" s="207"/>
    </row>
    <row r="4" spans="1:46" ht="35.25">
      <c r="A4" s="204">
        <v>3</v>
      </c>
      <c r="B4" s="204" t="s">
        <v>379</v>
      </c>
      <c r="C4" s="370">
        <v>45737</v>
      </c>
      <c r="D4" s="370">
        <v>45750</v>
      </c>
      <c r="E4" s="172" t="s">
        <v>109</v>
      </c>
      <c r="F4" s="204" t="s">
        <v>417</v>
      </c>
      <c r="G4" s="204">
        <v>24927</v>
      </c>
      <c r="H4" s="207" t="s">
        <v>806</v>
      </c>
      <c r="I4" s="292" t="s">
        <v>295</v>
      </c>
      <c r="J4" s="204"/>
      <c r="K4" s="204"/>
      <c r="L4" s="204"/>
      <c r="M4" s="207" t="s">
        <v>13</v>
      </c>
      <c r="N4" s="207" t="s">
        <v>275</v>
      </c>
      <c r="O4" s="207"/>
      <c r="P4" s="207" t="s">
        <v>287</v>
      </c>
      <c r="Q4" s="207"/>
      <c r="R4" s="253" t="s">
        <v>807</v>
      </c>
      <c r="S4" s="208">
        <v>45747</v>
      </c>
      <c r="T4" s="208">
        <v>45748</v>
      </c>
      <c r="U4" s="207" t="s">
        <v>287</v>
      </c>
      <c r="V4" s="207"/>
      <c r="W4" s="207" t="s">
        <v>441</v>
      </c>
      <c r="X4" s="208">
        <v>45748</v>
      </c>
      <c r="Y4" s="207"/>
      <c r="Z4" s="207"/>
      <c r="AA4" s="207"/>
      <c r="AB4" s="207"/>
    </row>
    <row r="5" spans="1:46">
      <c r="A5" s="204">
        <v>4</v>
      </c>
      <c r="B5" s="204" t="s">
        <v>379</v>
      </c>
      <c r="C5" s="370">
        <v>45737</v>
      </c>
      <c r="D5" s="370">
        <v>45750</v>
      </c>
      <c r="E5" s="169" t="s">
        <v>109</v>
      </c>
      <c r="F5" s="204" t="s">
        <v>272</v>
      </c>
      <c r="G5" s="204">
        <v>47656</v>
      </c>
      <c r="H5" s="207" t="s">
        <v>808</v>
      </c>
      <c r="I5" s="390" t="s">
        <v>280</v>
      </c>
      <c r="J5" s="204">
        <v>5</v>
      </c>
      <c r="K5" s="204">
        <v>5</v>
      </c>
      <c r="L5" s="204">
        <v>22</v>
      </c>
      <c r="M5" s="207"/>
      <c r="N5" s="207"/>
      <c r="O5" s="207"/>
      <c r="P5" s="207"/>
      <c r="Q5" s="207"/>
      <c r="R5" s="253"/>
      <c r="S5" s="208"/>
      <c r="T5" s="207"/>
      <c r="U5" s="207"/>
      <c r="V5" s="207"/>
      <c r="W5" s="207"/>
      <c r="X5" s="208"/>
      <c r="Y5" s="207"/>
      <c r="Z5" s="207"/>
      <c r="AA5" s="207"/>
      <c r="AB5" s="207"/>
    </row>
    <row r="6" spans="1:46">
      <c r="A6" s="204">
        <v>5</v>
      </c>
      <c r="B6" s="204" t="s">
        <v>379</v>
      </c>
      <c r="C6" s="370">
        <v>45737</v>
      </c>
      <c r="D6" s="370">
        <v>45750</v>
      </c>
      <c r="E6" s="169" t="s">
        <v>109</v>
      </c>
      <c r="F6" s="204" t="s">
        <v>272</v>
      </c>
      <c r="G6" s="204">
        <v>47660</v>
      </c>
      <c r="H6" s="207" t="s">
        <v>809</v>
      </c>
      <c r="I6" s="390" t="s">
        <v>280</v>
      </c>
      <c r="J6" s="204">
        <v>8</v>
      </c>
      <c r="K6" s="204">
        <v>8</v>
      </c>
      <c r="L6" s="204">
        <v>60</v>
      </c>
      <c r="M6" s="207"/>
      <c r="N6" s="207"/>
      <c r="O6" s="207"/>
      <c r="P6" s="207"/>
      <c r="Q6" s="207"/>
      <c r="R6" s="253"/>
      <c r="S6" s="208"/>
      <c r="T6" s="207"/>
      <c r="U6" s="207"/>
      <c r="V6" s="207"/>
      <c r="W6" s="207"/>
      <c r="X6" s="208"/>
      <c r="Y6" s="207"/>
      <c r="Z6" s="207"/>
      <c r="AA6" s="207"/>
      <c r="AB6" s="207"/>
    </row>
    <row r="7" spans="1:46" ht="35.25">
      <c r="A7" s="204">
        <v>6</v>
      </c>
      <c r="B7" s="204" t="s">
        <v>379</v>
      </c>
      <c r="C7" s="370">
        <v>45737</v>
      </c>
      <c r="D7" s="370">
        <v>45750</v>
      </c>
      <c r="E7" s="172" t="s">
        <v>109</v>
      </c>
      <c r="F7" s="204" t="s">
        <v>417</v>
      </c>
      <c r="G7" s="204">
        <v>24933</v>
      </c>
      <c r="H7" s="207" t="s">
        <v>810</v>
      </c>
      <c r="I7" s="292" t="s">
        <v>295</v>
      </c>
      <c r="J7" s="204"/>
      <c r="K7" s="204"/>
      <c r="L7" s="204"/>
      <c r="M7" s="207" t="s">
        <v>13</v>
      </c>
      <c r="N7" s="207" t="s">
        <v>275</v>
      </c>
      <c r="O7" s="207"/>
      <c r="P7" s="207" t="s">
        <v>287</v>
      </c>
      <c r="Q7" s="207"/>
      <c r="R7" s="253" t="s">
        <v>807</v>
      </c>
      <c r="S7" s="208">
        <v>45747</v>
      </c>
      <c r="T7" s="208">
        <v>45748</v>
      </c>
      <c r="U7" s="207" t="s">
        <v>287</v>
      </c>
      <c r="V7" s="207"/>
      <c r="W7" s="207" t="s">
        <v>441</v>
      </c>
      <c r="X7" s="208">
        <v>45748</v>
      </c>
      <c r="Y7" s="207"/>
      <c r="Z7" s="207"/>
      <c r="AA7" s="207"/>
      <c r="AB7" s="207"/>
    </row>
    <row r="8" spans="1:46">
      <c r="A8" s="204">
        <v>7</v>
      </c>
      <c r="B8" s="204" t="s">
        <v>379</v>
      </c>
      <c r="C8" s="370">
        <v>45737</v>
      </c>
      <c r="D8" s="370">
        <v>45750</v>
      </c>
      <c r="E8" s="172" t="s">
        <v>109</v>
      </c>
      <c r="F8" s="204" t="s">
        <v>272</v>
      </c>
      <c r="G8" s="204">
        <v>47659</v>
      </c>
      <c r="H8" s="207" t="s">
        <v>811</v>
      </c>
      <c r="I8" s="390" t="s">
        <v>280</v>
      </c>
      <c r="J8" s="204">
        <v>4</v>
      </c>
      <c r="K8" s="204">
        <v>4</v>
      </c>
      <c r="L8" s="204">
        <v>18</v>
      </c>
      <c r="M8" s="207"/>
      <c r="N8" s="207"/>
      <c r="O8" s="207"/>
      <c r="P8" s="207"/>
      <c r="Q8" s="207"/>
      <c r="R8" s="253"/>
      <c r="S8" s="208"/>
      <c r="T8" s="207"/>
      <c r="U8" s="207"/>
      <c r="V8" s="207"/>
      <c r="W8" s="207"/>
      <c r="X8" s="208"/>
      <c r="Y8" s="207"/>
      <c r="Z8" s="207"/>
      <c r="AA8" s="207"/>
      <c r="AB8" s="207"/>
    </row>
    <row r="9" spans="1:46" ht="35.25">
      <c r="A9" s="204">
        <v>8</v>
      </c>
      <c r="B9" s="204" t="s">
        <v>379</v>
      </c>
      <c r="C9" s="370">
        <v>45737</v>
      </c>
      <c r="D9" s="370">
        <v>45750</v>
      </c>
      <c r="E9" s="204" t="s">
        <v>812</v>
      </c>
      <c r="F9" s="204" t="s">
        <v>417</v>
      </c>
      <c r="G9" s="204">
        <v>24915</v>
      </c>
      <c r="H9" s="207" t="s">
        <v>755</v>
      </c>
      <c r="I9" s="292" t="s">
        <v>694</v>
      </c>
      <c r="J9" s="204">
        <v>5</v>
      </c>
      <c r="K9" s="204">
        <v>5</v>
      </c>
      <c r="L9" s="204">
        <v>13</v>
      </c>
      <c r="M9" s="207"/>
      <c r="N9" s="207"/>
      <c r="O9" s="207"/>
      <c r="P9" s="207"/>
      <c r="Q9" s="207"/>
      <c r="R9" s="253"/>
      <c r="S9" s="208"/>
      <c r="T9" s="207"/>
      <c r="U9" s="207"/>
      <c r="V9" s="207"/>
      <c r="W9" s="207"/>
      <c r="X9" s="208"/>
      <c r="Y9" s="207"/>
      <c r="Z9" s="207"/>
      <c r="AA9" s="207"/>
      <c r="AB9" s="207"/>
    </row>
    <row r="10" spans="1:46" ht="23.25">
      <c r="A10" s="204">
        <v>9</v>
      </c>
      <c r="B10" s="204" t="s">
        <v>379</v>
      </c>
      <c r="C10" s="370">
        <v>45737</v>
      </c>
      <c r="D10" s="370">
        <v>45750</v>
      </c>
      <c r="E10" s="172" t="s">
        <v>109</v>
      </c>
      <c r="F10" s="204" t="s">
        <v>287</v>
      </c>
      <c r="G10" s="204">
        <v>24934</v>
      </c>
      <c r="H10" s="207" t="s">
        <v>813</v>
      </c>
      <c r="I10" s="390" t="s">
        <v>295</v>
      </c>
      <c r="J10" s="204"/>
      <c r="K10" s="204"/>
      <c r="L10" s="204"/>
      <c r="M10" s="207"/>
      <c r="N10" s="207" t="s">
        <v>623</v>
      </c>
      <c r="O10" s="207"/>
      <c r="P10" s="207" t="s">
        <v>287</v>
      </c>
      <c r="Q10" s="207"/>
      <c r="R10" s="253" t="s">
        <v>814</v>
      </c>
      <c r="S10" s="208">
        <v>45748</v>
      </c>
      <c r="T10" s="207">
        <v>45748</v>
      </c>
      <c r="U10" s="207" t="s">
        <v>287</v>
      </c>
      <c r="V10" s="207"/>
      <c r="W10" s="207" t="s">
        <v>441</v>
      </c>
      <c r="X10" s="208">
        <v>45748</v>
      </c>
      <c r="Y10" s="207"/>
      <c r="Z10" s="207"/>
      <c r="AA10" s="207"/>
      <c r="AB10" s="207"/>
    </row>
    <row r="11" spans="1:46" ht="23.25">
      <c r="A11" s="204">
        <v>10</v>
      </c>
      <c r="B11" s="204" t="s">
        <v>379</v>
      </c>
      <c r="C11" s="370">
        <v>45737</v>
      </c>
      <c r="D11" s="370">
        <v>45750</v>
      </c>
      <c r="E11" s="172" t="s">
        <v>109</v>
      </c>
      <c r="F11" s="204" t="s">
        <v>287</v>
      </c>
      <c r="G11" s="204">
        <v>24904</v>
      </c>
      <c r="H11" s="207" t="s">
        <v>815</v>
      </c>
      <c r="I11" s="390" t="s">
        <v>295</v>
      </c>
      <c r="J11" s="204"/>
      <c r="K11" s="204"/>
      <c r="L11" s="204"/>
      <c r="M11" s="207"/>
      <c r="N11" s="207"/>
      <c r="O11" s="207"/>
      <c r="P11" s="207"/>
      <c r="Q11" s="207"/>
      <c r="R11" s="253" t="s">
        <v>816</v>
      </c>
      <c r="S11" s="208">
        <v>45744</v>
      </c>
      <c r="T11" s="207">
        <v>45744</v>
      </c>
      <c r="U11" s="207" t="s">
        <v>287</v>
      </c>
      <c r="V11" s="207"/>
      <c r="W11" s="207" t="s">
        <v>441</v>
      </c>
      <c r="X11" s="208">
        <v>45744</v>
      </c>
      <c r="Y11" s="207"/>
      <c r="Z11" s="207"/>
      <c r="AA11" s="207"/>
      <c r="AB11" s="207"/>
    </row>
    <row r="12" spans="1:46" ht="23.25">
      <c r="A12" s="204">
        <v>11</v>
      </c>
      <c r="B12" s="204" t="s">
        <v>379</v>
      </c>
      <c r="C12" s="370">
        <v>45737</v>
      </c>
      <c r="D12" s="370">
        <v>45750</v>
      </c>
      <c r="E12" s="204" t="s">
        <v>812</v>
      </c>
      <c r="F12" s="204" t="s">
        <v>287</v>
      </c>
      <c r="G12" s="204">
        <v>24947</v>
      </c>
      <c r="H12" s="207" t="s">
        <v>817</v>
      </c>
      <c r="I12" s="390" t="s">
        <v>295</v>
      </c>
      <c r="J12" s="204"/>
      <c r="K12" s="204"/>
      <c r="L12" s="204"/>
      <c r="M12" s="207"/>
      <c r="N12" s="207"/>
      <c r="O12" s="207"/>
      <c r="P12" s="207"/>
      <c r="Q12" s="207"/>
      <c r="R12" s="253" t="s">
        <v>818</v>
      </c>
      <c r="S12" s="208">
        <v>45748</v>
      </c>
      <c r="T12" s="207">
        <v>45748</v>
      </c>
      <c r="U12" s="207" t="s">
        <v>287</v>
      </c>
      <c r="V12" s="207"/>
      <c r="W12" s="207" t="s">
        <v>441</v>
      </c>
      <c r="X12" s="208">
        <v>45748</v>
      </c>
      <c r="Y12" s="207"/>
      <c r="Z12" s="207"/>
      <c r="AA12" s="207"/>
      <c r="AB12" s="207"/>
    </row>
    <row r="13" spans="1:46" ht="35.25">
      <c r="A13" s="204">
        <v>12</v>
      </c>
      <c r="B13" s="204" t="s">
        <v>379</v>
      </c>
      <c r="C13" s="370">
        <v>45737</v>
      </c>
      <c r="D13" s="370">
        <v>45750</v>
      </c>
      <c r="E13" s="204" t="s">
        <v>812</v>
      </c>
      <c r="F13" s="204" t="s">
        <v>417</v>
      </c>
      <c r="G13" s="204">
        <v>24882</v>
      </c>
      <c r="H13" s="207" t="s">
        <v>759</v>
      </c>
      <c r="I13" s="292" t="s">
        <v>694</v>
      </c>
      <c r="J13" s="204">
        <v>3</v>
      </c>
      <c r="K13" s="204">
        <v>3</v>
      </c>
      <c r="L13" s="204">
        <v>8</v>
      </c>
      <c r="M13" s="207"/>
      <c r="N13" s="207"/>
      <c r="O13" s="207"/>
      <c r="P13" s="207"/>
      <c r="Q13" s="207"/>
      <c r="R13" s="253"/>
      <c r="S13" s="208"/>
      <c r="T13" s="207"/>
      <c r="U13" s="207"/>
      <c r="V13" s="207"/>
      <c r="W13" s="207"/>
      <c r="X13" s="208"/>
      <c r="Y13" s="207"/>
      <c r="Z13" s="207"/>
      <c r="AA13" s="207"/>
      <c r="AB13" s="207"/>
    </row>
  </sheetData>
  <hyperlinks>
    <hyperlink ref="R3" r:id="rId1" xr:uid="{A319B3F3-8793-45FD-AB16-3A96CF3B9031}"/>
    <hyperlink ref="R2" r:id="rId2" xr:uid="{2154FA81-9816-4FD8-99C6-FB8F36A759DF}"/>
    <hyperlink ref="R4" r:id="rId3" xr:uid="{DE1ADA14-71C2-44F8-9D69-2C417F45AEAF}"/>
    <hyperlink ref="R7" r:id="rId4" xr:uid="{D874596F-DA5F-4988-A4C2-2696C76A6FE3}"/>
    <hyperlink ref="R10" r:id="rId5" xr:uid="{E9DB69C0-7ACE-44C5-BB31-B4312828B199}"/>
    <hyperlink ref="R11" r:id="rId6" xr:uid="{025D282A-1123-4169-A6A5-5A405D87026C}"/>
    <hyperlink ref="R12" r:id="rId7" xr:uid="{07278413-D0DC-4270-88C8-4E53F17E8EC2}"/>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InputMessage="1" showErrorMessage="1" xr:uid="{5052D8ED-5525-4C40-AF3F-D4065B4AF62A}">
          <x14:formula1>
            <xm:f>Settings!$C$3:$C$20</xm:f>
          </x14:formula1>
          <xm:sqref>I2:I13</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F097C-B586-4A1F-8608-C9207E589F8F}">
  <sheetPr>
    <outlinePr summaryBelow="0" summaryRight="0"/>
  </sheetPr>
  <dimension ref="A1:AC978"/>
  <sheetViews>
    <sheetView topLeftCell="G1" workbookViewId="0">
      <selection activeCell="N9" sqref="N9"/>
    </sheetView>
  </sheetViews>
  <sheetFormatPr defaultColWidth="12.5703125" defaultRowHeight="15" customHeight="1"/>
  <cols>
    <col min="1" max="1" width="12.5703125" style="70" hidden="1" customWidth="1"/>
    <col min="2" max="2" width="18.28515625" style="70" customWidth="1"/>
    <col min="3" max="3" width="11.7109375" style="48" customWidth="1"/>
    <col min="4" max="4" width="14.42578125" style="48" customWidth="1"/>
    <col min="5" max="5" width="21.85546875" style="48" customWidth="1"/>
    <col min="6" max="6" width="13.85546875" style="70" customWidth="1"/>
    <col min="7" max="7" width="73.42578125" style="70" customWidth="1"/>
    <col min="8" max="8" width="10.42578125" style="48" customWidth="1"/>
    <col min="9" max="9" width="18.7109375" style="48" customWidth="1"/>
    <col min="10" max="10" width="9.140625" style="48" bestFit="1" customWidth="1"/>
    <col min="11" max="11" width="14.42578125" style="48" customWidth="1"/>
    <col min="12" max="12" width="19" style="48" customWidth="1"/>
    <col min="13" max="13" width="20.28515625" style="48" customWidth="1"/>
    <col min="14" max="14" width="56" style="48" customWidth="1"/>
    <col min="15" max="16384" width="12.5703125" style="70"/>
  </cols>
  <sheetData>
    <row r="1" spans="1:29" ht="27">
      <c r="A1" s="360" t="s">
        <v>243</v>
      </c>
      <c r="B1" s="88" t="s">
        <v>11</v>
      </c>
      <c r="C1" s="88" t="s">
        <v>297</v>
      </c>
      <c r="D1" s="88" t="s">
        <v>298</v>
      </c>
      <c r="E1" s="88" t="s">
        <v>245</v>
      </c>
      <c r="F1" s="88" t="s">
        <v>299</v>
      </c>
      <c r="G1" s="88" t="s">
        <v>300</v>
      </c>
      <c r="H1" s="88" t="s">
        <v>301</v>
      </c>
      <c r="I1" s="88" t="s">
        <v>302</v>
      </c>
      <c r="J1" s="88" t="s">
        <v>303</v>
      </c>
      <c r="K1" s="88" t="s">
        <v>304</v>
      </c>
      <c r="L1" s="88" t="s">
        <v>248</v>
      </c>
      <c r="M1" s="187" t="s">
        <v>305</v>
      </c>
      <c r="N1" s="395" t="s">
        <v>306</v>
      </c>
      <c r="O1" s="219"/>
      <c r="P1" s="219"/>
      <c r="Q1" s="219"/>
      <c r="R1" s="219"/>
      <c r="S1" s="219"/>
      <c r="T1" s="219"/>
      <c r="U1" s="219"/>
      <c r="V1" s="219"/>
      <c r="W1" s="219"/>
      <c r="X1" s="219"/>
      <c r="Y1" s="219"/>
      <c r="Z1" s="219"/>
      <c r="AA1" s="219"/>
      <c r="AB1" s="219"/>
      <c r="AC1" s="219"/>
    </row>
    <row r="2" spans="1:29" ht="23.25">
      <c r="B2" s="67" t="s">
        <v>819</v>
      </c>
      <c r="C2" s="83">
        <v>24933</v>
      </c>
      <c r="D2" s="83"/>
      <c r="E2" s="83" t="s">
        <v>657</v>
      </c>
      <c r="F2" s="222" t="s">
        <v>715</v>
      </c>
      <c r="G2" s="65" t="s">
        <v>820</v>
      </c>
      <c r="H2" s="83" t="s">
        <v>309</v>
      </c>
      <c r="I2" s="83" t="s">
        <v>753</v>
      </c>
      <c r="J2" s="83" t="s">
        <v>371</v>
      </c>
      <c r="K2" s="89" t="s">
        <v>779</v>
      </c>
      <c r="L2" s="83" t="s">
        <v>780</v>
      </c>
      <c r="M2" s="83" t="s">
        <v>734</v>
      </c>
      <c r="N2" s="127" t="s">
        <v>821</v>
      </c>
      <c r="O2" s="168"/>
    </row>
    <row r="3" spans="1:29" ht="26.25" customHeight="1">
      <c r="B3" s="67" t="s">
        <v>819</v>
      </c>
      <c r="C3" s="83">
        <v>24927</v>
      </c>
      <c r="D3" s="83"/>
      <c r="E3" s="83" t="s">
        <v>657</v>
      </c>
      <c r="F3" s="222" t="s">
        <v>715</v>
      </c>
      <c r="G3" s="58" t="s">
        <v>822</v>
      </c>
      <c r="H3" s="83" t="s">
        <v>309</v>
      </c>
      <c r="I3" s="83" t="s">
        <v>823</v>
      </c>
      <c r="J3" s="83" t="s">
        <v>371</v>
      </c>
      <c r="K3" s="89" t="s">
        <v>779</v>
      </c>
      <c r="L3" s="83" t="s">
        <v>780</v>
      </c>
      <c r="M3" s="83" t="s">
        <v>734</v>
      </c>
      <c r="N3" s="127" t="s">
        <v>824</v>
      </c>
    </row>
    <row r="4" spans="1:29" ht="15.75" customHeight="1">
      <c r="B4" s="67" t="s">
        <v>812</v>
      </c>
      <c r="C4" s="83">
        <v>24915</v>
      </c>
      <c r="D4" s="83"/>
      <c r="E4" s="83" t="s">
        <v>657</v>
      </c>
      <c r="F4" s="222" t="s">
        <v>715</v>
      </c>
      <c r="G4" s="86" t="s">
        <v>783</v>
      </c>
      <c r="H4" s="83" t="s">
        <v>309</v>
      </c>
      <c r="I4" s="83" t="s">
        <v>336</v>
      </c>
      <c r="J4" s="83" t="s">
        <v>371</v>
      </c>
      <c r="K4" s="89" t="s">
        <v>779</v>
      </c>
      <c r="L4" s="83" t="s">
        <v>796</v>
      </c>
      <c r="M4" s="83" t="s">
        <v>734</v>
      </c>
      <c r="N4" s="127" t="s">
        <v>825</v>
      </c>
    </row>
    <row r="5" spans="1:29" ht="38.25" customHeight="1">
      <c r="B5" s="67" t="s">
        <v>812</v>
      </c>
      <c r="C5" s="83">
        <v>24882</v>
      </c>
      <c r="D5" s="83"/>
      <c r="E5" s="83" t="s">
        <v>657</v>
      </c>
      <c r="F5" s="222" t="s">
        <v>715</v>
      </c>
      <c r="G5" s="67" t="s">
        <v>826</v>
      </c>
      <c r="H5" s="83" t="s">
        <v>309</v>
      </c>
      <c r="I5" s="83" t="s">
        <v>336</v>
      </c>
      <c r="J5" s="83" t="s">
        <v>371</v>
      </c>
      <c r="K5" s="89" t="s">
        <v>779</v>
      </c>
      <c r="L5" s="83" t="s">
        <v>796</v>
      </c>
      <c r="M5" s="83" t="s">
        <v>734</v>
      </c>
      <c r="N5" s="83" t="s">
        <v>827</v>
      </c>
    </row>
    <row r="6" spans="1:29" ht="36" customHeight="1">
      <c r="B6" s="67" t="s">
        <v>819</v>
      </c>
      <c r="C6" s="299">
        <v>24934</v>
      </c>
      <c r="D6" s="83"/>
      <c r="E6" s="83" t="s">
        <v>595</v>
      </c>
      <c r="F6" s="222" t="s">
        <v>715</v>
      </c>
      <c r="G6" s="318" t="s">
        <v>813</v>
      </c>
      <c r="H6" s="83" t="s">
        <v>309</v>
      </c>
      <c r="I6" s="83" t="s">
        <v>336</v>
      </c>
      <c r="J6" s="83" t="s">
        <v>371</v>
      </c>
      <c r="K6" s="89" t="s">
        <v>828</v>
      </c>
      <c r="L6" s="83" t="s">
        <v>780</v>
      </c>
      <c r="M6" s="83" t="s">
        <v>734</v>
      </c>
      <c r="N6" s="396" t="s">
        <v>829</v>
      </c>
    </row>
    <row r="7" spans="1:29" ht="24" customHeight="1">
      <c r="B7" s="67" t="s">
        <v>819</v>
      </c>
      <c r="C7" s="299">
        <v>24904</v>
      </c>
      <c r="D7" s="83"/>
      <c r="E7" s="83" t="s">
        <v>595</v>
      </c>
      <c r="F7" s="222" t="s">
        <v>715</v>
      </c>
      <c r="G7" s="318" t="s">
        <v>815</v>
      </c>
      <c r="H7" s="83" t="s">
        <v>309</v>
      </c>
      <c r="I7" s="83" t="s">
        <v>336</v>
      </c>
      <c r="J7" s="83" t="s">
        <v>371</v>
      </c>
      <c r="K7" s="89" t="s">
        <v>828</v>
      </c>
      <c r="L7" s="83" t="s">
        <v>780</v>
      </c>
      <c r="M7" s="83" t="s">
        <v>793</v>
      </c>
      <c r="N7" s="127" t="s">
        <v>830</v>
      </c>
    </row>
    <row r="8" spans="1:29" ht="27" customHeight="1">
      <c r="B8" s="299" t="s">
        <v>812</v>
      </c>
      <c r="C8" s="299">
        <v>24947</v>
      </c>
      <c r="D8" s="83"/>
      <c r="E8" s="83" t="s">
        <v>287</v>
      </c>
      <c r="F8" s="222" t="s">
        <v>715</v>
      </c>
      <c r="G8" s="318" t="s">
        <v>831</v>
      </c>
      <c r="H8" s="83" t="s">
        <v>309</v>
      </c>
      <c r="I8" s="83" t="s">
        <v>336</v>
      </c>
      <c r="J8" s="83" t="s">
        <v>371</v>
      </c>
      <c r="K8" s="89" t="s">
        <v>779</v>
      </c>
      <c r="L8" s="83" t="s">
        <v>780</v>
      </c>
      <c r="M8" s="83" t="s">
        <v>734</v>
      </c>
      <c r="N8" s="83" t="s">
        <v>832</v>
      </c>
    </row>
    <row r="9" spans="1:29" ht="15.75" customHeight="1">
      <c r="B9" s="67" t="s">
        <v>819</v>
      </c>
      <c r="C9" s="394">
        <v>24932</v>
      </c>
      <c r="D9" s="83"/>
      <c r="E9" s="83" t="s">
        <v>595</v>
      </c>
      <c r="F9" s="222" t="s">
        <v>715</v>
      </c>
      <c r="G9" s="67" t="s">
        <v>833</v>
      </c>
      <c r="H9" s="83" t="s">
        <v>309</v>
      </c>
      <c r="I9" s="83" t="s">
        <v>336</v>
      </c>
      <c r="J9" s="83" t="s">
        <v>371</v>
      </c>
      <c r="K9" s="89" t="s">
        <v>828</v>
      </c>
      <c r="L9" s="83" t="s">
        <v>780</v>
      </c>
      <c r="M9" s="83" t="s">
        <v>793</v>
      </c>
      <c r="N9" s="83" t="s">
        <v>832</v>
      </c>
    </row>
    <row r="10" spans="1:29" ht="15.75" customHeight="1">
      <c r="F10" s="210"/>
    </row>
    <row r="11" spans="1:29" ht="15.75" customHeight="1"/>
    <row r="12" spans="1:29" ht="15.75" customHeight="1"/>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autoFilter ref="A1:N1" xr:uid="{3A2BB050-11AC-4ED7-A296-96B42C7FCFBA}"/>
  <dataValidations count="1">
    <dataValidation type="list" allowBlank="1" showErrorMessage="1" sqref="F2:F10" xr:uid="{411014DC-B36E-465A-BAB3-706E7A8D8C16}">
      <formula1>"Bounceback,Defect,None"</formula1>
    </dataValidation>
  </dataValidations>
  <pageMargins left="0" right="0" top="0" bottom="0" header="0" footer="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424E-23CE-4CBD-916F-D4B2590BF406}">
  <dimension ref="A1:AT14"/>
  <sheetViews>
    <sheetView workbookViewId="0">
      <pane xSplit="9" topLeftCell="AB4" activePane="topRight" state="frozen"/>
      <selection pane="topRight" activeCell="AB5" sqref="AB5"/>
    </sheetView>
  </sheetViews>
  <sheetFormatPr defaultRowHeight="12.75"/>
  <cols>
    <col min="1" max="1" width="7.7109375" style="133" bestFit="1" customWidth="1"/>
    <col min="2" max="2" width="12" style="133" customWidth="1"/>
    <col min="3" max="3" width="17.5703125" style="133" customWidth="1"/>
    <col min="4" max="4" width="11" style="133" bestFit="1" customWidth="1"/>
    <col min="5" max="5" width="11.85546875" style="133" customWidth="1"/>
    <col min="6" max="6" width="12.42578125" style="133" bestFit="1" customWidth="1"/>
    <col min="7" max="7" width="11.85546875" style="133" customWidth="1"/>
    <col min="8" max="8" width="45.5703125" style="168" customWidth="1"/>
    <col min="9" max="9" width="18.5703125" style="133" customWidth="1"/>
    <col min="10" max="10" width="12.42578125" style="133" customWidth="1"/>
    <col min="11" max="11" width="10.42578125" style="133" customWidth="1"/>
    <col min="12" max="12" width="11.42578125" style="133" customWidth="1"/>
    <col min="13" max="13" width="11.42578125" style="168" customWidth="1"/>
    <col min="14" max="14" width="16.7109375" style="168" customWidth="1"/>
    <col min="15" max="15" width="14.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16384" width="9.140625" style="168"/>
  </cols>
  <sheetData>
    <row r="1" spans="1:46" ht="46.5">
      <c r="A1" s="274" t="s">
        <v>243</v>
      </c>
      <c r="B1" s="88" t="s">
        <v>4</v>
      </c>
      <c r="C1" s="88" t="s">
        <v>2</v>
      </c>
      <c r="D1" s="88" t="s">
        <v>3</v>
      </c>
      <c r="E1" s="275" t="s">
        <v>244</v>
      </c>
      <c r="F1" s="275" t="s">
        <v>245</v>
      </c>
      <c r="G1" s="275" t="s">
        <v>246</v>
      </c>
      <c r="H1" s="276" t="s">
        <v>247</v>
      </c>
      <c r="I1" s="275" t="s">
        <v>248</v>
      </c>
      <c r="J1" s="88" t="s">
        <v>249</v>
      </c>
      <c r="K1" s="88" t="s">
        <v>250</v>
      </c>
      <c r="L1" s="88"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row>
    <row r="2" spans="1:46" ht="30.75" customHeight="1">
      <c r="A2" s="193">
        <v>1</v>
      </c>
      <c r="B2" s="193" t="s">
        <v>379</v>
      </c>
      <c r="C2" s="313">
        <v>45723</v>
      </c>
      <c r="D2" s="313">
        <v>45736</v>
      </c>
      <c r="E2" s="193" t="s">
        <v>105</v>
      </c>
      <c r="F2" s="193" t="s">
        <v>275</v>
      </c>
      <c r="G2" s="193">
        <v>46826</v>
      </c>
      <c r="H2" s="194" t="s">
        <v>834</v>
      </c>
      <c r="I2" s="390" t="s">
        <v>280</v>
      </c>
      <c r="J2" s="193">
        <v>5</v>
      </c>
      <c r="K2" s="193">
        <v>5</v>
      </c>
      <c r="L2" s="193">
        <v>41</v>
      </c>
      <c r="M2" s="194" t="s">
        <v>13</v>
      </c>
      <c r="N2" s="194" t="s">
        <v>435</v>
      </c>
      <c r="O2" s="194"/>
      <c r="P2" s="194"/>
      <c r="Q2" s="194"/>
      <c r="R2" s="236" t="s">
        <v>835</v>
      </c>
      <c r="S2" s="206">
        <v>45728</v>
      </c>
      <c r="T2" s="206">
        <v>45728</v>
      </c>
      <c r="U2" s="194" t="s">
        <v>287</v>
      </c>
      <c r="V2" s="194"/>
      <c r="W2" s="194" t="s">
        <v>441</v>
      </c>
      <c r="X2" s="206">
        <v>45728</v>
      </c>
      <c r="Y2" s="194"/>
      <c r="Z2" s="194"/>
      <c r="AA2" s="194" t="s">
        <v>836</v>
      </c>
      <c r="AB2" s="194" t="s">
        <v>836</v>
      </c>
      <c r="AC2" s="312"/>
      <c r="AD2" s="312"/>
      <c r="AE2" s="312"/>
      <c r="AF2" s="312"/>
      <c r="AG2" s="312"/>
      <c r="AH2" s="312"/>
      <c r="AI2" s="312"/>
      <c r="AJ2" s="312"/>
      <c r="AK2" s="312"/>
      <c r="AL2" s="312"/>
      <c r="AM2" s="312"/>
      <c r="AN2" s="312"/>
      <c r="AO2" s="312"/>
      <c r="AP2" s="312"/>
      <c r="AQ2" s="312"/>
      <c r="AR2" s="312"/>
      <c r="AS2" s="312"/>
      <c r="AT2" s="312"/>
    </row>
    <row r="3" spans="1:46" s="312" customFormat="1" ht="29.25" customHeight="1">
      <c r="A3" s="193">
        <v>2</v>
      </c>
      <c r="B3" s="193" t="s">
        <v>379</v>
      </c>
      <c r="C3" s="313">
        <v>45723</v>
      </c>
      <c r="D3" s="313">
        <v>45736</v>
      </c>
      <c r="E3" s="193" t="s">
        <v>105</v>
      </c>
      <c r="F3" s="193" t="s">
        <v>272</v>
      </c>
      <c r="G3" s="193">
        <v>47308</v>
      </c>
      <c r="H3" s="194" t="s">
        <v>837</v>
      </c>
      <c r="I3" s="390" t="s">
        <v>280</v>
      </c>
      <c r="J3" s="193">
        <v>3</v>
      </c>
      <c r="K3" s="193">
        <v>5</v>
      </c>
      <c r="L3" s="193">
        <v>20</v>
      </c>
      <c r="M3" s="194" t="s">
        <v>13</v>
      </c>
      <c r="N3" s="194" t="s">
        <v>838</v>
      </c>
      <c r="O3" s="194"/>
      <c r="P3" s="194"/>
      <c r="Q3" s="194"/>
      <c r="R3" s="236" t="s">
        <v>839</v>
      </c>
      <c r="S3" s="206">
        <v>45733</v>
      </c>
      <c r="T3" s="206">
        <v>45733</v>
      </c>
      <c r="U3" s="194"/>
      <c r="V3" s="194"/>
      <c r="W3" s="194"/>
      <c r="X3" s="206">
        <v>45733</v>
      </c>
      <c r="Y3" s="194"/>
      <c r="Z3" s="194"/>
      <c r="AA3" s="194"/>
      <c r="AB3" s="194" t="s">
        <v>840</v>
      </c>
    </row>
    <row r="4" spans="1:46" ht="32.25" customHeight="1">
      <c r="A4" s="193">
        <v>3</v>
      </c>
      <c r="B4" s="193" t="s">
        <v>379</v>
      </c>
      <c r="C4" s="313">
        <v>45723</v>
      </c>
      <c r="D4" s="313">
        <v>45736</v>
      </c>
      <c r="E4" s="193" t="s">
        <v>105</v>
      </c>
      <c r="F4" s="193" t="s">
        <v>417</v>
      </c>
      <c r="G4" s="193">
        <v>24717</v>
      </c>
      <c r="H4" s="194" t="s">
        <v>841</v>
      </c>
      <c r="I4" s="390" t="s">
        <v>280</v>
      </c>
      <c r="J4" s="193">
        <v>2</v>
      </c>
      <c r="K4" s="127">
        <v>2</v>
      </c>
      <c r="L4" s="193">
        <v>12.5</v>
      </c>
      <c r="M4" s="194" t="s">
        <v>13</v>
      </c>
      <c r="N4" s="194" t="s">
        <v>842</v>
      </c>
      <c r="O4" s="194"/>
      <c r="P4" s="194" t="s">
        <v>287</v>
      </c>
      <c r="Q4" s="194"/>
      <c r="R4" s="236" t="s">
        <v>843</v>
      </c>
      <c r="S4" s="206">
        <v>45735</v>
      </c>
      <c r="T4" s="206">
        <v>45735</v>
      </c>
      <c r="U4" s="194" t="s">
        <v>287</v>
      </c>
      <c r="V4" s="194"/>
      <c r="W4" s="194" t="s">
        <v>441</v>
      </c>
      <c r="X4" s="206">
        <v>45735</v>
      </c>
      <c r="Y4" s="194"/>
      <c r="Z4" s="194"/>
      <c r="AA4" s="194"/>
      <c r="AB4" s="194"/>
    </row>
    <row r="5" spans="1:46" ht="30" customHeight="1">
      <c r="A5" s="193">
        <v>4</v>
      </c>
      <c r="B5" s="193" t="s">
        <v>379</v>
      </c>
      <c r="C5" s="313">
        <v>45723</v>
      </c>
      <c r="D5" s="313">
        <v>45736</v>
      </c>
      <c r="E5" s="193" t="s">
        <v>105</v>
      </c>
      <c r="F5" s="193" t="s">
        <v>275</v>
      </c>
      <c r="G5" s="193">
        <v>47109</v>
      </c>
      <c r="H5" s="194" t="s">
        <v>798</v>
      </c>
      <c r="I5" s="291" t="s">
        <v>274</v>
      </c>
      <c r="J5" s="193">
        <v>8</v>
      </c>
      <c r="K5" s="127"/>
      <c r="L5" s="193">
        <v>21</v>
      </c>
      <c r="M5" s="194"/>
      <c r="N5" s="194"/>
      <c r="O5" s="194"/>
      <c r="P5" s="194"/>
      <c r="Q5" s="194"/>
      <c r="R5" s="236"/>
      <c r="S5" s="206"/>
      <c r="T5" s="194"/>
      <c r="U5" s="194"/>
      <c r="V5" s="194"/>
      <c r="W5" s="194"/>
      <c r="X5" s="206"/>
      <c r="Y5" s="194"/>
      <c r="Z5" s="194"/>
      <c r="AA5" s="194"/>
      <c r="AB5" s="318" t="s">
        <v>844</v>
      </c>
      <c r="AC5" s="312"/>
      <c r="AD5" s="312"/>
      <c r="AE5" s="312"/>
      <c r="AF5" s="312"/>
      <c r="AG5" s="312"/>
      <c r="AH5" s="312"/>
      <c r="AI5" s="312"/>
      <c r="AJ5" s="312"/>
      <c r="AK5" s="312"/>
      <c r="AL5" s="312"/>
      <c r="AM5" s="312"/>
      <c r="AN5" s="312"/>
      <c r="AO5" s="312"/>
      <c r="AP5" s="312"/>
      <c r="AQ5" s="312"/>
      <c r="AR5" s="312"/>
      <c r="AS5" s="312"/>
      <c r="AT5" s="312"/>
    </row>
    <row r="6" spans="1:46" ht="32.25" customHeight="1">
      <c r="A6" s="127">
        <v>5</v>
      </c>
      <c r="B6" s="193" t="s">
        <v>379</v>
      </c>
      <c r="C6" s="313">
        <v>45723</v>
      </c>
      <c r="D6" s="313">
        <v>45736</v>
      </c>
      <c r="E6" s="169" t="s">
        <v>845</v>
      </c>
      <c r="F6" s="127" t="s">
        <v>272</v>
      </c>
      <c r="G6" s="127">
        <v>47151</v>
      </c>
      <c r="H6" s="86" t="s">
        <v>802</v>
      </c>
      <c r="I6" s="391" t="s">
        <v>280</v>
      </c>
      <c r="J6" s="127">
        <v>13</v>
      </c>
      <c r="K6" s="127">
        <v>10</v>
      </c>
      <c r="L6" s="127">
        <v>35</v>
      </c>
      <c r="M6" s="86"/>
      <c r="N6" s="86"/>
      <c r="O6" s="86"/>
      <c r="P6" s="86"/>
      <c r="Q6" s="86"/>
      <c r="R6" s="132" t="s">
        <v>804</v>
      </c>
      <c r="S6" s="392">
        <v>45736</v>
      </c>
      <c r="T6" s="86"/>
      <c r="U6" s="86"/>
      <c r="V6" s="86"/>
      <c r="W6" s="86" t="s">
        <v>846</v>
      </c>
      <c r="X6" s="86"/>
      <c r="Y6" s="86"/>
      <c r="Z6" s="86"/>
      <c r="AA6" s="86"/>
      <c r="AB6" s="86" t="s">
        <v>847</v>
      </c>
    </row>
    <row r="7" spans="1:46" ht="48.75" customHeight="1">
      <c r="A7" s="127">
        <v>6</v>
      </c>
      <c r="B7" s="127" t="s">
        <v>379</v>
      </c>
      <c r="C7" s="134">
        <v>45723</v>
      </c>
      <c r="D7" s="134">
        <v>45736</v>
      </c>
      <c r="E7" s="169" t="s">
        <v>845</v>
      </c>
      <c r="F7" s="127" t="s">
        <v>657</v>
      </c>
      <c r="G7" s="127">
        <v>24831</v>
      </c>
      <c r="H7" s="86" t="s">
        <v>848</v>
      </c>
      <c r="I7" s="391" t="s">
        <v>280</v>
      </c>
      <c r="J7" s="127">
        <v>2</v>
      </c>
      <c r="K7" s="127">
        <v>2</v>
      </c>
      <c r="L7" s="127">
        <v>2</v>
      </c>
      <c r="M7" s="86" t="s">
        <v>13</v>
      </c>
      <c r="N7" s="86" t="s">
        <v>275</v>
      </c>
      <c r="O7" s="86"/>
      <c r="P7" s="86" t="s">
        <v>287</v>
      </c>
      <c r="Q7" s="86"/>
      <c r="R7" s="132" t="s">
        <v>849</v>
      </c>
      <c r="S7" s="177">
        <v>45733</v>
      </c>
      <c r="T7" s="177">
        <v>45733</v>
      </c>
      <c r="U7" s="86" t="s">
        <v>287</v>
      </c>
      <c r="V7" s="86"/>
      <c r="W7" s="86" t="s">
        <v>441</v>
      </c>
      <c r="X7" s="177">
        <v>45733</v>
      </c>
      <c r="Y7" s="86"/>
      <c r="Z7" s="86"/>
      <c r="AA7" s="86"/>
      <c r="AB7" s="86"/>
    </row>
    <row r="8" spans="1:46" ht="31.5" customHeight="1">
      <c r="A8" s="127">
        <v>7</v>
      </c>
      <c r="B8" s="127" t="s">
        <v>379</v>
      </c>
      <c r="C8" s="134">
        <v>45723</v>
      </c>
      <c r="D8" s="134">
        <v>45736</v>
      </c>
      <c r="E8" s="169" t="s">
        <v>845</v>
      </c>
      <c r="F8" s="127" t="s">
        <v>417</v>
      </c>
      <c r="G8" s="127">
        <v>47158</v>
      </c>
      <c r="H8" s="86" t="s">
        <v>850</v>
      </c>
      <c r="I8" s="390" t="s">
        <v>280</v>
      </c>
      <c r="J8" s="127">
        <v>5</v>
      </c>
      <c r="K8" s="127">
        <v>5</v>
      </c>
      <c r="L8" s="127">
        <v>16</v>
      </c>
      <c r="M8" s="86" t="s">
        <v>13</v>
      </c>
      <c r="N8" s="86" t="s">
        <v>275</v>
      </c>
      <c r="O8" s="86"/>
      <c r="P8" s="86" t="s">
        <v>287</v>
      </c>
      <c r="Q8" s="86"/>
      <c r="R8" s="132" t="s">
        <v>851</v>
      </c>
      <c r="S8" s="177">
        <v>45736</v>
      </c>
      <c r="T8" s="177">
        <v>45736</v>
      </c>
      <c r="U8" s="86" t="s">
        <v>287</v>
      </c>
      <c r="V8" s="86"/>
      <c r="W8" s="86" t="s">
        <v>441</v>
      </c>
      <c r="X8" s="177">
        <v>45736</v>
      </c>
      <c r="Y8" s="86"/>
      <c r="Z8" s="86"/>
      <c r="AA8" s="86"/>
      <c r="AB8" s="86"/>
    </row>
    <row r="9" spans="1:46" ht="26.25" customHeight="1">
      <c r="A9" s="127">
        <v>8</v>
      </c>
      <c r="B9" s="127" t="s">
        <v>379</v>
      </c>
      <c r="C9" s="134">
        <v>45723</v>
      </c>
      <c r="D9" s="134">
        <v>45736</v>
      </c>
      <c r="E9" s="169" t="s">
        <v>845</v>
      </c>
      <c r="F9" s="127" t="s">
        <v>287</v>
      </c>
      <c r="G9" s="127">
        <v>24863</v>
      </c>
      <c r="H9" s="86" t="s">
        <v>852</v>
      </c>
      <c r="I9" s="390" t="s">
        <v>295</v>
      </c>
      <c r="J9" s="127">
        <v>2</v>
      </c>
      <c r="K9" s="127">
        <v>2</v>
      </c>
      <c r="L9" s="127">
        <v>8</v>
      </c>
      <c r="M9" s="86" t="s">
        <v>13</v>
      </c>
      <c r="N9" s="86"/>
      <c r="O9" s="86"/>
      <c r="P9" s="86"/>
      <c r="Q9" s="86"/>
      <c r="R9" s="132" t="s">
        <v>853</v>
      </c>
      <c r="S9" s="177">
        <v>45735</v>
      </c>
      <c r="T9" s="177">
        <v>45735</v>
      </c>
      <c r="U9" s="86" t="s">
        <v>287</v>
      </c>
      <c r="V9" s="86"/>
      <c r="W9" s="86" t="s">
        <v>441</v>
      </c>
      <c r="X9" s="177">
        <v>45735</v>
      </c>
      <c r="Y9" s="86"/>
      <c r="Z9" s="86"/>
      <c r="AA9" s="86"/>
      <c r="AB9" s="86"/>
    </row>
    <row r="10" spans="1:46" ht="30.75" customHeight="1">
      <c r="A10" s="136">
        <v>9</v>
      </c>
      <c r="B10" s="136" t="s">
        <v>379</v>
      </c>
      <c r="C10" s="143">
        <v>45723</v>
      </c>
      <c r="D10" s="143">
        <v>45736</v>
      </c>
      <c r="E10" s="136" t="s">
        <v>105</v>
      </c>
      <c r="F10" s="136" t="s">
        <v>287</v>
      </c>
      <c r="G10" s="136" t="s">
        <v>854</v>
      </c>
      <c r="H10" s="138" t="s">
        <v>855</v>
      </c>
      <c r="I10" s="393" t="s">
        <v>280</v>
      </c>
      <c r="J10" s="136">
        <v>3</v>
      </c>
      <c r="K10" s="136">
        <v>3</v>
      </c>
      <c r="L10" s="136">
        <v>12</v>
      </c>
      <c r="M10" s="138" t="s">
        <v>13</v>
      </c>
      <c r="N10" s="138" t="s">
        <v>275</v>
      </c>
      <c r="O10" s="138"/>
      <c r="P10" s="138"/>
      <c r="Q10" s="138"/>
      <c r="R10" s="160" t="s">
        <v>856</v>
      </c>
      <c r="S10" s="192">
        <v>45728</v>
      </c>
      <c r="T10" s="192">
        <v>45728</v>
      </c>
      <c r="U10" s="138" t="s">
        <v>287</v>
      </c>
      <c r="V10" s="138"/>
      <c r="W10" s="138" t="s">
        <v>441</v>
      </c>
      <c r="X10" s="192">
        <v>45728</v>
      </c>
      <c r="Y10" s="138"/>
      <c r="Z10" s="138"/>
      <c r="AA10" s="138"/>
      <c r="AB10" s="138"/>
    </row>
    <row r="11" spans="1:46" s="86" customFormat="1">
      <c r="A11" s="127"/>
      <c r="B11" s="127"/>
      <c r="C11" s="127"/>
      <c r="D11" s="127"/>
      <c r="E11" s="127"/>
      <c r="F11" s="127"/>
      <c r="G11" s="127"/>
      <c r="I11" s="127"/>
      <c r="J11" s="127"/>
      <c r="K11" s="127"/>
      <c r="L11" s="127"/>
    </row>
    <row r="12" spans="1:46" s="86" customFormat="1">
      <c r="A12" s="127"/>
      <c r="B12" s="127"/>
      <c r="C12" s="127"/>
      <c r="D12" s="127"/>
      <c r="E12" s="127"/>
      <c r="F12" s="127"/>
      <c r="G12" s="127"/>
      <c r="I12" s="127"/>
      <c r="J12" s="127"/>
      <c r="K12" s="127"/>
      <c r="L12" s="127"/>
    </row>
    <row r="13" spans="1:46" s="86" customFormat="1">
      <c r="A13" s="127"/>
      <c r="B13" s="127"/>
      <c r="C13" s="127"/>
      <c r="D13" s="127"/>
      <c r="E13" s="127"/>
      <c r="F13" s="127"/>
      <c r="G13" s="127"/>
      <c r="I13" s="127"/>
      <c r="J13" s="127"/>
      <c r="K13" s="127"/>
      <c r="L13" s="127"/>
    </row>
    <row r="14" spans="1:46" s="86" customFormat="1">
      <c r="A14" s="127"/>
      <c r="B14" s="127"/>
      <c r="C14" s="127"/>
      <c r="D14" s="127"/>
      <c r="E14" s="127"/>
      <c r="F14" s="127"/>
      <c r="G14" s="127"/>
      <c r="I14" s="127"/>
      <c r="J14" s="127"/>
      <c r="K14" s="127"/>
      <c r="L14" s="127"/>
    </row>
  </sheetData>
  <hyperlinks>
    <hyperlink ref="R2" r:id="rId1" xr:uid="{86D2EA63-A2DF-4CCF-BCF7-BA1E1BDA601E}"/>
    <hyperlink ref="R7" r:id="rId2" xr:uid="{287F24A7-8272-4E7F-AE06-C04093A09785}"/>
    <hyperlink ref="R4" r:id="rId3" xr:uid="{A1602A0A-9668-4232-9711-90B8F1580A72}"/>
    <hyperlink ref="R3" r:id="rId4" xr:uid="{14883F06-9B65-47E0-B373-CDEDB02F3C38}"/>
    <hyperlink ref="R8" r:id="rId5" xr:uid="{83D2812A-D866-4AA8-B916-D5FCACD11AEB}"/>
    <hyperlink ref="R6" r:id="rId6" xr:uid="{C5E802C5-33F3-4041-A465-3782D836E8F3}"/>
    <hyperlink ref="R9" r:id="rId7" xr:uid="{675B70FC-89DC-4607-B965-D19B7E6721CD}"/>
    <hyperlink ref="R10" r:id="rId8" xr:uid="{72929755-97ED-4D8F-9D4E-A39A660F57BB}"/>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InputMessage="1" showErrorMessage="1" xr:uid="{0AF0E214-9B48-47B5-ADE0-D0EB12BC5E6D}">
          <x14:formula1>
            <xm:f>Settings!$C$3:$C$20</xm:f>
          </x14:formula1>
          <xm:sqref>I10 I2:I7</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4D44-FCE6-4B06-B637-28E09CC00895}">
  <sheetPr>
    <outlinePr summaryBelow="0" summaryRight="0"/>
  </sheetPr>
  <dimension ref="A1:AC985"/>
  <sheetViews>
    <sheetView topLeftCell="G1" workbookViewId="0">
      <selection activeCell="G11" sqref="G11"/>
    </sheetView>
  </sheetViews>
  <sheetFormatPr defaultColWidth="12.5703125" defaultRowHeight="15" customHeight="1"/>
  <cols>
    <col min="1" max="1" width="12.5703125" style="70" hidden="1" customWidth="1"/>
    <col min="2" max="2" width="18.28515625" style="70" customWidth="1"/>
    <col min="3" max="3" width="11.7109375" style="48" customWidth="1"/>
    <col min="4" max="4" width="14.42578125" style="48" customWidth="1"/>
    <col min="5" max="5" width="21.85546875" style="48" customWidth="1"/>
    <col min="6" max="6" width="13.85546875" style="70" customWidth="1"/>
    <col min="7" max="7" width="46.28515625" style="70" customWidth="1"/>
    <col min="8" max="8" width="10.42578125" style="48" customWidth="1"/>
    <col min="9" max="9" width="18.7109375" style="48" customWidth="1"/>
    <col min="10" max="10" width="9.140625" style="48" bestFit="1" customWidth="1"/>
    <col min="11" max="11" width="14.42578125" style="48" customWidth="1"/>
    <col min="12" max="12" width="19" style="48" customWidth="1"/>
    <col min="13" max="13" width="20.28515625" style="48" customWidth="1"/>
    <col min="14" max="14" width="56" style="48" customWidth="1"/>
    <col min="15" max="16384" width="12.5703125" style="70"/>
  </cols>
  <sheetData>
    <row r="1" spans="1:29" ht="27">
      <c r="A1" s="360" t="s">
        <v>243</v>
      </c>
      <c r="B1" s="1" t="s">
        <v>11</v>
      </c>
      <c r="C1" s="1" t="s">
        <v>297</v>
      </c>
      <c r="D1" s="1" t="s">
        <v>298</v>
      </c>
      <c r="E1" s="1" t="s">
        <v>245</v>
      </c>
      <c r="F1" s="1" t="s">
        <v>299</v>
      </c>
      <c r="G1" s="1" t="s">
        <v>300</v>
      </c>
      <c r="H1" s="1" t="s">
        <v>301</v>
      </c>
      <c r="I1" s="1" t="s">
        <v>302</v>
      </c>
      <c r="J1" s="1" t="s">
        <v>303</v>
      </c>
      <c r="K1" s="1" t="s">
        <v>304</v>
      </c>
      <c r="L1" s="1" t="s">
        <v>248</v>
      </c>
      <c r="M1" s="130" t="s">
        <v>305</v>
      </c>
      <c r="N1" s="372" t="s">
        <v>306</v>
      </c>
      <c r="O1" s="219"/>
      <c r="P1" s="219"/>
      <c r="Q1" s="219"/>
      <c r="R1" s="219"/>
      <c r="S1" s="219"/>
      <c r="T1" s="219"/>
      <c r="U1" s="219"/>
      <c r="V1" s="219"/>
      <c r="W1" s="219"/>
      <c r="X1" s="219"/>
      <c r="Y1" s="219"/>
      <c r="Z1" s="219"/>
      <c r="AA1" s="219"/>
      <c r="AB1" s="219"/>
      <c r="AC1" s="219"/>
    </row>
    <row r="2" spans="1:29" ht="33.75" customHeight="1">
      <c r="B2" s="83" t="s">
        <v>857</v>
      </c>
      <c r="C2" s="83">
        <v>24717</v>
      </c>
      <c r="D2" s="83"/>
      <c r="E2" s="83" t="s">
        <v>657</v>
      </c>
      <c r="F2" s="222" t="s">
        <v>715</v>
      </c>
      <c r="G2" s="86" t="s">
        <v>841</v>
      </c>
      <c r="H2" s="83" t="s">
        <v>307</v>
      </c>
      <c r="I2" s="83" t="s">
        <v>336</v>
      </c>
      <c r="J2" s="83" t="s">
        <v>371</v>
      </c>
      <c r="K2" s="83" t="s">
        <v>779</v>
      </c>
      <c r="L2" s="375" t="s">
        <v>780</v>
      </c>
      <c r="M2" s="83" t="s">
        <v>734</v>
      </c>
      <c r="N2" s="83" t="s">
        <v>858</v>
      </c>
    </row>
    <row r="3" spans="1:29" ht="44.25" customHeight="1">
      <c r="B3" s="67" t="s">
        <v>845</v>
      </c>
      <c r="C3" s="83">
        <v>24831</v>
      </c>
      <c r="D3" s="83"/>
      <c r="E3" s="83" t="s">
        <v>657</v>
      </c>
      <c r="F3" s="222" t="s">
        <v>715</v>
      </c>
      <c r="G3" s="110" t="s">
        <v>848</v>
      </c>
      <c r="H3" s="83" t="s">
        <v>784</v>
      </c>
      <c r="I3" s="83" t="s">
        <v>336</v>
      </c>
      <c r="J3" s="83" t="s">
        <v>371</v>
      </c>
      <c r="K3" s="83" t="s">
        <v>779</v>
      </c>
      <c r="L3" s="375" t="s">
        <v>780</v>
      </c>
      <c r="M3" s="83" t="s">
        <v>859</v>
      </c>
      <c r="N3" s="83" t="s">
        <v>858</v>
      </c>
    </row>
    <row r="4" spans="1:29" ht="30.75" customHeight="1">
      <c r="B4" s="299" t="s">
        <v>105</v>
      </c>
      <c r="C4" s="299">
        <v>47308</v>
      </c>
      <c r="D4" s="299">
        <v>47308</v>
      </c>
      <c r="E4" s="83" t="s">
        <v>595</v>
      </c>
      <c r="F4" s="222" t="s">
        <v>375</v>
      </c>
      <c r="G4" s="110" t="s">
        <v>860</v>
      </c>
      <c r="H4" s="83" t="s">
        <v>784</v>
      </c>
      <c r="I4" s="83" t="s">
        <v>336</v>
      </c>
      <c r="J4" s="83" t="s">
        <v>371</v>
      </c>
      <c r="K4" s="83" t="s">
        <v>779</v>
      </c>
      <c r="L4" s="375" t="s">
        <v>780</v>
      </c>
      <c r="M4" s="83" t="s">
        <v>371</v>
      </c>
      <c r="N4" s="127" t="s">
        <v>861</v>
      </c>
    </row>
    <row r="5" spans="1:29" ht="29.25" customHeight="1">
      <c r="B5" s="299" t="s">
        <v>105</v>
      </c>
      <c r="C5" s="299">
        <v>47308</v>
      </c>
      <c r="D5" s="299">
        <v>47308</v>
      </c>
      <c r="E5" s="83" t="s">
        <v>595</v>
      </c>
      <c r="F5" s="222" t="s">
        <v>375</v>
      </c>
      <c r="G5" s="110" t="s">
        <v>862</v>
      </c>
      <c r="H5" s="83" t="s">
        <v>784</v>
      </c>
      <c r="I5" s="83" t="s">
        <v>336</v>
      </c>
      <c r="J5" s="83" t="s">
        <v>371</v>
      </c>
      <c r="K5" s="83" t="s">
        <v>779</v>
      </c>
      <c r="L5" s="375" t="s">
        <v>780</v>
      </c>
      <c r="M5" s="83" t="s">
        <v>371</v>
      </c>
      <c r="N5" s="127" t="s">
        <v>863</v>
      </c>
    </row>
    <row r="6" spans="1:29" ht="33" customHeight="1">
      <c r="B6" s="299" t="s">
        <v>845</v>
      </c>
      <c r="C6" s="299">
        <v>24863</v>
      </c>
      <c r="D6" s="299"/>
      <c r="E6" s="83" t="s">
        <v>595</v>
      </c>
      <c r="F6" s="222" t="s">
        <v>715</v>
      </c>
      <c r="G6" s="110" t="s">
        <v>852</v>
      </c>
      <c r="H6" s="83" t="s">
        <v>784</v>
      </c>
      <c r="I6" s="83" t="s">
        <v>336</v>
      </c>
      <c r="J6" s="83" t="s">
        <v>311</v>
      </c>
      <c r="K6" s="83" t="s">
        <v>779</v>
      </c>
      <c r="L6" s="375" t="s">
        <v>780</v>
      </c>
      <c r="M6" s="83" t="s">
        <v>859</v>
      </c>
      <c r="N6" s="83" t="s">
        <v>864</v>
      </c>
    </row>
    <row r="7" spans="1:29" ht="15.75" customHeight="1">
      <c r="F7" s="210"/>
      <c r="G7"/>
      <c r="O7" s="168"/>
    </row>
    <row r="8" spans="1:29" ht="15.75" customHeight="1">
      <c r="F8" s="210"/>
    </row>
    <row r="9" spans="1:29" ht="15.75" customHeight="1">
      <c r="F9" s="210"/>
    </row>
    <row r="10" spans="1:29" ht="15.75" customHeight="1">
      <c r="F10" s="210"/>
    </row>
    <row r="11" spans="1:29" ht="15.75" customHeight="1">
      <c r="F11" s="210"/>
    </row>
    <row r="12" spans="1:29" ht="15.75" customHeight="1">
      <c r="F12" s="210"/>
    </row>
    <row r="13" spans="1:29" ht="15.75" customHeight="1">
      <c r="F13" s="210"/>
    </row>
    <row r="14" spans="1:29" ht="15.75" customHeight="1">
      <c r="F14" s="210"/>
    </row>
    <row r="15" spans="1:29" ht="15.75" customHeight="1">
      <c r="F15" s="210"/>
    </row>
    <row r="16" spans="1:29" ht="15.75" customHeight="1">
      <c r="F16" s="210"/>
    </row>
    <row r="17" spans="6:6" ht="15.75" customHeight="1">
      <c r="F17" s="210"/>
    </row>
    <row r="18" spans="6:6" ht="15.75" customHeight="1"/>
    <row r="19" spans="6:6" ht="15.75" customHeight="1"/>
    <row r="20" spans="6:6" ht="15.75" customHeight="1"/>
    <row r="21" spans="6:6" ht="15.75" customHeight="1"/>
    <row r="22" spans="6:6" ht="15.75" customHeight="1"/>
    <row r="23" spans="6:6" ht="15.75" customHeight="1"/>
    <row r="24" spans="6:6" ht="15.75" customHeight="1"/>
    <row r="25" spans="6:6" ht="15.75" customHeight="1"/>
    <row r="26" spans="6:6" ht="15.75" customHeight="1"/>
    <row r="27" spans="6:6" ht="15.75" customHeight="1"/>
    <row r="28" spans="6:6" ht="15.75" customHeight="1"/>
    <row r="29" spans="6:6" ht="15.75" customHeight="1"/>
    <row r="30" spans="6:6" ht="15.75" customHeight="1"/>
    <row r="31" spans="6:6" ht="15.75" customHeight="1"/>
    <row r="32" spans="6: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N1" xr:uid="{3A2BB050-11AC-4ED7-A296-96B42C7FCFBA}"/>
  <dataValidations count="3">
    <dataValidation type="list" allowBlank="1" showErrorMessage="1" sqref="F2:F17" xr:uid="{6F5A4384-0ADE-4AC0-B6CE-89EF5323C7C8}">
      <formula1>"Bounceback,Defect,None"</formula1>
    </dataValidation>
    <dataValidation type="list" allowBlank="1" showErrorMessage="1" sqref="K2:K6" xr:uid="{7F326811-5C56-4895-B32B-75C84006F70E}">
      <formula1>"Client, Relevantz"</formula1>
    </dataValidation>
    <dataValidation type="list" allowBlank="1" showErrorMessage="1" sqref="L2:L5" xr:uid="{1370797C-BEB1-4AF2-AF7F-0415D496D3BC}">
      <formula1>"Open,Inprogress,Closed"</formula1>
    </dataValidation>
  </dataValidations>
  <pageMargins left="0" right="0" top="0" bottom="0" header="0" footer="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CF40-2C4A-4F69-ADA3-4A1A31657A50}">
  <dimension ref="A1:DA16"/>
  <sheetViews>
    <sheetView workbookViewId="0">
      <pane xSplit="9" topLeftCell="J2" activePane="topRight" state="frozen"/>
      <selection pane="topRight" activeCell="E2" sqref="E2"/>
    </sheetView>
  </sheetViews>
  <sheetFormatPr defaultRowHeight="12.75"/>
  <cols>
    <col min="1" max="1" width="7.7109375" style="133" bestFit="1" customWidth="1"/>
    <col min="2" max="2" width="12" style="133" customWidth="1"/>
    <col min="3" max="3" width="17.5703125" style="133" customWidth="1"/>
    <col min="4" max="4" width="11" style="133" bestFit="1" customWidth="1"/>
    <col min="5" max="5" width="11.85546875" style="133" customWidth="1"/>
    <col min="6" max="6" width="12.42578125" style="133" bestFit="1" customWidth="1"/>
    <col min="7" max="7" width="11.85546875" style="133" customWidth="1"/>
    <col min="8" max="8" width="43.28515625" style="168" customWidth="1"/>
    <col min="9" max="9" width="18.5703125" style="133" customWidth="1"/>
    <col min="10" max="10" width="12.42578125" style="133" customWidth="1"/>
    <col min="11" max="11" width="13.28515625" style="133" customWidth="1"/>
    <col min="12" max="12" width="11.42578125" style="133" customWidth="1"/>
    <col min="13" max="13" width="12.42578125" style="168" bestFit="1" customWidth="1"/>
    <col min="14" max="14" width="16.7109375" style="168" customWidth="1"/>
    <col min="15" max="15" width="14.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16384" width="9.140625" style="168"/>
  </cols>
  <sheetData>
    <row r="1" spans="1:105" ht="46.5">
      <c r="A1" s="274" t="s">
        <v>243</v>
      </c>
      <c r="B1" s="88" t="s">
        <v>4</v>
      </c>
      <c r="C1" s="88" t="s">
        <v>2</v>
      </c>
      <c r="D1" s="88" t="s">
        <v>3</v>
      </c>
      <c r="E1" s="275" t="s">
        <v>244</v>
      </c>
      <c r="F1" s="275" t="s">
        <v>245</v>
      </c>
      <c r="G1" s="275" t="s">
        <v>246</v>
      </c>
      <c r="H1" s="276" t="s">
        <v>247</v>
      </c>
      <c r="I1" s="275" t="s">
        <v>248</v>
      </c>
      <c r="J1" s="1" t="s">
        <v>249</v>
      </c>
      <c r="K1" s="1" t="s">
        <v>250</v>
      </c>
      <c r="L1" s="1"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row>
    <row r="2" spans="1:105" ht="69">
      <c r="A2" s="271">
        <v>1</v>
      </c>
      <c r="B2" s="278" t="s">
        <v>379</v>
      </c>
      <c r="C2" s="311">
        <f ca="1">Dashboard!$F$1</f>
        <v>46157</v>
      </c>
      <c r="D2" s="311">
        <f ca="1">Dashboard!$H$1</f>
        <v>46170</v>
      </c>
      <c r="E2" s="204" t="s">
        <v>865</v>
      </c>
      <c r="F2" s="193" t="s">
        <v>272</v>
      </c>
      <c r="G2" s="193">
        <v>47151</v>
      </c>
      <c r="H2" s="194" t="s">
        <v>802</v>
      </c>
      <c r="I2" s="204" t="s">
        <v>274</v>
      </c>
      <c r="J2" s="193">
        <v>13</v>
      </c>
      <c r="K2" s="193">
        <v>7.5</v>
      </c>
      <c r="L2" s="193">
        <v>30</v>
      </c>
      <c r="M2" s="194"/>
      <c r="N2" s="194"/>
      <c r="O2" s="194"/>
      <c r="P2" s="194"/>
      <c r="Q2" s="194"/>
      <c r="R2" s="253"/>
      <c r="S2" s="208"/>
      <c r="T2" s="208"/>
      <c r="U2" s="207"/>
      <c r="V2" s="194"/>
      <c r="W2" s="194"/>
      <c r="X2" s="206"/>
      <c r="Y2" s="194"/>
      <c r="Z2" s="194"/>
      <c r="AA2" s="257"/>
      <c r="AB2" s="383" t="s">
        <v>866</v>
      </c>
      <c r="AC2" s="312"/>
      <c r="AD2" s="312"/>
      <c r="AE2" s="312"/>
      <c r="AF2" s="312"/>
      <c r="AG2" s="312"/>
      <c r="AH2" s="312"/>
      <c r="AI2" s="312"/>
      <c r="AJ2" s="312"/>
      <c r="AK2" s="312"/>
      <c r="AL2" s="312"/>
      <c r="AM2" s="312"/>
      <c r="AN2" s="312"/>
      <c r="AO2" s="312"/>
      <c r="AP2" s="312"/>
      <c r="AQ2" s="312"/>
      <c r="AR2" s="312"/>
      <c r="AS2" s="312"/>
      <c r="AT2" s="312"/>
      <c r="AU2" s="312"/>
      <c r="AV2" s="312"/>
      <c r="AW2" s="312"/>
      <c r="AX2" s="312"/>
      <c r="AY2" s="312"/>
      <c r="AZ2" s="312"/>
      <c r="BA2" s="312"/>
      <c r="BB2" s="312"/>
      <c r="BC2" s="312"/>
      <c r="BD2" s="312"/>
      <c r="BE2" s="312"/>
      <c r="BF2" s="312"/>
      <c r="BG2" s="312"/>
      <c r="BH2" s="312"/>
      <c r="BI2" s="312"/>
      <c r="BJ2" s="312"/>
      <c r="BK2" s="312"/>
      <c r="BL2" s="312"/>
      <c r="BM2" s="312"/>
      <c r="BN2" s="312"/>
      <c r="BO2" s="312"/>
      <c r="BP2" s="312"/>
      <c r="BQ2" s="312"/>
      <c r="BR2" s="312"/>
      <c r="BS2" s="312"/>
      <c r="BT2" s="312"/>
      <c r="BU2" s="312"/>
      <c r="BV2" s="312"/>
      <c r="BW2" s="312"/>
      <c r="BX2" s="312"/>
      <c r="BY2" s="312"/>
      <c r="BZ2" s="312"/>
      <c r="CA2" s="312"/>
      <c r="CB2" s="312"/>
      <c r="CC2" s="312"/>
      <c r="CD2" s="312"/>
      <c r="CE2" s="312"/>
      <c r="CF2" s="312"/>
      <c r="CG2" s="312"/>
      <c r="CH2" s="312"/>
      <c r="CI2" s="312"/>
      <c r="CJ2" s="312"/>
      <c r="CK2" s="312"/>
      <c r="CL2" s="312"/>
      <c r="CM2" s="312"/>
      <c r="CN2" s="312"/>
      <c r="CO2" s="312"/>
      <c r="CP2" s="312"/>
      <c r="CQ2" s="312"/>
      <c r="CR2" s="312"/>
      <c r="CS2" s="312"/>
      <c r="CT2" s="312"/>
      <c r="CU2" s="312"/>
      <c r="CV2" s="312"/>
      <c r="CW2" s="312"/>
      <c r="CX2" s="312"/>
      <c r="CY2" s="312"/>
      <c r="CZ2" s="312"/>
      <c r="DA2" s="312"/>
    </row>
    <row r="3" spans="1:105" s="86" customFormat="1" ht="35.25">
      <c r="A3" s="271">
        <v>2</v>
      </c>
      <c r="B3" s="278" t="s">
        <v>379</v>
      </c>
      <c r="C3" s="311">
        <f ca="1">Dashboard!$F$1</f>
        <v>46157</v>
      </c>
      <c r="D3" s="311">
        <f ca="1">Dashboard!$H$1</f>
        <v>46170</v>
      </c>
      <c r="E3" s="172" t="s">
        <v>101</v>
      </c>
      <c r="F3" s="193" t="s">
        <v>657</v>
      </c>
      <c r="G3" s="193">
        <v>30125</v>
      </c>
      <c r="H3" s="194" t="s">
        <v>867</v>
      </c>
      <c r="I3" s="367" t="s">
        <v>280</v>
      </c>
      <c r="J3" s="193">
        <v>5</v>
      </c>
      <c r="K3" s="193">
        <v>5</v>
      </c>
      <c r="L3" s="204">
        <v>20</v>
      </c>
      <c r="M3" s="194" t="s">
        <v>13</v>
      </c>
      <c r="N3" s="194"/>
      <c r="O3" s="194"/>
      <c r="P3" s="194"/>
      <c r="Q3" s="273"/>
      <c r="R3" s="236" t="s">
        <v>868</v>
      </c>
      <c r="S3" s="208">
        <v>45716</v>
      </c>
      <c r="T3" s="208">
        <v>45716</v>
      </c>
      <c r="U3" s="194" t="s">
        <v>287</v>
      </c>
      <c r="V3" s="374"/>
      <c r="W3" s="207" t="s">
        <v>441</v>
      </c>
      <c r="X3" s="208">
        <v>45716</v>
      </c>
      <c r="Y3" s="207"/>
      <c r="Z3" s="207"/>
      <c r="AA3" s="207"/>
      <c r="AB3" s="273" t="s">
        <v>869</v>
      </c>
      <c r="AC3" s="194"/>
      <c r="AD3" s="194"/>
      <c r="AE3" s="194"/>
      <c r="AF3" s="194"/>
      <c r="AG3" s="194"/>
      <c r="AH3" s="194"/>
      <c r="AI3" s="194"/>
      <c r="AJ3" s="194"/>
      <c r="AK3" s="194"/>
      <c r="AL3" s="194"/>
      <c r="AM3" s="194"/>
      <c r="AN3" s="194"/>
      <c r="AO3" s="194"/>
      <c r="AP3" s="194"/>
      <c r="AQ3" s="194"/>
      <c r="AR3" s="194"/>
      <c r="AS3" s="194"/>
      <c r="AT3" s="194"/>
    </row>
    <row r="4" spans="1:105" ht="23.25">
      <c r="A4" s="271">
        <v>3</v>
      </c>
      <c r="B4" s="278" t="s">
        <v>379</v>
      </c>
      <c r="C4" s="311">
        <f ca="1">Dashboard!$F$1</f>
        <v>46157</v>
      </c>
      <c r="D4" s="311">
        <f ca="1">Dashboard!$H$1</f>
        <v>46170</v>
      </c>
      <c r="E4" s="172" t="s">
        <v>101</v>
      </c>
      <c r="F4" s="204" t="s">
        <v>275</v>
      </c>
      <c r="G4" s="204">
        <v>47108</v>
      </c>
      <c r="H4" s="207" t="s">
        <v>870</v>
      </c>
      <c r="I4" s="367" t="s">
        <v>280</v>
      </c>
      <c r="J4" s="204">
        <v>5</v>
      </c>
      <c r="K4" s="193">
        <v>3</v>
      </c>
      <c r="L4" s="204">
        <v>10</v>
      </c>
      <c r="M4" s="207" t="s">
        <v>13</v>
      </c>
      <c r="N4" s="207"/>
      <c r="O4" s="207"/>
      <c r="P4" s="207"/>
      <c r="Q4" s="279"/>
      <c r="R4" s="236" t="s">
        <v>871</v>
      </c>
      <c r="S4" s="208">
        <v>45713</v>
      </c>
      <c r="T4" s="208">
        <v>45713</v>
      </c>
      <c r="U4" s="194" t="s">
        <v>287</v>
      </c>
      <c r="V4" s="374"/>
      <c r="W4" s="207" t="s">
        <v>441</v>
      </c>
      <c r="X4" s="208">
        <v>45713</v>
      </c>
      <c r="Y4" s="207"/>
      <c r="Z4" s="207"/>
      <c r="AA4" s="207"/>
      <c r="AB4" s="279" t="s">
        <v>872</v>
      </c>
      <c r="AC4" s="312"/>
      <c r="AD4" s="312"/>
      <c r="AE4" s="312"/>
      <c r="AF4" s="312"/>
      <c r="AG4" s="312"/>
      <c r="AH4" s="312"/>
      <c r="AI4" s="312"/>
      <c r="AJ4" s="312"/>
      <c r="AK4" s="312"/>
      <c r="AL4" s="312"/>
      <c r="AM4" s="312"/>
      <c r="AN4" s="312"/>
      <c r="AO4" s="312"/>
      <c r="AP4" s="312"/>
      <c r="AQ4" s="312"/>
      <c r="AR4" s="312"/>
      <c r="AS4" s="312"/>
      <c r="AT4" s="312"/>
    </row>
    <row r="5" spans="1:105" ht="23.25">
      <c r="A5" s="271">
        <v>4</v>
      </c>
      <c r="B5" s="278" t="s">
        <v>379</v>
      </c>
      <c r="C5" s="311">
        <f ca="1">Dashboard!$F$1</f>
        <v>46157</v>
      </c>
      <c r="D5" s="311">
        <f ca="1">Dashboard!$H$1</f>
        <v>46170</v>
      </c>
      <c r="E5" s="204" t="s">
        <v>865</v>
      </c>
      <c r="F5" s="204" t="s">
        <v>275</v>
      </c>
      <c r="G5" s="204">
        <v>46826</v>
      </c>
      <c r="H5" s="207" t="s">
        <v>834</v>
      </c>
      <c r="I5" s="204" t="s">
        <v>274</v>
      </c>
      <c r="J5" s="204">
        <v>13</v>
      </c>
      <c r="K5" s="193">
        <v>8</v>
      </c>
      <c r="L5" s="204">
        <v>30</v>
      </c>
      <c r="M5" s="207"/>
      <c r="N5" s="207"/>
      <c r="O5" s="207"/>
      <c r="P5" s="207"/>
      <c r="Q5" s="279"/>
      <c r="R5" s="236"/>
      <c r="S5" s="208"/>
      <c r="T5" s="194"/>
      <c r="U5" s="194"/>
      <c r="V5" s="374"/>
      <c r="W5" s="207"/>
      <c r="X5" s="208"/>
      <c r="Y5" s="207"/>
      <c r="Z5" s="207"/>
      <c r="AA5" s="207"/>
      <c r="AB5" s="279"/>
      <c r="AC5" s="312"/>
      <c r="AD5" s="312"/>
      <c r="AE5" s="312"/>
      <c r="AF5" s="312"/>
      <c r="AG5" s="312"/>
      <c r="AH5" s="312"/>
      <c r="AI5" s="312"/>
      <c r="AJ5" s="312"/>
      <c r="AK5" s="312"/>
      <c r="AL5" s="312"/>
      <c r="AM5" s="312"/>
      <c r="AN5" s="312"/>
      <c r="AO5" s="312"/>
      <c r="AP5" s="312"/>
      <c r="AQ5" s="312"/>
      <c r="AR5" s="312"/>
      <c r="AS5" s="312"/>
      <c r="AT5" s="312"/>
    </row>
    <row r="6" spans="1:105" ht="23.25">
      <c r="A6" s="271">
        <v>5</v>
      </c>
      <c r="B6" s="278" t="s">
        <v>379</v>
      </c>
      <c r="C6" s="311">
        <f ca="1">Dashboard!$F$1</f>
        <v>46157</v>
      </c>
      <c r="D6" s="311">
        <f ca="1">Dashboard!$H$1</f>
        <v>46170</v>
      </c>
      <c r="E6" s="204" t="s">
        <v>865</v>
      </c>
      <c r="F6" s="204" t="s">
        <v>275</v>
      </c>
      <c r="G6" s="204">
        <v>24720</v>
      </c>
      <c r="H6" s="207" t="s">
        <v>873</v>
      </c>
      <c r="I6" s="367" t="s">
        <v>295</v>
      </c>
      <c r="J6" s="204">
        <v>3</v>
      </c>
      <c r="K6" s="193">
        <v>3</v>
      </c>
      <c r="L6" s="204">
        <v>5</v>
      </c>
      <c r="M6" s="207" t="s">
        <v>13</v>
      </c>
      <c r="N6" s="207"/>
      <c r="O6" s="207"/>
      <c r="P6" s="207"/>
      <c r="Q6" s="279"/>
      <c r="R6" s="236" t="s">
        <v>874</v>
      </c>
      <c r="S6" s="208">
        <v>45716</v>
      </c>
      <c r="T6" s="208">
        <v>45716</v>
      </c>
      <c r="U6" s="194" t="s">
        <v>287</v>
      </c>
      <c r="V6" s="374"/>
      <c r="W6" s="207" t="s">
        <v>441</v>
      </c>
      <c r="X6" s="208">
        <v>45716</v>
      </c>
      <c r="Y6" s="207"/>
      <c r="Z6" s="207"/>
      <c r="AA6" s="207"/>
      <c r="AB6" s="279"/>
      <c r="AC6" s="312"/>
      <c r="AD6" s="312"/>
      <c r="AE6" s="312"/>
      <c r="AF6" s="312"/>
      <c r="AG6" s="312"/>
      <c r="AH6" s="312"/>
      <c r="AI6" s="312"/>
      <c r="AJ6" s="312"/>
      <c r="AK6" s="312"/>
      <c r="AL6" s="312"/>
      <c r="AM6" s="312"/>
      <c r="AN6" s="312"/>
      <c r="AO6" s="312"/>
      <c r="AP6" s="312"/>
      <c r="AQ6" s="312"/>
      <c r="AR6" s="312"/>
      <c r="AS6" s="312"/>
      <c r="AT6" s="312"/>
    </row>
    <row r="7" spans="1:105" ht="23.25">
      <c r="A7" s="278">
        <v>6</v>
      </c>
      <c r="B7" s="278" t="s">
        <v>379</v>
      </c>
      <c r="C7" s="311">
        <f ca="1">Dashboard!$F$1</f>
        <v>46157</v>
      </c>
      <c r="D7" s="311">
        <f ca="1">Dashboard!$H$1</f>
        <v>46170</v>
      </c>
      <c r="E7" s="204" t="s">
        <v>865</v>
      </c>
      <c r="F7" s="204" t="s">
        <v>657</v>
      </c>
      <c r="G7" s="204">
        <v>24524</v>
      </c>
      <c r="H7" s="207" t="s">
        <v>875</v>
      </c>
      <c r="I7" s="367" t="s">
        <v>280</v>
      </c>
      <c r="J7" s="204">
        <v>3</v>
      </c>
      <c r="K7" s="204">
        <v>3</v>
      </c>
      <c r="L7" s="204">
        <v>9</v>
      </c>
      <c r="M7" s="207"/>
      <c r="N7" s="207"/>
      <c r="O7" s="207"/>
      <c r="P7" s="207"/>
      <c r="Q7" s="279"/>
      <c r="R7" s="236" t="s">
        <v>876</v>
      </c>
      <c r="S7" s="208">
        <v>45719</v>
      </c>
      <c r="T7" s="208">
        <v>45719</v>
      </c>
      <c r="U7" s="194" t="s">
        <v>287</v>
      </c>
      <c r="V7" s="374"/>
      <c r="W7" s="207" t="s">
        <v>441</v>
      </c>
      <c r="X7" s="208">
        <v>45719</v>
      </c>
      <c r="Y7" s="207"/>
      <c r="Z7" s="207"/>
      <c r="AA7" s="207"/>
      <c r="AB7" s="279"/>
      <c r="AC7" s="312"/>
      <c r="AD7" s="312"/>
      <c r="AE7" s="312"/>
      <c r="AF7" s="312"/>
      <c r="AG7" s="312"/>
      <c r="AH7" s="312"/>
      <c r="AI7" s="312"/>
      <c r="AJ7" s="312"/>
      <c r="AK7" s="312"/>
      <c r="AL7" s="312"/>
    </row>
    <row r="8" spans="1:105" ht="28.5" customHeight="1">
      <c r="A8" s="278">
        <v>7</v>
      </c>
      <c r="B8" s="278" t="s">
        <v>379</v>
      </c>
      <c r="C8" s="311">
        <f ca="1">Dashboard!$F$1</f>
        <v>46157</v>
      </c>
      <c r="D8" s="311">
        <f ca="1">Dashboard!$H$1</f>
        <v>46170</v>
      </c>
      <c r="E8" s="172" t="s">
        <v>101</v>
      </c>
      <c r="F8" s="204" t="s">
        <v>287</v>
      </c>
      <c r="G8" s="204">
        <v>46219</v>
      </c>
      <c r="H8" s="207" t="s">
        <v>877</v>
      </c>
      <c r="I8" s="367" t="s">
        <v>280</v>
      </c>
      <c r="J8" s="204">
        <v>8</v>
      </c>
      <c r="K8" s="204">
        <v>8</v>
      </c>
      <c r="L8" s="204">
        <v>22</v>
      </c>
      <c r="M8" s="207" t="s">
        <v>13</v>
      </c>
      <c r="N8" s="207"/>
      <c r="O8" s="207"/>
      <c r="P8" s="207"/>
      <c r="Q8" s="279"/>
      <c r="R8" s="236" t="s">
        <v>878</v>
      </c>
      <c r="S8" s="208">
        <v>45716</v>
      </c>
      <c r="T8" s="208">
        <v>45716</v>
      </c>
      <c r="U8" s="194" t="s">
        <v>287</v>
      </c>
      <c r="V8" s="374"/>
      <c r="W8" s="207" t="s">
        <v>441</v>
      </c>
      <c r="X8" s="208">
        <v>45716</v>
      </c>
      <c r="Y8" s="207"/>
      <c r="Z8" s="207"/>
      <c r="AA8" s="207"/>
      <c r="AB8" s="279"/>
      <c r="AC8" s="312"/>
      <c r="AD8" s="312"/>
      <c r="AE8" s="312"/>
      <c r="AF8" s="312"/>
      <c r="AG8" s="312"/>
      <c r="AH8" s="312"/>
      <c r="AI8" s="312"/>
      <c r="AJ8" s="312"/>
      <c r="AK8" s="312"/>
      <c r="AL8" s="312"/>
    </row>
    <row r="9" spans="1:105" ht="28.5" customHeight="1">
      <c r="A9" s="278">
        <v>8</v>
      </c>
      <c r="B9" s="278" t="s">
        <v>379</v>
      </c>
      <c r="C9" s="311">
        <f ca="1">Dashboard!$F$1</f>
        <v>46157</v>
      </c>
      <c r="D9" s="311">
        <f ca="1">Dashboard!$H$1</f>
        <v>46170</v>
      </c>
      <c r="E9" s="204" t="s">
        <v>865</v>
      </c>
      <c r="F9" s="204" t="s">
        <v>287</v>
      </c>
      <c r="G9" s="204">
        <v>24743</v>
      </c>
      <c r="H9" s="207" t="s">
        <v>879</v>
      </c>
      <c r="I9" s="367" t="s">
        <v>295</v>
      </c>
      <c r="J9" s="204">
        <v>1</v>
      </c>
      <c r="K9" s="204">
        <v>1</v>
      </c>
      <c r="L9" s="204">
        <v>6</v>
      </c>
      <c r="M9" s="207" t="s">
        <v>13</v>
      </c>
      <c r="N9" s="207"/>
      <c r="O9" s="207"/>
      <c r="P9" s="207"/>
      <c r="Q9" s="279"/>
      <c r="R9" s="236" t="s">
        <v>878</v>
      </c>
      <c r="S9" s="208">
        <v>45716</v>
      </c>
      <c r="T9" s="208">
        <v>45716</v>
      </c>
      <c r="U9" s="194" t="s">
        <v>287</v>
      </c>
      <c r="V9" s="374"/>
      <c r="W9" s="207" t="s">
        <v>441</v>
      </c>
      <c r="X9" s="208">
        <v>45716</v>
      </c>
      <c r="Y9" s="207"/>
      <c r="Z9" s="207"/>
      <c r="AA9" s="207"/>
      <c r="AB9" s="279"/>
      <c r="AC9" s="312"/>
      <c r="AD9" s="312"/>
      <c r="AE9" s="312"/>
      <c r="AF9" s="312"/>
      <c r="AG9" s="312"/>
      <c r="AH9" s="312"/>
      <c r="AI9" s="312"/>
      <c r="AJ9" s="312"/>
      <c r="AK9" s="312"/>
      <c r="AL9" s="312"/>
    </row>
    <row r="10" spans="1:105" ht="23.25">
      <c r="A10" s="278">
        <v>9</v>
      </c>
      <c r="B10" s="278" t="s">
        <v>379</v>
      </c>
      <c r="C10" s="311">
        <f ca="1">Dashboard!$F$1</f>
        <v>46157</v>
      </c>
      <c r="D10" s="311">
        <f ca="1">Dashboard!$H$1</f>
        <v>46170</v>
      </c>
      <c r="E10" s="204" t="s">
        <v>865</v>
      </c>
      <c r="F10" s="204" t="s">
        <v>595</v>
      </c>
      <c r="G10" s="204">
        <v>47308</v>
      </c>
      <c r="H10" s="207" t="s">
        <v>837</v>
      </c>
      <c r="I10" s="204" t="s">
        <v>506</v>
      </c>
      <c r="J10" s="204">
        <v>5</v>
      </c>
      <c r="K10" s="204">
        <v>3</v>
      </c>
      <c r="L10" s="204">
        <v>12</v>
      </c>
      <c r="M10" s="207" t="s">
        <v>13</v>
      </c>
      <c r="N10" s="207"/>
      <c r="O10" s="207"/>
      <c r="P10" s="207"/>
      <c r="Q10" s="279"/>
      <c r="R10" s="236" t="s">
        <v>880</v>
      </c>
      <c r="S10" s="208">
        <v>45719</v>
      </c>
      <c r="T10" s="208">
        <v>45719</v>
      </c>
      <c r="U10" s="194" t="s">
        <v>287</v>
      </c>
      <c r="V10" s="374"/>
      <c r="W10" s="207" t="s">
        <v>441</v>
      </c>
      <c r="X10" s="208">
        <v>45719</v>
      </c>
      <c r="Y10" s="207"/>
      <c r="Z10" s="207"/>
      <c r="AA10" s="207"/>
      <c r="AB10" s="279"/>
      <c r="AC10" s="312"/>
      <c r="AD10" s="312"/>
      <c r="AE10" s="312"/>
      <c r="AF10" s="312"/>
      <c r="AG10" s="312"/>
      <c r="AH10" s="312"/>
      <c r="AI10" s="312"/>
      <c r="AJ10" s="312"/>
      <c r="AK10" s="312"/>
      <c r="AL10" s="312"/>
    </row>
    <row r="11" spans="1:105" ht="50.25">
      <c r="A11" s="278">
        <v>10</v>
      </c>
      <c r="B11" s="278" t="s">
        <v>379</v>
      </c>
      <c r="C11" s="311">
        <f ca="1">Dashboard!$F$1</f>
        <v>46157</v>
      </c>
      <c r="D11" s="311">
        <f ca="1">Dashboard!$H$1</f>
        <v>46170</v>
      </c>
      <c r="E11" s="204" t="s">
        <v>865</v>
      </c>
      <c r="F11" s="204" t="s">
        <v>657</v>
      </c>
      <c r="G11" s="381">
        <v>24717</v>
      </c>
      <c r="H11" s="382" t="s">
        <v>881</v>
      </c>
      <c r="I11" s="204" t="s">
        <v>274</v>
      </c>
      <c r="J11" s="204">
        <v>2</v>
      </c>
      <c r="K11" s="204">
        <v>2</v>
      </c>
      <c r="L11" s="204">
        <v>6</v>
      </c>
      <c r="M11" s="207"/>
      <c r="N11" s="207"/>
      <c r="O11" s="207"/>
      <c r="P11" s="207"/>
      <c r="Q11" s="207"/>
      <c r="R11" s="253"/>
      <c r="S11" s="380"/>
      <c r="T11" s="380"/>
      <c r="U11" s="207"/>
      <c r="V11" s="207"/>
      <c r="W11" s="207"/>
      <c r="X11" s="208"/>
      <c r="Y11" s="207"/>
      <c r="Z11" s="207"/>
      <c r="AA11" s="207"/>
      <c r="AB11" s="279"/>
      <c r="AC11" s="312"/>
      <c r="AD11" s="312"/>
      <c r="AE11" s="312"/>
      <c r="AF11" s="312"/>
      <c r="AG11" s="312"/>
      <c r="AH11" s="312"/>
      <c r="AI11" s="312"/>
      <c r="AJ11" s="312"/>
      <c r="AK11" s="312"/>
      <c r="AL11" s="312"/>
    </row>
    <row r="12" spans="1:105" ht="23.25">
      <c r="A12" s="193">
        <v>11</v>
      </c>
      <c r="B12" s="193" t="s">
        <v>379</v>
      </c>
      <c r="C12" s="313">
        <v>45709</v>
      </c>
      <c r="D12" s="313">
        <v>45722</v>
      </c>
      <c r="E12" s="193" t="s">
        <v>865</v>
      </c>
      <c r="F12" s="193" t="s">
        <v>595</v>
      </c>
      <c r="G12" s="193">
        <v>24778</v>
      </c>
      <c r="H12" s="386" t="s">
        <v>882</v>
      </c>
      <c r="I12" s="387" t="s">
        <v>295</v>
      </c>
      <c r="J12" s="193">
        <v>2</v>
      </c>
      <c r="K12" s="193">
        <v>2</v>
      </c>
      <c r="L12" s="193">
        <v>8</v>
      </c>
      <c r="M12" s="194" t="s">
        <v>13</v>
      </c>
      <c r="N12" s="194"/>
      <c r="O12" s="194"/>
      <c r="P12" s="194"/>
      <c r="Q12" s="194"/>
      <c r="R12" s="236" t="s">
        <v>883</v>
      </c>
      <c r="S12" s="206">
        <v>45721</v>
      </c>
      <c r="T12" s="206">
        <v>45721</v>
      </c>
      <c r="U12" s="194" t="s">
        <v>287</v>
      </c>
      <c r="V12" s="194"/>
      <c r="W12" s="194" t="s">
        <v>441</v>
      </c>
      <c r="X12" s="206">
        <v>45721</v>
      </c>
      <c r="Y12" s="194"/>
      <c r="Z12" s="194"/>
      <c r="AA12" s="194"/>
      <c r="AB12" s="194"/>
      <c r="AC12" s="312"/>
      <c r="AD12" s="312"/>
      <c r="AE12" s="312"/>
      <c r="AF12" s="312"/>
      <c r="AG12" s="312"/>
      <c r="AH12" s="312"/>
      <c r="AI12" s="312"/>
      <c r="AJ12" s="312"/>
      <c r="AK12" s="312"/>
      <c r="AL12" s="312"/>
    </row>
    <row r="13" spans="1:105" ht="23.25">
      <c r="A13" s="193">
        <v>12</v>
      </c>
      <c r="B13" s="193" t="s">
        <v>379</v>
      </c>
      <c r="C13" s="313">
        <v>45709</v>
      </c>
      <c r="D13" s="313">
        <v>45722</v>
      </c>
      <c r="E13" s="193" t="s">
        <v>865</v>
      </c>
      <c r="F13" s="193" t="s">
        <v>595</v>
      </c>
      <c r="G13" s="193">
        <v>24788</v>
      </c>
      <c r="H13" s="386" t="s">
        <v>884</v>
      </c>
      <c r="I13" s="387" t="s">
        <v>295</v>
      </c>
      <c r="J13" s="193">
        <v>2</v>
      </c>
      <c r="K13" s="193">
        <v>2</v>
      </c>
      <c r="L13" s="193">
        <v>8</v>
      </c>
      <c r="M13" s="194" t="s">
        <v>13</v>
      </c>
      <c r="N13" s="194"/>
      <c r="O13" s="194"/>
      <c r="P13" s="194"/>
      <c r="Q13" s="194"/>
      <c r="R13" s="236" t="s">
        <v>885</v>
      </c>
      <c r="S13" s="206">
        <v>45721</v>
      </c>
      <c r="T13" s="206">
        <v>45721</v>
      </c>
      <c r="U13" s="194" t="s">
        <v>287</v>
      </c>
      <c r="V13" s="194"/>
      <c r="W13" s="194" t="s">
        <v>441</v>
      </c>
      <c r="X13" s="206">
        <v>45721</v>
      </c>
      <c r="Y13" s="194"/>
      <c r="Z13" s="194"/>
      <c r="AA13" s="194"/>
      <c r="AB13" s="194"/>
      <c r="AC13" s="312"/>
      <c r="AD13" s="312"/>
      <c r="AE13" s="312"/>
      <c r="AF13" s="312"/>
      <c r="AG13" s="312"/>
      <c r="AH13" s="312"/>
      <c r="AI13" s="312"/>
      <c r="AJ13" s="312"/>
      <c r="AK13" s="312"/>
      <c r="AL13" s="312"/>
    </row>
    <row r="14" spans="1:105">
      <c r="A14" s="200"/>
      <c r="B14" s="200"/>
      <c r="C14" s="200"/>
      <c r="D14" s="200"/>
      <c r="E14" s="200"/>
      <c r="F14" s="200"/>
      <c r="G14" s="200"/>
      <c r="H14" s="312"/>
      <c r="I14" s="200"/>
      <c r="J14" s="200"/>
      <c r="K14" s="200"/>
      <c r="L14" s="200"/>
      <c r="M14" s="312"/>
      <c r="N14" s="312"/>
      <c r="O14" s="312"/>
      <c r="P14" s="312"/>
      <c r="Q14" s="312"/>
      <c r="R14" s="312"/>
      <c r="S14" s="312"/>
      <c r="T14" s="312"/>
      <c r="U14" s="312"/>
      <c r="V14" s="378"/>
      <c r="W14" s="312"/>
      <c r="X14" s="312"/>
      <c r="Y14" s="312"/>
      <c r="Z14" s="312"/>
      <c r="AA14" s="312"/>
      <c r="AB14" s="312"/>
      <c r="AC14" s="312"/>
      <c r="AD14" s="312"/>
      <c r="AE14" s="312"/>
      <c r="AF14" s="312"/>
      <c r="AG14" s="312"/>
      <c r="AH14" s="312"/>
      <c r="AI14" s="312"/>
      <c r="AJ14" s="312"/>
      <c r="AK14" s="312"/>
      <c r="AL14" s="312"/>
    </row>
    <row r="15" spans="1:105">
      <c r="A15" s="200"/>
      <c r="B15" s="200"/>
      <c r="C15" s="200"/>
      <c r="D15" s="200"/>
      <c r="E15" s="200"/>
      <c r="F15" s="200"/>
      <c r="G15" s="200"/>
      <c r="H15" s="312"/>
      <c r="I15" s="200"/>
      <c r="J15" s="200"/>
      <c r="K15" s="200"/>
      <c r="L15" s="200"/>
      <c r="M15" s="312"/>
      <c r="N15" s="312"/>
      <c r="O15" s="312"/>
      <c r="P15" s="312"/>
      <c r="Q15" s="312"/>
      <c r="R15" s="312"/>
      <c r="S15" s="312"/>
      <c r="T15" s="312"/>
      <c r="U15" s="312"/>
      <c r="V15" s="378"/>
      <c r="W15" s="312"/>
      <c r="X15" s="312"/>
      <c r="Y15" s="312"/>
      <c r="Z15" s="312"/>
      <c r="AA15" s="312"/>
      <c r="AB15" s="312"/>
    </row>
    <row r="16" spans="1:105">
      <c r="A16" s="200"/>
      <c r="B16" s="200"/>
      <c r="C16" s="200"/>
      <c r="D16" s="200"/>
      <c r="E16" s="200"/>
      <c r="F16" s="200"/>
      <c r="G16" s="200"/>
      <c r="H16" s="312"/>
      <c r="I16" s="200"/>
      <c r="J16" s="200"/>
      <c r="K16" s="200"/>
      <c r="L16" s="200"/>
      <c r="M16" s="312"/>
      <c r="N16" s="312"/>
      <c r="O16" s="312"/>
      <c r="P16" s="312"/>
      <c r="Q16" s="312"/>
      <c r="R16" s="312"/>
      <c r="S16" s="312"/>
      <c r="T16" s="312"/>
      <c r="U16" s="312"/>
      <c r="V16" s="378"/>
      <c r="W16" s="312"/>
      <c r="X16" s="312"/>
      <c r="Y16" s="312"/>
      <c r="Z16" s="312"/>
      <c r="AA16" s="312"/>
      <c r="AB16" s="312"/>
    </row>
  </sheetData>
  <hyperlinks>
    <hyperlink ref="R4" r:id="rId1" xr:uid="{47D42BFD-618A-4D2E-9A16-63E30D7A807A}"/>
    <hyperlink ref="R6" r:id="rId2" xr:uid="{FA4EB796-AF85-43FA-8477-F78862B8D0CE}"/>
    <hyperlink ref="R3" r:id="rId3" xr:uid="{8A478C3A-2B73-4552-BF38-F7C4E3E6D750}"/>
    <hyperlink ref="R7" r:id="rId4" xr:uid="{3074F6AC-1725-4A9C-A726-0337A74A5D40}"/>
    <hyperlink ref="R10" r:id="rId5" xr:uid="{877887C1-9061-4200-85B7-9761E2DD21D7}"/>
    <hyperlink ref="R8" r:id="rId6" xr:uid="{3710796A-42BB-4013-934F-0AC2808000F4}"/>
    <hyperlink ref="R9" r:id="rId7" xr:uid="{C4078532-1398-468F-B9FB-32EC861BB90C}"/>
    <hyperlink ref="R12" r:id="rId8" xr:uid="{B736EADA-9B6A-408C-BA86-300374E4E01C}"/>
    <hyperlink ref="R13" r:id="rId9" xr:uid="{58834B93-2094-4C46-AF04-9EBDD714EE78}"/>
  </hyperlinks>
  <pageMargins left="0.7" right="0.7" top="0.75" bottom="0.75" header="0.3" footer="0.3"/>
  <tableParts count="1">
    <tablePart r:id="rId10"/>
  </tableParts>
  <extLst>
    <ext xmlns:x14="http://schemas.microsoft.com/office/spreadsheetml/2009/9/main" uri="{CCE6A557-97BC-4b89-ADB6-D9C93CAAB3DF}">
      <x14:dataValidations xmlns:xm="http://schemas.microsoft.com/office/excel/2006/main" count="1">
        <x14:dataValidation type="list" allowBlank="1" showInputMessage="1" showErrorMessage="1" xr:uid="{E3BD6E7B-C52D-44FB-843B-ECE548A8328C}">
          <x14:formula1>
            <xm:f>Settings!$C$3:$C$20</xm:f>
          </x14:formula1>
          <xm:sqref>I2:I13</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7467-5C37-492F-92D1-230A761DC32E}">
  <dimension ref="A1:DA8"/>
  <sheetViews>
    <sheetView workbookViewId="0">
      <pane xSplit="9" topLeftCell="J2" activePane="topRight" state="frozen"/>
      <selection pane="topRight" activeCell="C2" sqref="C2:D2"/>
    </sheetView>
  </sheetViews>
  <sheetFormatPr defaultRowHeight="12.75"/>
  <cols>
    <col min="1" max="1" width="7.7109375" style="133" bestFit="1" customWidth="1"/>
    <col min="2" max="2" width="12" style="133" customWidth="1"/>
    <col min="3" max="3" width="11.7109375" style="133" customWidth="1"/>
    <col min="4" max="4" width="11" style="133" bestFit="1" customWidth="1"/>
    <col min="5" max="5" width="11.85546875" style="133" customWidth="1"/>
    <col min="6" max="6" width="12.42578125" style="133" bestFit="1" customWidth="1"/>
    <col min="7" max="7" width="11.85546875" style="133" customWidth="1"/>
    <col min="8" max="8" width="43.28515625" style="168" customWidth="1"/>
    <col min="9" max="9" width="18.5703125" style="133" customWidth="1"/>
    <col min="10" max="10" width="12.42578125" style="133" customWidth="1"/>
    <col min="11" max="11" width="11.42578125" style="133" bestFit="1" customWidth="1"/>
    <col min="12" max="12" width="11.42578125" style="133" customWidth="1"/>
    <col min="13" max="13" width="12.42578125" style="168" bestFit="1" customWidth="1"/>
    <col min="14" max="14" width="16.7109375" style="168" customWidth="1"/>
    <col min="15" max="15" width="14.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16384" width="9.140625" style="168"/>
  </cols>
  <sheetData>
    <row r="1" spans="1:105" ht="46.5">
      <c r="A1" s="274" t="s">
        <v>243</v>
      </c>
      <c r="B1" s="88" t="s">
        <v>4</v>
      </c>
      <c r="C1" s="88" t="s">
        <v>2</v>
      </c>
      <c r="D1" s="88" t="s">
        <v>3</v>
      </c>
      <c r="E1" s="275" t="s">
        <v>244</v>
      </c>
      <c r="F1" s="275" t="s">
        <v>245</v>
      </c>
      <c r="G1" s="275" t="s">
        <v>246</v>
      </c>
      <c r="H1" s="276" t="s">
        <v>247</v>
      </c>
      <c r="I1" s="275" t="s">
        <v>248</v>
      </c>
      <c r="J1" s="1" t="s">
        <v>249</v>
      </c>
      <c r="K1" s="1" t="s">
        <v>250</v>
      </c>
      <c r="L1" s="1"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row>
    <row r="2" spans="1:105" ht="35.25">
      <c r="A2" s="271">
        <v>1</v>
      </c>
      <c r="B2" s="278" t="str">
        <f>Dashboard!$J$1</f>
        <v>Meal Order</v>
      </c>
      <c r="C2" s="311">
        <f ca="1">Dashboard!$F$1</f>
        <v>46157</v>
      </c>
      <c r="D2" s="311">
        <f ca="1">Dashboard!$H$1</f>
        <v>46170</v>
      </c>
      <c r="E2" s="169" t="s">
        <v>97</v>
      </c>
      <c r="F2" s="193" t="s">
        <v>275</v>
      </c>
      <c r="G2" s="193">
        <v>47110</v>
      </c>
      <c r="H2" s="194" t="s">
        <v>886</v>
      </c>
      <c r="I2" s="367" t="s">
        <v>280</v>
      </c>
      <c r="J2" s="193">
        <v>5</v>
      </c>
      <c r="K2" s="193">
        <v>5</v>
      </c>
      <c r="L2" s="193">
        <v>24</v>
      </c>
      <c r="M2" s="194" t="s">
        <v>13</v>
      </c>
      <c r="N2" s="194"/>
      <c r="O2" s="194"/>
      <c r="P2" s="194" t="s">
        <v>287</v>
      </c>
      <c r="Q2" s="194"/>
      <c r="R2" s="253" t="s">
        <v>887</v>
      </c>
      <c r="S2" s="208">
        <v>45702</v>
      </c>
      <c r="T2" s="208">
        <v>45702</v>
      </c>
      <c r="U2" s="207" t="s">
        <v>287</v>
      </c>
      <c r="V2" s="194"/>
      <c r="W2" s="194" t="s">
        <v>441</v>
      </c>
      <c r="X2" s="206">
        <v>45702</v>
      </c>
      <c r="Y2" s="194"/>
      <c r="Z2" s="194"/>
      <c r="AA2" s="257"/>
      <c r="AB2" s="194" t="s">
        <v>888</v>
      </c>
      <c r="AC2" s="312"/>
      <c r="AD2" s="312"/>
      <c r="AE2" s="312"/>
      <c r="AF2" s="312"/>
      <c r="AG2" s="312"/>
      <c r="AH2" s="312"/>
      <c r="AI2" s="312"/>
      <c r="AJ2" s="312"/>
      <c r="AK2" s="312"/>
      <c r="AL2" s="312"/>
      <c r="AM2" s="312"/>
      <c r="AN2" s="312"/>
      <c r="AO2" s="312"/>
      <c r="AP2" s="312"/>
      <c r="AQ2" s="312"/>
      <c r="AR2" s="312"/>
      <c r="AS2" s="312"/>
      <c r="AT2" s="312"/>
      <c r="AU2" s="312"/>
      <c r="AV2" s="312"/>
      <c r="AW2" s="312"/>
      <c r="AX2" s="312"/>
      <c r="AY2" s="312"/>
      <c r="AZ2" s="312"/>
      <c r="BA2" s="312"/>
      <c r="BB2" s="312"/>
      <c r="BC2" s="312"/>
      <c r="BD2" s="312"/>
      <c r="BE2" s="312"/>
      <c r="BF2" s="312"/>
      <c r="BG2" s="312"/>
      <c r="BH2" s="312"/>
      <c r="BI2" s="312"/>
      <c r="BJ2" s="312"/>
      <c r="BK2" s="312"/>
      <c r="BL2" s="312"/>
      <c r="BM2" s="312"/>
      <c r="BN2" s="312"/>
      <c r="BO2" s="312"/>
      <c r="BP2" s="312"/>
      <c r="BQ2" s="312"/>
      <c r="BR2" s="312"/>
      <c r="BS2" s="312"/>
      <c r="BT2" s="312"/>
      <c r="BU2" s="312"/>
      <c r="BV2" s="312"/>
      <c r="BW2" s="312"/>
      <c r="BX2" s="312"/>
      <c r="BY2" s="312"/>
      <c r="BZ2" s="312"/>
      <c r="CA2" s="312"/>
      <c r="CB2" s="312"/>
      <c r="CC2" s="312"/>
      <c r="CD2" s="312"/>
      <c r="CE2" s="312"/>
      <c r="CF2" s="312"/>
      <c r="CG2" s="312"/>
      <c r="CH2" s="312"/>
      <c r="CI2" s="312"/>
      <c r="CJ2" s="312"/>
      <c r="CK2" s="312"/>
      <c r="CL2" s="312"/>
      <c r="CM2" s="312"/>
      <c r="CN2" s="312"/>
      <c r="CO2" s="312"/>
      <c r="CP2" s="312"/>
      <c r="CQ2" s="312"/>
      <c r="CR2" s="312"/>
      <c r="CS2" s="312"/>
      <c r="CT2" s="312"/>
      <c r="CU2" s="312"/>
      <c r="CV2" s="312"/>
      <c r="CW2" s="312"/>
      <c r="CX2" s="312"/>
      <c r="CY2" s="312"/>
      <c r="CZ2" s="312"/>
      <c r="DA2" s="312"/>
    </row>
    <row r="3" spans="1:105" s="86" customFormat="1" ht="35.25">
      <c r="A3" s="271">
        <v>2</v>
      </c>
      <c r="B3" s="278" t="str">
        <f>Dashboard!$J$1</f>
        <v>Meal Order</v>
      </c>
      <c r="C3" s="311">
        <f ca="1">Dashboard!$F$1</f>
        <v>46157</v>
      </c>
      <c r="D3" s="311">
        <f ca="1">Dashboard!$H$1</f>
        <v>46170</v>
      </c>
      <c r="E3" s="204" t="s">
        <v>889</v>
      </c>
      <c r="F3" s="193" t="s">
        <v>287</v>
      </c>
      <c r="G3" s="193">
        <v>46209</v>
      </c>
      <c r="H3" s="194" t="s">
        <v>890</v>
      </c>
      <c r="I3" s="367" t="s">
        <v>280</v>
      </c>
      <c r="J3" s="193">
        <v>13</v>
      </c>
      <c r="K3" s="193">
        <v>13</v>
      </c>
      <c r="L3" s="204">
        <v>50</v>
      </c>
      <c r="M3" s="194" t="s">
        <v>13</v>
      </c>
      <c r="N3" s="194"/>
      <c r="O3" s="194"/>
      <c r="P3" s="194" t="s">
        <v>441</v>
      </c>
      <c r="Q3" s="273"/>
      <c r="R3" s="236" t="s">
        <v>891</v>
      </c>
      <c r="S3" s="208">
        <v>45707</v>
      </c>
      <c r="T3" s="208">
        <v>45707</v>
      </c>
      <c r="U3" s="194" t="s">
        <v>287</v>
      </c>
      <c r="V3" s="374"/>
      <c r="W3" s="207" t="s">
        <v>441</v>
      </c>
      <c r="X3" s="208">
        <v>45707</v>
      </c>
      <c r="Y3" s="207"/>
      <c r="Z3" s="207"/>
      <c r="AA3" s="207"/>
      <c r="AB3" s="273"/>
      <c r="AC3" s="194"/>
      <c r="AD3" s="194"/>
      <c r="AE3" s="194"/>
      <c r="AF3" s="194"/>
      <c r="AG3" s="194"/>
      <c r="AH3" s="194"/>
      <c r="AI3" s="194"/>
      <c r="AJ3" s="194"/>
      <c r="AK3" s="194"/>
      <c r="AL3" s="194"/>
      <c r="AM3" s="194"/>
      <c r="AN3" s="194"/>
      <c r="AO3" s="194"/>
      <c r="AP3" s="194"/>
      <c r="AQ3" s="194"/>
      <c r="AR3" s="194"/>
      <c r="AS3" s="194"/>
      <c r="AT3" s="194"/>
    </row>
    <row r="4" spans="1:105" ht="35.25">
      <c r="A4" s="271">
        <v>3</v>
      </c>
      <c r="B4" s="278" t="str">
        <f>Dashboard!$J$1</f>
        <v>Meal Order</v>
      </c>
      <c r="C4" s="311">
        <f ca="1">Dashboard!$F$1</f>
        <v>46157</v>
      </c>
      <c r="D4" s="370">
        <f ca="1">Dashboard!$H$1</f>
        <v>46170</v>
      </c>
      <c r="E4" s="204" t="s">
        <v>889</v>
      </c>
      <c r="F4" s="204" t="s">
        <v>272</v>
      </c>
      <c r="G4" s="204">
        <v>47151</v>
      </c>
      <c r="H4" s="207" t="s">
        <v>802</v>
      </c>
      <c r="I4" s="204" t="s">
        <v>274</v>
      </c>
      <c r="J4" s="204">
        <v>13</v>
      </c>
      <c r="K4" s="193">
        <v>4.75</v>
      </c>
      <c r="L4" s="204">
        <v>19</v>
      </c>
      <c r="M4" s="207"/>
      <c r="N4" s="207"/>
      <c r="O4" s="207"/>
      <c r="P4" s="207"/>
      <c r="Q4" s="279"/>
      <c r="R4" s="236"/>
      <c r="S4" s="194"/>
      <c r="T4" s="194"/>
      <c r="U4" s="194"/>
      <c r="V4" s="374"/>
      <c r="W4" s="207"/>
      <c r="X4" s="208"/>
      <c r="Y4" s="207"/>
      <c r="Z4" s="207"/>
      <c r="AA4" s="207"/>
      <c r="AB4" s="279" t="s">
        <v>892</v>
      </c>
      <c r="AC4" s="312"/>
      <c r="AD4" s="312"/>
      <c r="AE4" s="312"/>
      <c r="AF4" s="312"/>
      <c r="AG4" s="312"/>
      <c r="AH4" s="312"/>
      <c r="AI4" s="312"/>
      <c r="AJ4" s="312"/>
      <c r="AK4" s="312"/>
      <c r="AL4" s="312"/>
      <c r="AM4" s="312"/>
      <c r="AN4" s="312"/>
      <c r="AO4" s="312"/>
      <c r="AP4" s="312"/>
      <c r="AQ4" s="312"/>
      <c r="AR4" s="312"/>
      <c r="AS4" s="312"/>
      <c r="AT4" s="312"/>
    </row>
    <row r="5" spans="1:105" ht="29.25" customHeight="1">
      <c r="A5" s="271">
        <v>4</v>
      </c>
      <c r="B5" s="278" t="str">
        <f>Dashboard!$J$1</f>
        <v>Meal Order</v>
      </c>
      <c r="C5" s="311">
        <f ca="1">Dashboard!$F$1</f>
        <v>46157</v>
      </c>
      <c r="D5" s="311">
        <f ca="1">Dashboard!$H$1</f>
        <v>46170</v>
      </c>
      <c r="E5" s="204" t="s">
        <v>889</v>
      </c>
      <c r="F5" s="204" t="s">
        <v>417</v>
      </c>
      <c r="G5" s="204">
        <v>30125</v>
      </c>
      <c r="H5" s="207" t="s">
        <v>893</v>
      </c>
      <c r="I5" s="371" t="s">
        <v>274</v>
      </c>
      <c r="J5" s="204">
        <v>13</v>
      </c>
      <c r="K5" s="204"/>
      <c r="L5" s="172">
        <v>64</v>
      </c>
      <c r="M5" s="207"/>
      <c r="N5" s="207"/>
      <c r="O5" s="207"/>
      <c r="P5" s="207"/>
      <c r="Q5" s="279"/>
      <c r="R5" s="236"/>
      <c r="S5" s="194"/>
      <c r="T5" s="194"/>
      <c r="U5" s="194"/>
      <c r="V5" s="374"/>
      <c r="W5" s="207"/>
      <c r="X5" s="208"/>
      <c r="Y5" s="207"/>
      <c r="Z5" s="207"/>
      <c r="AA5" s="207"/>
      <c r="AB5" s="379"/>
      <c r="AC5" s="312"/>
      <c r="AD5" s="312"/>
      <c r="AE5" s="312"/>
      <c r="AF5" s="312"/>
      <c r="AG5" s="312"/>
      <c r="AH5" s="312"/>
      <c r="AI5" s="312"/>
      <c r="AJ5" s="312"/>
      <c r="AK5" s="312"/>
      <c r="AL5" s="312"/>
      <c r="AM5" s="312"/>
      <c r="AN5" s="312"/>
      <c r="AO5" s="312"/>
      <c r="AP5" s="312"/>
      <c r="AQ5" s="312"/>
      <c r="AR5" s="312"/>
      <c r="AS5" s="312"/>
      <c r="AT5" s="312"/>
    </row>
    <row r="6" spans="1:105" ht="23.25">
      <c r="A6" s="271">
        <v>5</v>
      </c>
      <c r="B6" s="278" t="str">
        <f>Dashboard!$J$1</f>
        <v>Meal Order</v>
      </c>
      <c r="C6" s="311">
        <f ca="1">Dashboard!$F$1</f>
        <v>46157</v>
      </c>
      <c r="D6" s="311">
        <f ca="1">Dashboard!$H$1</f>
        <v>46170</v>
      </c>
      <c r="E6" s="172" t="s">
        <v>97</v>
      </c>
      <c r="F6" s="204" t="s">
        <v>894</v>
      </c>
      <c r="G6" s="204">
        <v>24571</v>
      </c>
      <c r="H6" s="207" t="s">
        <v>895</v>
      </c>
      <c r="I6" s="367" t="s">
        <v>295</v>
      </c>
      <c r="J6" s="204">
        <v>2</v>
      </c>
      <c r="K6" s="204">
        <v>2</v>
      </c>
      <c r="L6" s="204">
        <v>13</v>
      </c>
      <c r="M6" s="207" t="s">
        <v>13</v>
      </c>
      <c r="N6" s="207"/>
      <c r="O6" s="207"/>
      <c r="P6" s="207" t="s">
        <v>441</v>
      </c>
      <c r="Q6" s="279"/>
      <c r="R6" s="236" t="s">
        <v>896</v>
      </c>
      <c r="S6" s="208">
        <v>45707</v>
      </c>
      <c r="T6" s="208">
        <v>45707</v>
      </c>
      <c r="U6" s="194" t="s">
        <v>287</v>
      </c>
      <c r="V6" s="374"/>
      <c r="W6" s="207" t="s">
        <v>441</v>
      </c>
      <c r="X6" s="208">
        <v>45707</v>
      </c>
      <c r="Y6" s="207"/>
      <c r="Z6" s="207"/>
      <c r="AA6" s="207"/>
      <c r="AB6" s="279"/>
    </row>
    <row r="7" spans="1:105" ht="35.25">
      <c r="A7" s="278">
        <v>6</v>
      </c>
      <c r="B7" s="278" t="str">
        <f>Dashboard!$J$1</f>
        <v>Meal Order</v>
      </c>
      <c r="C7" s="311">
        <f ca="1">Dashboard!$F$1</f>
        <v>46157</v>
      </c>
      <c r="D7" s="311">
        <f ca="1">Dashboard!$H$1</f>
        <v>46170</v>
      </c>
      <c r="E7" s="204" t="s">
        <v>889</v>
      </c>
      <c r="F7" s="204" t="s">
        <v>897</v>
      </c>
      <c r="G7" s="204">
        <v>47192</v>
      </c>
      <c r="H7" s="207" t="s">
        <v>898</v>
      </c>
      <c r="I7" s="367" t="s">
        <v>280</v>
      </c>
      <c r="J7" s="204">
        <v>1</v>
      </c>
      <c r="K7" s="204">
        <v>1</v>
      </c>
      <c r="L7" s="204">
        <v>6</v>
      </c>
      <c r="M7" s="207" t="s">
        <v>13</v>
      </c>
      <c r="N7" s="207"/>
      <c r="O7" s="207"/>
      <c r="P7" s="207" t="s">
        <v>441</v>
      </c>
      <c r="Q7" s="279"/>
      <c r="R7" s="236" t="s">
        <v>891</v>
      </c>
      <c r="S7" s="208">
        <v>45707</v>
      </c>
      <c r="T7" s="208">
        <v>45707</v>
      </c>
      <c r="U7" s="194" t="s">
        <v>287</v>
      </c>
      <c r="V7" s="374"/>
      <c r="W7" s="207" t="s">
        <v>441</v>
      </c>
      <c r="X7" s="208">
        <v>45707</v>
      </c>
      <c r="Y7" s="207"/>
      <c r="Z7" s="207"/>
      <c r="AA7" s="207"/>
      <c r="AB7" s="279"/>
    </row>
    <row r="8" spans="1:105" ht="23.25">
      <c r="A8" s="278">
        <v>7</v>
      </c>
      <c r="B8" s="278" t="str">
        <f>Dashboard!$J$1</f>
        <v>Meal Order</v>
      </c>
      <c r="C8" s="311">
        <f ca="1">Dashboard!$F$1</f>
        <v>46157</v>
      </c>
      <c r="D8" s="311">
        <f ca="1">Dashboard!$H$1</f>
        <v>46170</v>
      </c>
      <c r="E8" s="204" t="s">
        <v>97</v>
      </c>
      <c r="F8" s="204" t="s">
        <v>275</v>
      </c>
      <c r="G8" s="204">
        <v>47108</v>
      </c>
      <c r="H8" s="207" t="s">
        <v>899</v>
      </c>
      <c r="I8" s="204" t="s">
        <v>381</v>
      </c>
      <c r="J8" s="204">
        <v>1</v>
      </c>
      <c r="K8" s="204"/>
      <c r="L8" s="204">
        <v>6</v>
      </c>
      <c r="M8" s="207"/>
      <c r="N8" s="207"/>
      <c r="O8" s="207"/>
      <c r="P8" s="207"/>
      <c r="Q8" s="279"/>
      <c r="R8" s="236"/>
      <c r="S8" s="194"/>
      <c r="T8" s="194"/>
      <c r="U8" s="194"/>
      <c r="V8" s="374"/>
      <c r="W8" s="207"/>
      <c r="X8" s="208"/>
      <c r="Y8" s="207"/>
      <c r="Z8" s="207"/>
      <c r="AA8" s="207"/>
      <c r="AB8" s="279" t="s">
        <v>900</v>
      </c>
    </row>
  </sheetData>
  <hyperlinks>
    <hyperlink ref="R2" r:id="rId1" xr:uid="{7F3F191A-FAF6-4B1B-9021-7BE992FF636A}"/>
    <hyperlink ref="R7" r:id="rId2" xr:uid="{D4C184E5-8B9A-4630-AAEE-76D898D30B1E}"/>
    <hyperlink ref="R3" r:id="rId3" xr:uid="{121F43DE-4321-47CF-B683-287CFEFA2420}"/>
    <hyperlink ref="R6" r:id="rId4" xr:uid="{D6CA2CA3-35B3-4C30-BE3D-767711AA2C0E}"/>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1C0C9AE9-349B-4D58-9E17-20FF3DFD01B2}">
          <x14:formula1>
            <xm:f>Settings!$C$3:$C$20</xm:f>
          </x14:formula1>
          <xm:sqref>I2:I8</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D0002-BB63-41FA-8E3D-42D5C8DE11B9}">
  <sheetPr>
    <outlinePr summaryBelow="0" summaryRight="0"/>
  </sheetPr>
  <dimension ref="A1:AC991"/>
  <sheetViews>
    <sheetView topLeftCell="B1" workbookViewId="0">
      <selection activeCell="F2" sqref="F2"/>
    </sheetView>
  </sheetViews>
  <sheetFormatPr defaultColWidth="12.5703125" defaultRowHeight="15" customHeight="1"/>
  <cols>
    <col min="1" max="1" width="12.5703125" style="70" hidden="1" customWidth="1"/>
    <col min="2" max="2" width="11.7109375" style="70" customWidth="1"/>
    <col min="3" max="3" width="11.7109375" style="48" customWidth="1"/>
    <col min="4" max="4" width="14.42578125" style="48" customWidth="1"/>
    <col min="5" max="5" width="12.85546875" style="48" bestFit="1" customWidth="1"/>
    <col min="6" max="6" width="14.85546875" style="70" customWidth="1"/>
    <col min="7" max="7" width="41.140625" style="70" customWidth="1"/>
    <col min="8" max="8" width="8.85546875" style="48" bestFit="1" customWidth="1"/>
    <col min="9" max="9" width="18.7109375" style="48" customWidth="1"/>
    <col min="10" max="10" width="9.140625" style="48" bestFit="1" customWidth="1"/>
    <col min="11" max="11" width="14.42578125" style="48" customWidth="1"/>
    <col min="12" max="12" width="19" style="48" customWidth="1"/>
    <col min="13" max="13" width="18" style="48" customWidth="1"/>
    <col min="14" max="14" width="56" style="48" customWidth="1"/>
    <col min="15" max="16384" width="12.5703125" style="70"/>
  </cols>
  <sheetData>
    <row r="1" spans="1:29" ht="27">
      <c r="A1" s="360" t="s">
        <v>243</v>
      </c>
      <c r="B1" s="1" t="s">
        <v>11</v>
      </c>
      <c r="C1" s="1" t="s">
        <v>297</v>
      </c>
      <c r="D1" s="1" t="s">
        <v>298</v>
      </c>
      <c r="E1" s="1" t="s">
        <v>245</v>
      </c>
      <c r="F1" s="1" t="s">
        <v>299</v>
      </c>
      <c r="G1" s="1" t="s">
        <v>300</v>
      </c>
      <c r="H1" s="1" t="s">
        <v>301</v>
      </c>
      <c r="I1" s="1" t="s">
        <v>302</v>
      </c>
      <c r="J1" s="1" t="s">
        <v>303</v>
      </c>
      <c r="K1" s="1" t="s">
        <v>304</v>
      </c>
      <c r="L1" s="1" t="s">
        <v>248</v>
      </c>
      <c r="M1" s="130" t="s">
        <v>305</v>
      </c>
      <c r="N1" s="372" t="s">
        <v>306</v>
      </c>
      <c r="O1" s="219"/>
      <c r="P1" s="219"/>
      <c r="Q1" s="219"/>
      <c r="R1" s="219"/>
      <c r="S1" s="219"/>
      <c r="T1" s="219"/>
      <c r="U1" s="219"/>
      <c r="V1" s="219"/>
      <c r="W1" s="219"/>
      <c r="X1" s="219"/>
      <c r="Y1" s="219"/>
      <c r="Z1" s="219"/>
      <c r="AA1" s="219"/>
      <c r="AB1" s="219"/>
      <c r="AC1" s="219"/>
    </row>
    <row r="2" spans="1:29" s="48" customFormat="1" ht="33.75" customHeight="1">
      <c r="B2" s="375" t="s">
        <v>97</v>
      </c>
      <c r="C2" s="376">
        <v>24571</v>
      </c>
      <c r="D2" s="376"/>
      <c r="E2" s="375" t="s">
        <v>287</v>
      </c>
      <c r="F2" s="375" t="s">
        <v>715</v>
      </c>
      <c r="G2" s="136" t="s">
        <v>895</v>
      </c>
      <c r="H2" s="375" t="s">
        <v>307</v>
      </c>
      <c r="I2" s="375" t="s">
        <v>336</v>
      </c>
      <c r="J2" s="375" t="s">
        <v>311</v>
      </c>
      <c r="K2" s="375" t="s">
        <v>779</v>
      </c>
      <c r="L2" s="375" t="s">
        <v>780</v>
      </c>
      <c r="M2" s="377" t="s">
        <v>859</v>
      </c>
      <c r="N2" s="136" t="s">
        <v>901</v>
      </c>
    </row>
    <row r="3" spans="1:29" ht="23.25">
      <c r="B3" s="375" t="s">
        <v>97</v>
      </c>
      <c r="C3" s="83">
        <v>47110</v>
      </c>
      <c r="D3" s="83">
        <v>47110</v>
      </c>
      <c r="E3" s="83" t="s">
        <v>275</v>
      </c>
      <c r="F3" s="222" t="s">
        <v>375</v>
      </c>
      <c r="G3" s="299" t="s">
        <v>886</v>
      </c>
      <c r="H3" s="83" t="s">
        <v>307</v>
      </c>
      <c r="I3" s="83" t="s">
        <v>336</v>
      </c>
      <c r="J3" s="375" t="s">
        <v>371</v>
      </c>
      <c r="K3" s="375" t="s">
        <v>618</v>
      </c>
      <c r="L3" s="83" t="s">
        <v>780</v>
      </c>
      <c r="M3" s="377" t="s">
        <v>902</v>
      </c>
      <c r="N3" s="127" t="s">
        <v>903</v>
      </c>
    </row>
    <row r="4" spans="1:29" ht="15.75" customHeight="1">
      <c r="B4" s="67"/>
      <c r="C4" s="83"/>
      <c r="D4" s="83"/>
      <c r="E4" s="83"/>
      <c r="F4" s="222"/>
      <c r="G4" s="67"/>
      <c r="H4" s="83"/>
      <c r="I4" s="83"/>
      <c r="J4" s="83"/>
      <c r="K4" s="83"/>
      <c r="L4" s="83"/>
      <c r="M4" s="83"/>
      <c r="N4" s="83"/>
    </row>
    <row r="5" spans="1:29" ht="15.75" customHeight="1">
      <c r="B5" s="67"/>
      <c r="C5" s="83"/>
      <c r="D5" s="83"/>
      <c r="E5" s="83"/>
      <c r="F5" s="222"/>
      <c r="G5" s="67"/>
      <c r="H5" s="83"/>
      <c r="I5" s="83"/>
      <c r="J5" s="83"/>
      <c r="K5" s="83"/>
      <c r="L5" s="83"/>
      <c r="M5" s="83"/>
      <c r="N5" s="83"/>
    </row>
    <row r="6" spans="1:29" ht="15.75" customHeight="1">
      <c r="B6" s="67"/>
      <c r="C6" s="83"/>
      <c r="D6" s="83"/>
      <c r="E6" s="83"/>
      <c r="F6" s="222"/>
      <c r="G6" s="67"/>
      <c r="H6" s="83"/>
      <c r="I6" s="83"/>
      <c r="J6" s="83"/>
      <c r="K6" s="83"/>
      <c r="L6" s="83"/>
      <c r="M6" s="83"/>
      <c r="N6" s="83"/>
    </row>
    <row r="7" spans="1:29" ht="15.75" customHeight="1">
      <c r="B7" s="67"/>
      <c r="C7" s="83"/>
      <c r="D7" s="83"/>
      <c r="E7" s="83"/>
      <c r="F7" s="222"/>
      <c r="G7" s="67"/>
      <c r="H7" s="83"/>
      <c r="I7" s="83"/>
      <c r="J7" s="83"/>
      <c r="K7" s="83"/>
      <c r="L7" s="83"/>
      <c r="M7" s="83"/>
      <c r="N7" s="83"/>
    </row>
    <row r="8" spans="1:29" ht="15.75" customHeight="1">
      <c r="B8" s="67"/>
      <c r="C8" s="83"/>
      <c r="D8" s="83"/>
      <c r="E8" s="83"/>
      <c r="F8" s="222"/>
      <c r="G8" s="67"/>
      <c r="H8" s="83"/>
      <c r="I8" s="83"/>
      <c r="J8" s="83"/>
      <c r="K8" s="83"/>
      <c r="L8" s="83"/>
      <c r="M8" s="83"/>
      <c r="N8" s="83"/>
    </row>
    <row r="9" spans="1:29" ht="15.75" customHeight="1">
      <c r="B9" s="67"/>
      <c r="C9" s="83"/>
      <c r="D9" s="83"/>
      <c r="E9" s="83"/>
      <c r="F9" s="222"/>
      <c r="G9" s="67"/>
      <c r="H9" s="83"/>
      <c r="I9" s="83"/>
      <c r="J9" s="83"/>
      <c r="K9" s="83"/>
      <c r="L9" s="127"/>
      <c r="M9" s="83"/>
      <c r="N9" s="83"/>
    </row>
    <row r="10" spans="1:29" ht="15.75" customHeight="1">
      <c r="B10" s="67"/>
      <c r="C10" s="83"/>
      <c r="D10" s="83"/>
      <c r="E10" s="83"/>
      <c r="F10" s="222"/>
      <c r="G10" s="67"/>
      <c r="H10" s="83"/>
      <c r="I10" s="83"/>
      <c r="J10" s="83"/>
      <c r="K10" s="83"/>
      <c r="L10" s="83"/>
      <c r="M10" s="83"/>
      <c r="N10" s="83"/>
    </row>
    <row r="11" spans="1:29" ht="15.75" customHeight="1">
      <c r="B11" s="67"/>
      <c r="C11" s="83"/>
      <c r="D11" s="83"/>
      <c r="E11" s="83"/>
      <c r="F11" s="375"/>
      <c r="G11" s="67"/>
      <c r="H11" s="83"/>
      <c r="I11" s="83"/>
      <c r="J11" s="83"/>
      <c r="K11" s="83"/>
      <c r="L11" s="83"/>
      <c r="M11" s="83"/>
      <c r="N11" s="83"/>
    </row>
    <row r="12" spans="1:29" ht="15.75" customHeight="1">
      <c r="B12" s="67"/>
      <c r="C12" s="83"/>
      <c r="D12" s="83"/>
      <c r="E12" s="89"/>
      <c r="F12" s="222"/>
      <c r="G12" s="357"/>
      <c r="H12" s="83"/>
      <c r="I12" s="83"/>
      <c r="J12" s="83"/>
      <c r="K12" s="83"/>
      <c r="L12" s="83"/>
      <c r="M12" s="83"/>
      <c r="N12" s="83"/>
    </row>
    <row r="13" spans="1:29" ht="15.75" customHeight="1">
      <c r="F13" s="210"/>
      <c r="O13" s="168"/>
    </row>
    <row r="14" spans="1:29" ht="15.75" customHeight="1">
      <c r="F14" s="210"/>
    </row>
    <row r="15" spans="1:29" ht="15.75" customHeight="1">
      <c r="F15" s="210"/>
    </row>
    <row r="16" spans="1:29" ht="15.75" customHeight="1">
      <c r="F16" s="210"/>
    </row>
    <row r="17" spans="6:6" ht="15.75" customHeight="1">
      <c r="F17" s="210"/>
    </row>
    <row r="18" spans="6:6" ht="15.75" customHeight="1">
      <c r="F18" s="210"/>
    </row>
    <row r="19" spans="6:6" ht="15.75" customHeight="1">
      <c r="F19" s="210"/>
    </row>
    <row r="20" spans="6:6" ht="15.75" customHeight="1">
      <c r="F20" s="210"/>
    </row>
    <row r="21" spans="6:6" ht="15.75" customHeight="1">
      <c r="F21" s="210"/>
    </row>
    <row r="22" spans="6:6" ht="15.75" customHeight="1">
      <c r="F22" s="210"/>
    </row>
    <row r="23" spans="6:6" ht="15.75" customHeight="1">
      <c r="F23" s="210"/>
    </row>
    <row r="24" spans="6:6" ht="15.75" customHeight="1"/>
    <row r="25" spans="6:6" ht="15.75" customHeight="1"/>
    <row r="26" spans="6:6" ht="15.75" customHeight="1"/>
    <row r="27" spans="6:6" ht="15.75" customHeight="1"/>
    <row r="28" spans="6:6" ht="15.75" customHeight="1"/>
    <row r="29" spans="6:6" ht="15.75" customHeight="1"/>
    <row r="30" spans="6:6" ht="15.75" customHeight="1"/>
    <row r="31" spans="6:6" ht="15.75" customHeight="1"/>
    <row r="32" spans="6: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N1" xr:uid="{3A2BB050-11AC-4ED7-A296-96B42C7FCFBA}"/>
  <dataValidations count="7">
    <dataValidation type="list" allowBlank="1" showErrorMessage="1" sqref="F2:F23" xr:uid="{C96DC81F-3112-410C-9D10-99B73CE0164D}">
      <formula1>"Bounceback,Defect,None"</formula1>
    </dataValidation>
    <dataValidation type="list" allowBlank="1" showErrorMessage="1" sqref="L2" xr:uid="{B2BB851B-BC00-4EA2-860F-C0DD2F4106EC}">
      <formula1>"Open,Inprogress,Closed"</formula1>
    </dataValidation>
    <dataValidation type="list" allowBlank="1" showErrorMessage="1" sqref="M2:M3" xr:uid="{2590FAEF-DBDD-40D9-A742-50603590954E}">
      <formula1>"Enhancements, Existing_Issues, Requirement Related, QA, Design, Documentation, Development, Project_Management, Environment_Related"</formula1>
    </dataValidation>
    <dataValidation type="list" allowBlank="1" showErrorMessage="1" sqref="I2" xr:uid="{19CCFB87-CD9D-46FD-8982-2B14F3CF0003}">
      <formula1>"Manual, Automation"</formula1>
    </dataValidation>
    <dataValidation type="list" allowBlank="1" showErrorMessage="1" sqref="H2" xr:uid="{92897428-9EF3-4ECD-B439-11FE3F4D76A7}">
      <formula1>"Minor,Significant,Major"</formula1>
    </dataValidation>
    <dataValidation type="list" allowBlank="1" showErrorMessage="1" sqref="J2:J3" xr:uid="{A05BDCB3-3E01-4CA1-B998-39D46D77AD2B}">
      <formula1>"Internal,External"</formula1>
    </dataValidation>
    <dataValidation type="list" allowBlank="1" showErrorMessage="1" sqref="K2:K12" xr:uid="{DD833359-7D07-42B4-A202-86F05A07CDA0}">
      <formula1>"Client, Relevantz"</formula1>
    </dataValidation>
  </dataValidations>
  <pageMargins left="0" right="0" top="0" bottom="0" header="0" footer="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F27F-054C-4429-ACF3-2CD90FE0F9B4}">
  <dimension ref="A1:DA14"/>
  <sheetViews>
    <sheetView workbookViewId="0">
      <pane xSplit="9" topLeftCell="J8" activePane="topRight" state="frozen"/>
      <selection pane="topRight" activeCell="AB8" sqref="AB8"/>
    </sheetView>
  </sheetViews>
  <sheetFormatPr defaultRowHeight="12.75"/>
  <cols>
    <col min="1" max="1" width="7.7109375" style="133" bestFit="1" customWidth="1"/>
    <col min="2" max="2" width="12" style="133" customWidth="1"/>
    <col min="3" max="3" width="11.7109375" style="133" customWidth="1"/>
    <col min="4" max="4" width="8.7109375" style="133" customWidth="1"/>
    <col min="5" max="5" width="11.85546875" style="133" customWidth="1"/>
    <col min="6" max="6" width="12.42578125" style="133" bestFit="1" customWidth="1"/>
    <col min="7" max="7" width="11.85546875" style="133" customWidth="1"/>
    <col min="8" max="8" width="43.28515625" style="168" customWidth="1"/>
    <col min="9" max="9" width="18.5703125" style="133" customWidth="1"/>
    <col min="10" max="10" width="12.42578125" style="133" customWidth="1"/>
    <col min="11" max="11" width="11.42578125" style="133" bestFit="1" customWidth="1"/>
    <col min="12" max="12" width="11.42578125" style="133" customWidth="1"/>
    <col min="13" max="13" width="12.42578125" style="168" bestFit="1" customWidth="1"/>
    <col min="14" max="14" width="16.7109375" style="168" customWidth="1"/>
    <col min="15" max="15" width="14.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16384" width="9.140625" style="168"/>
  </cols>
  <sheetData>
    <row r="1" spans="1:105" ht="46.5">
      <c r="A1" s="274" t="s">
        <v>243</v>
      </c>
      <c r="B1" s="88" t="s">
        <v>4</v>
      </c>
      <c r="C1" s="88" t="s">
        <v>2</v>
      </c>
      <c r="D1" s="88" t="s">
        <v>3</v>
      </c>
      <c r="E1" s="275" t="s">
        <v>244</v>
      </c>
      <c r="F1" s="275" t="s">
        <v>245</v>
      </c>
      <c r="G1" s="275" t="s">
        <v>246</v>
      </c>
      <c r="H1" s="276" t="s">
        <v>247</v>
      </c>
      <c r="I1" s="275" t="s">
        <v>248</v>
      </c>
      <c r="J1" s="1" t="s">
        <v>249</v>
      </c>
      <c r="K1" s="1" t="s">
        <v>250</v>
      </c>
      <c r="L1" s="1"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row>
    <row r="2" spans="1:105" ht="23.25">
      <c r="A2" s="271">
        <v>1</v>
      </c>
      <c r="B2" s="278" t="str">
        <f>Dashboard!$J$1</f>
        <v>Meal Order</v>
      </c>
      <c r="C2" s="311">
        <f ca="1">Dashboard!$F$1</f>
        <v>46157</v>
      </c>
      <c r="D2" s="311">
        <f ca="1">Dashboard!$H$1</f>
        <v>46170</v>
      </c>
      <c r="E2" s="169" t="s">
        <v>93</v>
      </c>
      <c r="F2" s="193" t="s">
        <v>595</v>
      </c>
      <c r="G2" s="193">
        <v>46887</v>
      </c>
      <c r="H2" s="194" t="s">
        <v>904</v>
      </c>
      <c r="I2" s="365" t="s">
        <v>905</v>
      </c>
      <c r="J2" s="193">
        <v>5</v>
      </c>
      <c r="K2" s="193">
        <v>5</v>
      </c>
      <c r="L2" s="193">
        <v>11</v>
      </c>
      <c r="M2" s="194"/>
      <c r="N2" s="194"/>
      <c r="O2" s="194"/>
      <c r="P2" s="194"/>
      <c r="Q2" s="194"/>
      <c r="R2" s="236"/>
      <c r="S2" s="208"/>
      <c r="T2" s="207"/>
      <c r="U2" s="194"/>
      <c r="V2" s="194"/>
      <c r="W2" s="194"/>
      <c r="X2" s="206"/>
      <c r="Y2" s="194"/>
      <c r="Z2" s="194"/>
      <c r="AA2" s="194"/>
      <c r="AB2" s="273"/>
      <c r="AC2" s="312"/>
      <c r="AD2" s="312"/>
      <c r="AE2" s="312"/>
      <c r="AF2" s="312"/>
      <c r="AG2" s="312"/>
      <c r="AH2" s="312"/>
      <c r="AI2" s="312"/>
      <c r="AJ2" s="312"/>
      <c r="AK2" s="312"/>
      <c r="AL2" s="312"/>
      <c r="AM2" s="312"/>
      <c r="AN2" s="312"/>
      <c r="AO2" s="312"/>
      <c r="AP2" s="312"/>
      <c r="AQ2" s="312"/>
      <c r="AR2" s="312"/>
      <c r="AS2" s="312"/>
      <c r="AT2" s="312"/>
      <c r="AU2" s="312"/>
      <c r="AV2" s="312"/>
      <c r="AW2" s="312"/>
      <c r="AX2" s="312"/>
      <c r="AY2" s="312"/>
      <c r="AZ2" s="312"/>
      <c r="BA2" s="312"/>
      <c r="BB2" s="312"/>
      <c r="BC2" s="312"/>
      <c r="BD2" s="312"/>
      <c r="BE2" s="312"/>
      <c r="BF2" s="312"/>
      <c r="BG2" s="312"/>
      <c r="BH2" s="312"/>
      <c r="BI2" s="312"/>
      <c r="BJ2" s="312"/>
      <c r="BK2" s="312"/>
      <c r="BL2" s="312"/>
      <c r="BM2" s="312"/>
      <c r="BN2" s="312"/>
      <c r="BO2" s="312"/>
      <c r="BP2" s="312"/>
      <c r="BQ2" s="312"/>
      <c r="BR2" s="312"/>
      <c r="BS2" s="312"/>
      <c r="BT2" s="312"/>
      <c r="BU2" s="312"/>
      <c r="BV2" s="312"/>
      <c r="BW2" s="312"/>
      <c r="BX2" s="312"/>
      <c r="BY2" s="312"/>
      <c r="BZ2" s="312"/>
      <c r="CA2" s="312"/>
      <c r="CB2" s="312"/>
      <c r="CC2" s="312"/>
      <c r="CD2" s="312"/>
      <c r="CE2" s="312"/>
      <c r="CF2" s="312"/>
      <c r="CG2" s="312"/>
      <c r="CH2" s="312"/>
      <c r="CI2" s="312"/>
      <c r="CJ2" s="312"/>
      <c r="CK2" s="312"/>
      <c r="CL2" s="312"/>
      <c r="CM2" s="312"/>
      <c r="CN2" s="312"/>
      <c r="CO2" s="312"/>
      <c r="CP2" s="312"/>
      <c r="CQ2" s="312"/>
      <c r="CR2" s="312"/>
      <c r="CS2" s="312"/>
      <c r="CT2" s="312"/>
      <c r="CU2" s="312"/>
      <c r="CV2" s="312"/>
      <c r="CW2" s="312"/>
      <c r="CX2" s="312"/>
      <c r="CY2" s="312"/>
      <c r="CZ2" s="312"/>
      <c r="DA2" s="312"/>
    </row>
    <row r="3" spans="1:105" ht="23.25">
      <c r="A3" s="271">
        <v>2</v>
      </c>
      <c r="B3" s="278" t="str">
        <f>Dashboard!$J$1</f>
        <v>Meal Order</v>
      </c>
      <c r="C3" s="311">
        <f ca="1">Dashboard!$F$1</f>
        <v>46157</v>
      </c>
      <c r="D3" s="311">
        <f ca="1">Dashboard!$H$1</f>
        <v>46170</v>
      </c>
      <c r="E3" s="169" t="s">
        <v>93</v>
      </c>
      <c r="F3" s="193" t="s">
        <v>595</v>
      </c>
      <c r="G3" s="193">
        <v>46890</v>
      </c>
      <c r="H3" s="194" t="s">
        <v>906</v>
      </c>
      <c r="I3" s="365" t="s">
        <v>905</v>
      </c>
      <c r="J3" s="193">
        <v>8</v>
      </c>
      <c r="K3" s="193">
        <v>8</v>
      </c>
      <c r="L3" s="204">
        <v>20</v>
      </c>
      <c r="M3" s="194"/>
      <c r="N3" s="194"/>
      <c r="O3" s="194"/>
      <c r="P3" s="194"/>
      <c r="Q3" s="194"/>
      <c r="R3" s="236"/>
      <c r="S3" s="208"/>
      <c r="T3" s="207"/>
      <c r="U3" s="194"/>
      <c r="V3" s="194"/>
      <c r="W3" s="194"/>
      <c r="X3" s="206"/>
      <c r="Y3" s="194"/>
      <c r="Z3" s="194"/>
      <c r="AA3" s="194"/>
      <c r="AB3" s="273"/>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2"/>
      <c r="BP3" s="312"/>
      <c r="BQ3" s="312"/>
      <c r="BR3" s="312"/>
      <c r="BS3" s="312"/>
      <c r="BT3" s="312"/>
      <c r="BU3" s="312"/>
      <c r="BV3" s="312"/>
      <c r="BW3" s="312"/>
      <c r="BX3" s="312"/>
      <c r="BY3" s="312"/>
      <c r="BZ3" s="312"/>
      <c r="CA3" s="312"/>
      <c r="CB3" s="312"/>
      <c r="CC3" s="312"/>
      <c r="CD3" s="312"/>
      <c r="CE3" s="312"/>
      <c r="CF3" s="312"/>
      <c r="CG3" s="312"/>
      <c r="CH3" s="312"/>
      <c r="CI3" s="312"/>
      <c r="CJ3" s="312"/>
      <c r="CK3" s="312"/>
      <c r="CL3" s="312"/>
      <c r="CM3" s="312"/>
      <c r="CN3" s="312"/>
      <c r="CO3" s="312"/>
      <c r="CP3" s="312"/>
      <c r="CQ3" s="312"/>
      <c r="CR3" s="312"/>
      <c r="CS3" s="312"/>
      <c r="CT3" s="312"/>
      <c r="CU3" s="312"/>
      <c r="CV3" s="312"/>
      <c r="CW3" s="312"/>
      <c r="CX3" s="312"/>
      <c r="CY3" s="312"/>
      <c r="CZ3" s="312"/>
      <c r="DA3" s="312"/>
    </row>
    <row r="4" spans="1:105" s="194" customFormat="1" ht="35.25">
      <c r="A4" s="193">
        <v>3</v>
      </c>
      <c r="B4" s="271" t="str">
        <f>Dashboard!$J$1</f>
        <v>Meal Order</v>
      </c>
      <c r="C4" s="310">
        <f ca="1">Dashboard!$F$1</f>
        <v>46157</v>
      </c>
      <c r="D4" s="310">
        <f ca="1">Dashboard!$H$1</f>
        <v>46170</v>
      </c>
      <c r="E4" s="169" t="s">
        <v>93</v>
      </c>
      <c r="F4" s="292" t="s">
        <v>275</v>
      </c>
      <c r="G4" s="193">
        <v>24526</v>
      </c>
      <c r="H4" s="290" t="s">
        <v>907</v>
      </c>
      <c r="I4" s="293" t="s">
        <v>295</v>
      </c>
      <c r="J4" s="204">
        <v>1</v>
      </c>
      <c r="K4" s="204">
        <v>1</v>
      </c>
      <c r="L4" s="204">
        <v>3</v>
      </c>
      <c r="N4" s="207"/>
      <c r="O4" s="207"/>
      <c r="P4" s="321" t="s">
        <v>287</v>
      </c>
      <c r="Q4" s="207"/>
      <c r="R4" s="253" t="s">
        <v>908</v>
      </c>
      <c r="S4" s="280">
        <v>45678</v>
      </c>
      <c r="T4" s="280">
        <v>45678</v>
      </c>
      <c r="U4" s="207" t="s">
        <v>287</v>
      </c>
      <c r="V4" s="207"/>
      <c r="W4" s="194" t="s">
        <v>441</v>
      </c>
      <c r="X4" s="280">
        <v>45678</v>
      </c>
      <c r="Y4" s="207"/>
      <c r="Z4" s="207"/>
      <c r="AA4" s="207"/>
      <c r="AB4" s="279"/>
    </row>
    <row r="5" spans="1:105" ht="23.25">
      <c r="A5" s="278">
        <v>4</v>
      </c>
      <c r="B5" s="278" t="str">
        <f>Dashboard!$J$1</f>
        <v>Meal Order</v>
      </c>
      <c r="C5" s="311">
        <f ca="1">Dashboard!$F$1</f>
        <v>46157</v>
      </c>
      <c r="D5" s="311">
        <f ca="1">Dashboard!$H$1</f>
        <v>46170</v>
      </c>
      <c r="E5" s="169" t="s">
        <v>93</v>
      </c>
      <c r="F5" s="204" t="s">
        <v>275</v>
      </c>
      <c r="G5" s="204">
        <v>24527</v>
      </c>
      <c r="H5" s="207" t="s">
        <v>909</v>
      </c>
      <c r="I5" s="367" t="s">
        <v>295</v>
      </c>
      <c r="J5" s="204">
        <v>2</v>
      </c>
      <c r="K5" s="204">
        <v>2</v>
      </c>
      <c r="L5" s="204">
        <v>1</v>
      </c>
      <c r="M5" s="207"/>
      <c r="N5" s="207"/>
      <c r="O5" s="207"/>
      <c r="P5" s="207"/>
      <c r="Q5" s="207"/>
      <c r="R5" s="253" t="s">
        <v>910</v>
      </c>
      <c r="S5" s="280">
        <v>45684</v>
      </c>
      <c r="T5" s="312"/>
      <c r="U5" s="207" t="s">
        <v>287</v>
      </c>
      <c r="V5" s="207"/>
      <c r="W5" s="207"/>
      <c r="X5" s="208"/>
      <c r="Y5" s="207"/>
      <c r="Z5" s="207"/>
      <c r="AA5" s="207"/>
      <c r="AB5" s="279"/>
    </row>
    <row r="6" spans="1:105" ht="24.75" customHeight="1">
      <c r="A6" s="278">
        <v>5</v>
      </c>
      <c r="B6" s="278" t="str">
        <f>Dashboard!$J$1</f>
        <v>Meal Order</v>
      </c>
      <c r="C6" s="326">
        <f ca="1">Dashboard!$F$1</f>
        <v>46157</v>
      </c>
      <c r="D6" s="311">
        <f ca="1">Dashboard!$H$1</f>
        <v>46170</v>
      </c>
      <c r="E6" s="169" t="s">
        <v>93</v>
      </c>
      <c r="F6" s="204" t="s">
        <v>275</v>
      </c>
      <c r="G6" s="204">
        <v>24543</v>
      </c>
      <c r="H6" s="207" t="s">
        <v>911</v>
      </c>
      <c r="I6" s="367" t="s">
        <v>295</v>
      </c>
      <c r="J6" s="204">
        <v>1</v>
      </c>
      <c r="K6" s="204">
        <v>1</v>
      </c>
      <c r="L6" s="204">
        <v>3</v>
      </c>
      <c r="M6" s="207" t="s">
        <v>13</v>
      </c>
      <c r="N6" s="207"/>
      <c r="O6" s="207"/>
      <c r="P6" s="207" t="s">
        <v>287</v>
      </c>
      <c r="Q6" s="207"/>
      <c r="R6" s="253" t="s">
        <v>912</v>
      </c>
      <c r="S6" s="280">
        <v>45681</v>
      </c>
      <c r="T6" s="280">
        <v>45681</v>
      </c>
      <c r="U6" s="207" t="s">
        <v>287</v>
      </c>
      <c r="V6" s="207"/>
      <c r="W6" s="207" t="s">
        <v>441</v>
      </c>
      <c r="X6" s="280">
        <v>45681</v>
      </c>
      <c r="Y6" s="207"/>
      <c r="Z6" s="207"/>
      <c r="AA6" s="207"/>
      <c r="AB6" s="279"/>
    </row>
    <row r="7" spans="1:105" ht="24.75" customHeight="1">
      <c r="A7" s="271">
        <v>6</v>
      </c>
      <c r="B7" s="278" t="str">
        <f>Dashboard!$J$1</f>
        <v>Meal Order</v>
      </c>
      <c r="C7" s="311">
        <f ca="1">Dashboard!$F$1</f>
        <v>46157</v>
      </c>
      <c r="D7" s="311">
        <f ca="1">Dashboard!$H$1</f>
        <v>46170</v>
      </c>
      <c r="E7" s="169" t="s">
        <v>93</v>
      </c>
      <c r="F7" s="193" t="s">
        <v>287</v>
      </c>
      <c r="G7" s="193">
        <v>24573</v>
      </c>
      <c r="H7" s="194" t="s">
        <v>913</v>
      </c>
      <c r="I7" s="367" t="s">
        <v>295</v>
      </c>
      <c r="J7" s="193">
        <v>3</v>
      </c>
      <c r="K7" s="193">
        <v>3</v>
      </c>
      <c r="L7" s="204">
        <v>6</v>
      </c>
      <c r="M7" s="194"/>
      <c r="N7" s="194"/>
      <c r="O7" s="194"/>
      <c r="P7" s="194"/>
      <c r="Q7" s="194"/>
      <c r="R7" s="236"/>
      <c r="S7" s="368"/>
      <c r="T7" s="368"/>
      <c r="U7" s="194"/>
      <c r="V7" s="194"/>
      <c r="W7" s="194"/>
      <c r="X7" s="250"/>
      <c r="Y7" s="194"/>
      <c r="Z7" s="194"/>
      <c r="AA7" s="194"/>
      <c r="AB7" s="273" t="s">
        <v>914</v>
      </c>
    </row>
    <row r="8" spans="1:105" ht="35.25">
      <c r="A8" s="278">
        <v>7</v>
      </c>
      <c r="B8" s="278" t="str">
        <f>Dashboard!$J$1</f>
        <v>Meal Order</v>
      </c>
      <c r="C8" s="311">
        <f ca="1">Dashboard!$F$1</f>
        <v>46157</v>
      </c>
      <c r="D8" s="311">
        <f ca="1">Dashboard!$H$1</f>
        <v>46170</v>
      </c>
      <c r="E8" s="204" t="s">
        <v>915</v>
      </c>
      <c r="F8" s="204" t="s">
        <v>417</v>
      </c>
      <c r="G8" s="204">
        <v>30125</v>
      </c>
      <c r="H8" s="207" t="s">
        <v>916</v>
      </c>
      <c r="I8" s="204" t="s">
        <v>274</v>
      </c>
      <c r="J8" s="204">
        <v>13</v>
      </c>
      <c r="K8" s="204"/>
      <c r="L8" s="204">
        <v>20</v>
      </c>
      <c r="M8" s="207"/>
      <c r="N8" s="207"/>
      <c r="O8" s="207"/>
      <c r="P8" s="207"/>
      <c r="Q8" s="207"/>
      <c r="R8" s="253"/>
      <c r="S8" s="312"/>
      <c r="T8" s="312"/>
      <c r="U8" s="207"/>
      <c r="V8" s="207"/>
      <c r="W8" s="207"/>
      <c r="X8" s="208"/>
      <c r="Y8" s="207"/>
      <c r="Z8" s="207"/>
      <c r="AA8" s="207"/>
      <c r="AB8" s="279" t="s">
        <v>917</v>
      </c>
    </row>
    <row r="9" spans="1:105" ht="23.25">
      <c r="A9" s="278">
        <v>8</v>
      </c>
      <c r="B9" s="278" t="str">
        <f>Dashboard!$J$1</f>
        <v>Meal Order</v>
      </c>
      <c r="C9" s="311">
        <f ca="1">Dashboard!$F$1</f>
        <v>46157</v>
      </c>
      <c r="D9" s="311">
        <f ca="1">Dashboard!$H$1</f>
        <v>46170</v>
      </c>
      <c r="E9" s="204" t="s">
        <v>915</v>
      </c>
      <c r="F9" s="204" t="s">
        <v>272</v>
      </c>
      <c r="G9" s="204">
        <v>47106</v>
      </c>
      <c r="H9" s="207" t="s">
        <v>918</v>
      </c>
      <c r="I9" s="365" t="s">
        <v>905</v>
      </c>
      <c r="J9" s="204">
        <v>3</v>
      </c>
      <c r="K9" s="204">
        <v>3</v>
      </c>
      <c r="L9" s="204">
        <v>14</v>
      </c>
      <c r="M9" s="207"/>
      <c r="N9" s="207"/>
      <c r="O9" s="207"/>
      <c r="P9" s="207"/>
      <c r="Q9" s="207"/>
      <c r="R9" s="253"/>
      <c r="S9" s="312"/>
      <c r="T9" s="312"/>
      <c r="U9" s="207"/>
      <c r="V9" s="207"/>
      <c r="W9" s="207"/>
      <c r="X9" s="208"/>
      <c r="Y9" s="207"/>
      <c r="Z9" s="207"/>
      <c r="AA9" s="207"/>
      <c r="AB9" s="279"/>
    </row>
    <row r="10" spans="1:105" ht="23.25">
      <c r="A10" s="278">
        <v>9</v>
      </c>
      <c r="B10" s="278" t="str">
        <f>Dashboard!$J$1</f>
        <v>Meal Order</v>
      </c>
      <c r="C10" s="311">
        <f ca="1">Dashboard!$F$1</f>
        <v>46157</v>
      </c>
      <c r="D10" s="134">
        <v>45694</v>
      </c>
      <c r="E10" s="325" t="s">
        <v>915</v>
      </c>
      <c r="F10" s="204" t="s">
        <v>275</v>
      </c>
      <c r="G10" s="204">
        <v>46454</v>
      </c>
      <c r="H10" s="207" t="s">
        <v>919</v>
      </c>
      <c r="I10" s="366" t="s">
        <v>905</v>
      </c>
      <c r="J10" s="204">
        <v>2</v>
      </c>
      <c r="K10" s="204">
        <v>2</v>
      </c>
      <c r="L10" s="204">
        <v>9</v>
      </c>
      <c r="M10" s="207" t="s">
        <v>448</v>
      </c>
      <c r="N10" s="207"/>
      <c r="O10" s="207"/>
      <c r="P10" s="207" t="s">
        <v>448</v>
      </c>
      <c r="Q10" s="207"/>
      <c r="R10" s="253"/>
      <c r="S10" s="312"/>
      <c r="T10" s="312"/>
      <c r="U10" s="207"/>
      <c r="V10" s="207"/>
      <c r="W10" s="207"/>
      <c r="X10" s="208"/>
      <c r="Y10" s="207"/>
      <c r="Z10" s="207"/>
      <c r="AA10" s="207"/>
      <c r="AB10" s="279" t="s">
        <v>920</v>
      </c>
    </row>
    <row r="11" spans="1:105" s="86" customFormat="1" ht="23.25">
      <c r="A11" s="193">
        <v>10</v>
      </c>
      <c r="B11" s="193" t="str">
        <f>Dashboard!$J$1</f>
        <v>Meal Order</v>
      </c>
      <c r="C11" s="313">
        <f ca="1">Dashboard!$F$1</f>
        <v>46157</v>
      </c>
      <c r="D11" s="134">
        <v>45694</v>
      </c>
      <c r="E11" s="193" t="s">
        <v>915</v>
      </c>
      <c r="F11" s="193" t="s">
        <v>275</v>
      </c>
      <c r="G11" s="193">
        <v>47110</v>
      </c>
      <c r="H11" s="194" t="s">
        <v>886</v>
      </c>
      <c r="I11" s="193" t="s">
        <v>428</v>
      </c>
      <c r="J11" s="193">
        <v>5</v>
      </c>
      <c r="K11" s="193">
        <v>5</v>
      </c>
      <c r="L11" s="193">
        <v>5</v>
      </c>
      <c r="M11" s="194" t="s">
        <v>690</v>
      </c>
      <c r="N11" s="194"/>
      <c r="O11" s="194"/>
      <c r="P11" s="194" t="s">
        <v>287</v>
      </c>
      <c r="Q11" s="194"/>
      <c r="R11" s="236" t="s">
        <v>921</v>
      </c>
      <c r="S11" s="373">
        <v>45701</v>
      </c>
      <c r="T11" s="194"/>
      <c r="U11" s="194" t="s">
        <v>287</v>
      </c>
      <c r="V11" s="194"/>
      <c r="W11" s="194" t="s">
        <v>441</v>
      </c>
      <c r="X11" s="206"/>
      <c r="Y11" s="194"/>
      <c r="Z11" s="194"/>
      <c r="AA11" s="194"/>
      <c r="AB11" s="194"/>
    </row>
    <row r="12" spans="1:105" s="86" customFormat="1" ht="23.25">
      <c r="A12" s="193">
        <v>11</v>
      </c>
      <c r="B12" s="193" t="str">
        <f>Dashboard!$J$1</f>
        <v>Meal Order</v>
      </c>
      <c r="C12" s="313">
        <f ca="1">Dashboard!$F$1</f>
        <v>46157</v>
      </c>
      <c r="D12" s="313">
        <f ca="1">Dashboard!$H$1</f>
        <v>46170</v>
      </c>
      <c r="E12" s="193" t="s">
        <v>915</v>
      </c>
      <c r="F12" s="193" t="s">
        <v>287</v>
      </c>
      <c r="G12" s="193">
        <v>47004</v>
      </c>
      <c r="H12" s="194" t="s">
        <v>922</v>
      </c>
      <c r="I12" s="366" t="s">
        <v>905</v>
      </c>
      <c r="J12" s="193">
        <v>2</v>
      </c>
      <c r="K12" s="193">
        <v>2</v>
      </c>
      <c r="L12" s="193">
        <v>8</v>
      </c>
      <c r="M12" s="194"/>
      <c r="N12" s="194"/>
      <c r="O12" s="194"/>
      <c r="P12" s="194"/>
      <c r="Q12" s="194"/>
      <c r="R12" s="236"/>
      <c r="S12" s="194"/>
      <c r="T12" s="194"/>
      <c r="U12" s="194"/>
      <c r="V12" s="194"/>
      <c r="W12" s="194"/>
      <c r="X12" s="206"/>
      <c r="Y12" s="194"/>
      <c r="Z12" s="194"/>
      <c r="AA12" s="194"/>
      <c r="AB12" s="194"/>
    </row>
    <row r="13" spans="1:105" s="86" customFormat="1" ht="23.25">
      <c r="A13" s="127">
        <v>12</v>
      </c>
      <c r="B13" s="127" t="s">
        <v>476</v>
      </c>
      <c r="C13" s="134">
        <v>45681</v>
      </c>
      <c r="D13" s="134">
        <v>45694</v>
      </c>
      <c r="E13" s="127" t="s">
        <v>915</v>
      </c>
      <c r="F13" s="127" t="s">
        <v>417</v>
      </c>
      <c r="G13" s="127">
        <v>24571</v>
      </c>
      <c r="H13" s="86" t="s">
        <v>895</v>
      </c>
      <c r="I13" s="127" t="s">
        <v>274</v>
      </c>
      <c r="J13" s="127">
        <v>3</v>
      </c>
      <c r="K13" s="127"/>
      <c r="L13" s="127">
        <v>7</v>
      </c>
    </row>
    <row r="14" spans="1:105">
      <c r="C14" s="369"/>
      <c r="D14" s="369"/>
    </row>
  </sheetData>
  <hyperlinks>
    <hyperlink ref="R4" r:id="rId1" xr:uid="{CF622B2A-62F3-48FB-B5E1-B9093B867382}"/>
    <hyperlink ref="R6" r:id="rId2" xr:uid="{8B7B7C3D-FADD-4C2B-B76B-29A06A644974}"/>
    <hyperlink ref="R5" r:id="rId3" xr:uid="{73A4D651-209C-4AC1-9E5E-5A3BBB32F80B}"/>
    <hyperlink ref="R11" r:id="rId4" xr:uid="{ABAF72E1-4979-406B-AD90-DF55207EFA87}"/>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715E420A-BC3B-40B8-ABD6-5981629397E4}">
          <x14:formula1>
            <xm:f>Settings!$C$3:$C$20</xm:f>
          </x14:formula1>
          <xm:sqref>I4:I8 I11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1D3DD-4C24-455A-88D8-212149817D0A}">
  <sheetPr>
    <outlinePr summaryBelow="0" summaryRight="0"/>
  </sheetPr>
  <dimension ref="A3:AA43"/>
  <sheetViews>
    <sheetView topLeftCell="E1" workbookViewId="0">
      <selection activeCell="K10" sqref="K10"/>
    </sheetView>
  </sheetViews>
  <sheetFormatPr defaultColWidth="12.5703125" defaultRowHeight="15.75" customHeight="1"/>
  <cols>
    <col min="1" max="1" width="6.7109375" style="48" customWidth="1"/>
    <col min="2" max="2" width="15.5703125" style="48" customWidth="1"/>
    <col min="3" max="3" width="9.140625" style="48" bestFit="1" customWidth="1"/>
    <col min="4" max="4" width="15.5703125" style="48" customWidth="1"/>
    <col min="5" max="5" width="9.140625" style="48" bestFit="1" customWidth="1"/>
    <col min="6" max="6" width="74.42578125" style="70" bestFit="1" customWidth="1"/>
    <col min="7" max="7" width="14.7109375" style="48" customWidth="1"/>
    <col min="8" max="9" width="9.140625" style="48" bestFit="1" customWidth="1"/>
    <col min="10" max="10" width="15.85546875" style="48" customWidth="1"/>
    <col min="11" max="11" width="106.7109375" style="48" customWidth="1"/>
    <col min="12" max="12" width="92.28515625" style="70" customWidth="1"/>
    <col min="13" max="16384" width="12.5703125" style="70"/>
  </cols>
  <sheetData>
    <row r="3" spans="1:27" s="48" customFormat="1" ht="27">
      <c r="A3" s="88" t="s">
        <v>243</v>
      </c>
      <c r="B3" s="209" t="s">
        <v>11</v>
      </c>
      <c r="C3" s="209" t="s">
        <v>297</v>
      </c>
      <c r="D3" s="209" t="s">
        <v>245</v>
      </c>
      <c r="E3" s="209" t="s">
        <v>299</v>
      </c>
      <c r="F3" s="209" t="s">
        <v>300</v>
      </c>
      <c r="G3" s="209" t="s">
        <v>301</v>
      </c>
      <c r="H3" s="209" t="s">
        <v>303</v>
      </c>
      <c r="I3" s="209" t="s">
        <v>248</v>
      </c>
      <c r="J3" s="213" t="s">
        <v>305</v>
      </c>
      <c r="K3" s="213" t="s">
        <v>923</v>
      </c>
      <c r="L3" s="214" t="s">
        <v>269</v>
      </c>
      <c r="M3" s="210"/>
      <c r="N3" s="210"/>
      <c r="O3" s="210"/>
      <c r="P3" s="210"/>
      <c r="Q3" s="210"/>
      <c r="R3" s="210"/>
      <c r="S3" s="210"/>
      <c r="T3" s="210"/>
      <c r="U3" s="210"/>
      <c r="V3" s="210"/>
      <c r="W3" s="210"/>
      <c r="X3" s="210"/>
      <c r="Y3" s="210"/>
      <c r="Z3" s="210"/>
      <c r="AA3" s="210"/>
    </row>
    <row r="4" spans="1:27" s="234" customFormat="1" ht="23.25">
      <c r="A4" s="261">
        <v>1</v>
      </c>
      <c r="B4" s="323" t="s">
        <v>93</v>
      </c>
      <c r="C4" s="299">
        <v>24526</v>
      </c>
      <c r="D4" s="322" t="s">
        <v>275</v>
      </c>
      <c r="E4" s="261" t="s">
        <v>375</v>
      </c>
      <c r="F4" s="308" t="s">
        <v>907</v>
      </c>
      <c r="G4" s="261" t="s">
        <v>924</v>
      </c>
      <c r="H4" s="261" t="s">
        <v>371</v>
      </c>
      <c r="I4" s="317" t="s">
        <v>780</v>
      </c>
      <c r="J4" s="261" t="s">
        <v>859</v>
      </c>
      <c r="K4" s="234" t="s">
        <v>925</v>
      </c>
    </row>
    <row r="5" spans="1:27" s="234" customFormat="1" ht="23.25">
      <c r="A5" s="261">
        <v>2</v>
      </c>
      <c r="B5" s="323" t="s">
        <v>93</v>
      </c>
      <c r="C5" s="299">
        <v>24543</v>
      </c>
      <c r="D5" s="322" t="s">
        <v>275</v>
      </c>
      <c r="E5" s="261" t="s">
        <v>715</v>
      </c>
      <c r="F5" s="318" t="s">
        <v>911</v>
      </c>
      <c r="G5" s="261" t="s">
        <v>784</v>
      </c>
      <c r="H5" s="261" t="s">
        <v>371</v>
      </c>
      <c r="I5" s="317" t="s">
        <v>780</v>
      </c>
      <c r="J5" s="261" t="s">
        <v>859</v>
      </c>
      <c r="K5" s="234" t="s">
        <v>926</v>
      </c>
    </row>
    <row r="6" spans="1:27" s="234" customFormat="1" ht="23.25">
      <c r="A6" s="261">
        <v>3</v>
      </c>
      <c r="B6" s="323" t="s">
        <v>93</v>
      </c>
      <c r="C6" s="325">
        <v>24527</v>
      </c>
      <c r="D6" s="322" t="s">
        <v>275</v>
      </c>
      <c r="E6" s="261" t="s">
        <v>715</v>
      </c>
      <c r="F6" s="324" t="s">
        <v>909</v>
      </c>
      <c r="G6" s="261" t="s">
        <v>784</v>
      </c>
      <c r="H6" s="261" t="s">
        <v>371</v>
      </c>
      <c r="I6" s="317" t="s">
        <v>780</v>
      </c>
      <c r="J6" s="261" t="s">
        <v>859</v>
      </c>
      <c r="K6" s="364" t="s">
        <v>927</v>
      </c>
    </row>
    <row r="7" spans="1:27" s="234" customFormat="1" ht="12.75">
      <c r="A7" s="261">
        <v>4</v>
      </c>
      <c r="B7" s="323" t="s">
        <v>93</v>
      </c>
      <c r="C7" s="299">
        <v>24573</v>
      </c>
      <c r="D7" s="261" t="s">
        <v>287</v>
      </c>
      <c r="E7" s="261" t="s">
        <v>715</v>
      </c>
      <c r="F7" s="318" t="s">
        <v>913</v>
      </c>
      <c r="G7" s="261" t="s">
        <v>924</v>
      </c>
      <c r="H7" s="261" t="s">
        <v>311</v>
      </c>
      <c r="I7" s="317" t="s">
        <v>780</v>
      </c>
      <c r="J7" s="261" t="s">
        <v>859</v>
      </c>
      <c r="K7" s="234" t="s">
        <v>928</v>
      </c>
    </row>
    <row r="8" spans="1:27" s="234" customFormat="1" ht="12.75">
      <c r="A8" s="261"/>
      <c r="B8" s="299"/>
      <c r="C8" s="193"/>
      <c r="D8" s="261"/>
      <c r="E8" s="261"/>
      <c r="F8" s="318"/>
      <c r="G8" s="261"/>
      <c r="H8" s="261"/>
      <c r="I8" s="193"/>
      <c r="J8" s="261"/>
    </row>
    <row r="9" spans="1:27" s="67" customFormat="1" ht="12.75">
      <c r="A9" s="261"/>
      <c r="B9" s="299"/>
      <c r="C9" s="299"/>
      <c r="D9" s="261"/>
      <c r="E9" s="261"/>
      <c r="F9" s="308"/>
      <c r="G9" s="261"/>
      <c r="H9" s="261"/>
      <c r="I9" s="193"/>
      <c r="J9" s="261"/>
      <c r="K9" s="234"/>
    </row>
    <row r="10" spans="1:27" s="67" customFormat="1" ht="12.75">
      <c r="A10" s="83"/>
      <c r="B10" s="299"/>
      <c r="C10" s="83"/>
      <c r="D10" s="261"/>
      <c r="E10" s="261"/>
      <c r="F10" s="308"/>
      <c r="G10" s="261"/>
      <c r="H10" s="261"/>
      <c r="I10" s="193"/>
      <c r="J10" s="261"/>
      <c r="K10" s="234"/>
    </row>
    <row r="11" spans="1:27" ht="12.75">
      <c r="A11" s="223"/>
      <c r="B11" s="224"/>
      <c r="C11" s="224"/>
      <c r="D11" s="224"/>
      <c r="E11" s="224"/>
      <c r="F11" s="218"/>
      <c r="G11" s="224"/>
      <c r="H11" s="224"/>
      <c r="I11" s="224"/>
      <c r="J11" s="224"/>
      <c r="K11" s="234"/>
      <c r="L11" s="217"/>
      <c r="M11" s="219"/>
      <c r="N11" s="219"/>
      <c r="O11" s="219"/>
      <c r="P11" s="219"/>
      <c r="Q11" s="219"/>
      <c r="R11" s="219"/>
      <c r="S11" s="219"/>
      <c r="T11" s="219"/>
      <c r="U11" s="219"/>
      <c r="V11" s="219"/>
      <c r="W11" s="219"/>
      <c r="X11" s="219"/>
      <c r="Y11" s="219"/>
      <c r="Z11" s="219"/>
      <c r="AA11" s="219"/>
    </row>
    <row r="13" spans="1:27" ht="15.75" customHeight="1">
      <c r="F13" s="70" t="s">
        <v>929</v>
      </c>
    </row>
    <row r="34" spans="1:1" ht="15.75" customHeight="1">
      <c r="A34" s="220" t="s">
        <v>930</v>
      </c>
    </row>
    <row r="35" spans="1:1" ht="15.75" customHeight="1">
      <c r="A35" s="221" t="s">
        <v>931</v>
      </c>
    </row>
    <row r="36" spans="1:1" ht="15.75" customHeight="1">
      <c r="A36" s="221" t="s">
        <v>859</v>
      </c>
    </row>
    <row r="37" spans="1:1" ht="15.75" customHeight="1">
      <c r="A37" s="221" t="s">
        <v>932</v>
      </c>
    </row>
    <row r="38" spans="1:1" ht="15.75" customHeight="1">
      <c r="A38" s="221" t="s">
        <v>933</v>
      </c>
    </row>
    <row r="39" spans="1:1" ht="15.75" customHeight="1">
      <c r="A39" s="221" t="s">
        <v>902</v>
      </c>
    </row>
    <row r="40" spans="1:1" ht="15.75" customHeight="1">
      <c r="A40" s="221" t="s">
        <v>934</v>
      </c>
    </row>
    <row r="41" spans="1:1" ht="15.75" customHeight="1">
      <c r="A41" s="221" t="s">
        <v>935</v>
      </c>
    </row>
    <row r="42" spans="1:1" ht="15.75" customHeight="1">
      <c r="A42" s="221" t="s">
        <v>936</v>
      </c>
    </row>
    <row r="43" spans="1:1" ht="15.75" customHeight="1">
      <c r="A43" s="221" t="s">
        <v>937</v>
      </c>
    </row>
  </sheetData>
  <dataValidations count="5">
    <dataValidation type="list" allowBlank="1" showErrorMessage="1" sqref="K5 J4:J10" xr:uid="{EE409FFF-CD18-4286-AB9F-8A7C63238501}">
      <formula1>$A$35:$A$43</formula1>
    </dataValidation>
    <dataValidation type="list" allowBlank="1" showErrorMessage="1" sqref="E4:E11" xr:uid="{A81422DB-3285-4F60-B047-0E022F412DAE}">
      <formula1>"Bounceback,Defect,None"</formula1>
    </dataValidation>
    <dataValidation type="list" allowBlank="1" showErrorMessage="1" sqref="I4:I11" xr:uid="{712128D9-90FF-4E0E-B534-64449C43211B}">
      <formula1>"Open,Inprogress,Closed"</formula1>
    </dataValidation>
    <dataValidation type="list" allowBlank="1" showErrorMessage="1" sqref="H4:H11" xr:uid="{51EC46B1-44A1-4608-8CCF-429E17F9B673}">
      <formula1>"Internal,External"</formula1>
    </dataValidation>
    <dataValidation type="list" allowBlank="1" showErrorMessage="1" sqref="G4:G11" xr:uid="{24BAEEDD-7438-4346-89B0-268DA4CA27EF}">
      <formula1>"Minor,Significant,Major"</formula1>
    </dataValidation>
  </dataValidations>
  <pageMargins left="0" right="0" top="0" bottom="0" header="0" footer="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D1174-F2AC-490E-8ADC-391A29D10B50}">
  <sheetPr>
    <outlinePr summaryBelow="0" summaryRight="0"/>
  </sheetPr>
  <dimension ref="A1:AC990"/>
  <sheetViews>
    <sheetView topLeftCell="D1" workbookViewId="0">
      <selection activeCell="K9" sqref="K9"/>
    </sheetView>
  </sheetViews>
  <sheetFormatPr defaultColWidth="12.5703125" defaultRowHeight="15" customHeight="1"/>
  <cols>
    <col min="1" max="1" width="12.5703125" style="70" hidden="1" customWidth="1"/>
    <col min="2" max="2" width="17.5703125" style="70" customWidth="1"/>
    <col min="3" max="3" width="11.7109375" style="48" customWidth="1"/>
    <col min="4" max="4" width="9.28515625" style="48" customWidth="1"/>
    <col min="5" max="5" width="20.42578125" style="48" bestFit="1" customWidth="1"/>
    <col min="6" max="6" width="14.85546875" style="70" customWidth="1"/>
    <col min="7" max="7" width="75.85546875" style="70" customWidth="1"/>
    <col min="8" max="8" width="8.85546875" style="48" bestFit="1" customWidth="1"/>
    <col min="9" max="9" width="18.7109375" style="48" customWidth="1"/>
    <col min="10" max="10" width="9.140625" style="48" bestFit="1" customWidth="1"/>
    <col min="11" max="11" width="14.42578125" style="48" customWidth="1"/>
    <col min="12" max="12" width="19" style="48" customWidth="1"/>
    <col min="13" max="13" width="18" style="48" customWidth="1"/>
    <col min="14" max="14" width="58.7109375" style="48" customWidth="1"/>
    <col min="15" max="16384" width="12.5703125" style="70"/>
  </cols>
  <sheetData>
    <row r="1" spans="1:29" ht="27">
      <c r="A1" s="360" t="s">
        <v>243</v>
      </c>
      <c r="B1" s="384" t="s">
        <v>11</v>
      </c>
      <c r="C1" s="1" t="s">
        <v>297</v>
      </c>
      <c r="D1" s="1" t="s">
        <v>298</v>
      </c>
      <c r="E1" s="1" t="s">
        <v>245</v>
      </c>
      <c r="F1" s="1" t="s">
        <v>299</v>
      </c>
      <c r="G1" s="1" t="s">
        <v>300</v>
      </c>
      <c r="H1" s="1" t="s">
        <v>301</v>
      </c>
      <c r="I1" s="1" t="s">
        <v>302</v>
      </c>
      <c r="J1" s="1" t="s">
        <v>303</v>
      </c>
      <c r="K1" s="1" t="s">
        <v>304</v>
      </c>
      <c r="L1" s="1" t="s">
        <v>248</v>
      </c>
      <c r="M1" s="130" t="s">
        <v>305</v>
      </c>
      <c r="N1" s="372" t="s">
        <v>306</v>
      </c>
      <c r="O1" s="219"/>
      <c r="P1" s="219"/>
      <c r="Q1" s="219"/>
      <c r="R1" s="219"/>
      <c r="S1" s="219"/>
      <c r="T1" s="219"/>
      <c r="U1" s="219"/>
      <c r="V1" s="219"/>
      <c r="W1" s="219"/>
      <c r="X1" s="219"/>
      <c r="Y1" s="219"/>
      <c r="Z1" s="219"/>
      <c r="AA1" s="219"/>
      <c r="AB1" s="219"/>
      <c r="AC1" s="219"/>
    </row>
    <row r="2" spans="1:29" s="48" customFormat="1" ht="33.75" customHeight="1">
      <c r="B2" s="385" t="s">
        <v>101</v>
      </c>
      <c r="C2" s="83">
        <v>24720</v>
      </c>
      <c r="D2" s="376"/>
      <c r="E2" s="375" t="s">
        <v>938</v>
      </c>
      <c r="F2" s="375" t="s">
        <v>715</v>
      </c>
      <c r="G2" s="324" t="s">
        <v>873</v>
      </c>
      <c r="H2" s="375" t="s">
        <v>307</v>
      </c>
      <c r="I2" s="375" t="s">
        <v>336</v>
      </c>
      <c r="J2" s="375" t="s">
        <v>371</v>
      </c>
      <c r="K2" s="375" t="s">
        <v>779</v>
      </c>
      <c r="L2" s="375" t="s">
        <v>780</v>
      </c>
      <c r="M2" s="377" t="s">
        <v>937</v>
      </c>
      <c r="N2" s="136" t="s">
        <v>939</v>
      </c>
    </row>
    <row r="3" spans="1:29" ht="15.75" customHeight="1">
      <c r="B3" s="96" t="s">
        <v>101</v>
      </c>
      <c r="C3" s="48">
        <v>24524</v>
      </c>
      <c r="D3" s="83"/>
      <c r="E3" s="83" t="s">
        <v>657</v>
      </c>
      <c r="F3" s="222" t="s">
        <v>715</v>
      </c>
      <c r="G3" s="86" t="s">
        <v>940</v>
      </c>
      <c r="H3" s="83" t="s">
        <v>307</v>
      </c>
      <c r="I3" s="83" t="s">
        <v>336</v>
      </c>
      <c r="J3" s="83" t="s">
        <v>371</v>
      </c>
      <c r="K3" s="83" t="s">
        <v>618</v>
      </c>
      <c r="L3" s="375" t="s">
        <v>780</v>
      </c>
      <c r="M3" s="83" t="s">
        <v>734</v>
      </c>
      <c r="N3" s="83" t="s">
        <v>941</v>
      </c>
    </row>
    <row r="4" spans="1:29" ht="15.75" customHeight="1">
      <c r="B4" s="96" t="s">
        <v>865</v>
      </c>
      <c r="C4" s="325">
        <v>24743</v>
      </c>
      <c r="D4" s="83"/>
      <c r="E4" s="83" t="s">
        <v>287</v>
      </c>
      <c r="F4" s="222" t="s">
        <v>715</v>
      </c>
      <c r="G4" s="67" t="s">
        <v>879</v>
      </c>
      <c r="H4" s="83" t="s">
        <v>307</v>
      </c>
      <c r="I4" s="83" t="s">
        <v>336</v>
      </c>
      <c r="J4" s="83" t="s">
        <v>371</v>
      </c>
      <c r="K4" s="83" t="s">
        <v>618</v>
      </c>
      <c r="L4" s="375" t="s">
        <v>780</v>
      </c>
      <c r="M4" s="377" t="s">
        <v>859</v>
      </c>
      <c r="N4" s="83" t="s">
        <v>942</v>
      </c>
    </row>
    <row r="5" spans="1:29" ht="15.75" customHeight="1">
      <c r="B5" s="96" t="s">
        <v>865</v>
      </c>
      <c r="C5" s="83">
        <v>24717</v>
      </c>
      <c r="D5" s="83"/>
      <c r="E5" s="83" t="s">
        <v>657</v>
      </c>
      <c r="F5" s="222" t="s">
        <v>715</v>
      </c>
      <c r="G5" s="138" t="s">
        <v>881</v>
      </c>
      <c r="H5" s="83" t="s">
        <v>307</v>
      </c>
      <c r="I5" s="83" t="s">
        <v>336</v>
      </c>
      <c r="J5" s="83" t="s">
        <v>371</v>
      </c>
      <c r="K5" s="83" t="s">
        <v>779</v>
      </c>
      <c r="L5" s="375" t="s">
        <v>796</v>
      </c>
      <c r="M5" s="83" t="s">
        <v>734</v>
      </c>
      <c r="N5" s="83" t="s">
        <v>858</v>
      </c>
    </row>
    <row r="6" spans="1:29" ht="15.75" customHeight="1">
      <c r="B6" s="96" t="s">
        <v>865</v>
      </c>
      <c r="C6" s="204">
        <v>24778</v>
      </c>
      <c r="D6" s="83"/>
      <c r="E6" s="83" t="s">
        <v>287</v>
      </c>
      <c r="F6" s="388" t="s">
        <v>715</v>
      </c>
      <c r="G6" s="386" t="s">
        <v>882</v>
      </c>
      <c r="H6" s="111" t="s">
        <v>307</v>
      </c>
      <c r="I6" s="83" t="s">
        <v>336</v>
      </c>
      <c r="J6" s="83" t="s">
        <v>371</v>
      </c>
      <c r="K6" s="83" t="s">
        <v>779</v>
      </c>
      <c r="L6" s="375" t="s">
        <v>780</v>
      </c>
      <c r="M6" s="377" t="s">
        <v>859</v>
      </c>
      <c r="N6" s="83" t="s">
        <v>943</v>
      </c>
    </row>
    <row r="7" spans="1:29" ht="15.75" customHeight="1">
      <c r="B7" s="96" t="s">
        <v>865</v>
      </c>
      <c r="C7" s="204">
        <v>24788</v>
      </c>
      <c r="D7" s="83"/>
      <c r="E7" s="83" t="s">
        <v>287</v>
      </c>
      <c r="F7" s="388" t="s">
        <v>715</v>
      </c>
      <c r="G7" s="386" t="s">
        <v>884</v>
      </c>
      <c r="H7" s="389" t="s">
        <v>784</v>
      </c>
      <c r="I7" s="83" t="s">
        <v>336</v>
      </c>
      <c r="J7" s="83" t="s">
        <v>371</v>
      </c>
      <c r="K7" s="83" t="s">
        <v>779</v>
      </c>
      <c r="L7" s="375" t="s">
        <v>780</v>
      </c>
      <c r="M7" s="377" t="s">
        <v>859</v>
      </c>
      <c r="N7" s="83" t="s">
        <v>943</v>
      </c>
    </row>
    <row r="8" spans="1:29" ht="15.75" customHeight="1">
      <c r="B8" s="67"/>
      <c r="C8" s="83"/>
      <c r="D8" s="83"/>
      <c r="E8" s="83"/>
      <c r="F8" s="388"/>
      <c r="G8" s="67"/>
      <c r="H8" s="111"/>
      <c r="I8" s="83"/>
      <c r="J8" s="83"/>
      <c r="K8" s="83"/>
      <c r="L8" s="127"/>
      <c r="M8" s="83"/>
      <c r="N8" s="83"/>
    </row>
    <row r="9" spans="1:29" ht="15.75" customHeight="1">
      <c r="B9" s="67"/>
      <c r="C9" s="83"/>
      <c r="D9" s="83"/>
      <c r="E9" s="83"/>
      <c r="F9" s="388"/>
      <c r="G9" s="67"/>
      <c r="H9" s="111"/>
      <c r="I9" s="83"/>
      <c r="J9" s="83"/>
      <c r="K9" s="83"/>
      <c r="L9" s="83"/>
      <c r="M9" s="83"/>
      <c r="N9" s="83"/>
    </row>
    <row r="10" spans="1:29" ht="15.75" customHeight="1">
      <c r="B10" s="67"/>
      <c r="C10" s="83"/>
      <c r="D10" s="83"/>
      <c r="E10" s="83"/>
      <c r="F10" s="375"/>
      <c r="G10" s="79"/>
      <c r="H10" s="83"/>
      <c r="I10" s="83"/>
      <c r="J10" s="83"/>
      <c r="K10" s="83"/>
      <c r="L10" s="83"/>
      <c r="M10" s="83"/>
      <c r="N10" s="83"/>
    </row>
    <row r="11" spans="1:29" ht="15.75" customHeight="1">
      <c r="B11" s="67"/>
      <c r="C11" s="83"/>
      <c r="D11" s="83"/>
      <c r="E11" s="89"/>
      <c r="F11" s="222"/>
      <c r="G11" s="357"/>
      <c r="H11" s="83"/>
      <c r="I11" s="83"/>
      <c r="J11" s="83"/>
      <c r="K11" s="83"/>
      <c r="L11" s="83"/>
      <c r="M11" s="83"/>
      <c r="N11" s="83"/>
    </row>
    <row r="12" spans="1:29" ht="15.75" customHeight="1">
      <c r="F12" s="210"/>
      <c r="O12" s="168"/>
    </row>
    <row r="13" spans="1:29" ht="15.75" customHeight="1">
      <c r="F13" s="210"/>
    </row>
    <row r="14" spans="1:29" ht="15.75" customHeight="1">
      <c r="F14" s="210"/>
    </row>
    <row r="15" spans="1:29" ht="15.75" customHeight="1">
      <c r="F15" s="210"/>
    </row>
    <row r="16" spans="1:29" ht="15.75" customHeight="1">
      <c r="F16" s="210"/>
    </row>
    <row r="17" spans="6:6" ht="15.75" customHeight="1">
      <c r="F17" s="210"/>
    </row>
    <row r="18" spans="6:6" ht="15.75" customHeight="1">
      <c r="F18" s="210"/>
    </row>
    <row r="19" spans="6:6" ht="15.75" customHeight="1">
      <c r="F19" s="210"/>
    </row>
    <row r="20" spans="6:6" ht="15.75" customHeight="1">
      <c r="F20" s="210"/>
    </row>
    <row r="21" spans="6:6" ht="15.75" customHeight="1">
      <c r="F21" s="210"/>
    </row>
    <row r="22" spans="6:6" ht="15.75" customHeight="1">
      <c r="F22" s="210"/>
    </row>
    <row r="23" spans="6:6" ht="15.75" customHeight="1"/>
    <row r="24" spans="6:6" ht="15.75" customHeight="1"/>
    <row r="25" spans="6:6" ht="15.75" customHeight="1"/>
    <row r="26" spans="6:6" ht="15.75" customHeight="1"/>
    <row r="27" spans="6:6" ht="15.75" customHeight="1"/>
    <row r="28" spans="6:6" ht="15.75" customHeight="1"/>
    <row r="29" spans="6:6" ht="15.75" customHeight="1"/>
    <row r="30" spans="6:6" ht="15.75" customHeight="1"/>
    <row r="31" spans="6:6" ht="15.75" customHeight="1"/>
    <row r="32" spans="6: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1:N1" xr:uid="{3A2BB050-11AC-4ED7-A296-96B42C7FCFBA}"/>
  <dataValidations count="7">
    <dataValidation type="list" allowBlank="1" showErrorMessage="1" sqref="J2" xr:uid="{576BFCCB-3AB5-47E3-8475-2C4554EFA154}">
      <formula1>"Internal,External"</formula1>
    </dataValidation>
    <dataValidation type="list" allowBlank="1" showErrorMessage="1" sqref="H2 H7" xr:uid="{7829F176-DDB8-4E87-ABF6-1DF75DD4524F}">
      <formula1>"Minor,Significant,Major"</formula1>
    </dataValidation>
    <dataValidation type="list" allowBlank="1" showErrorMessage="1" sqref="I2" xr:uid="{ECA9211F-F946-468E-9BDD-506DFB206A7F}">
      <formula1>"Manual, Automation"</formula1>
    </dataValidation>
    <dataValidation type="list" allowBlank="1" showErrorMessage="1" sqref="M2 M4 M6:M7" xr:uid="{6C0CED56-E120-4CA7-BEDE-3583CC0A8C07}">
      <formula1>"Enhancements, Existing_Issues, Requirement Related, QA, Design, Documentation, Development, Project_Management, Environment_Related"</formula1>
    </dataValidation>
    <dataValidation type="list" allowBlank="1" showErrorMessage="1" sqref="L2:L7" xr:uid="{FB12F2E7-F2E4-48F6-ACF3-B73F050C96A3}">
      <formula1>"Open,Inprogress,Closed"</formula1>
    </dataValidation>
    <dataValidation type="list" allowBlank="1" showErrorMessage="1" sqref="K2:K11" xr:uid="{5104D042-C487-4316-9EE0-D33F384ACCEB}">
      <formula1>"Client, Relevantz"</formula1>
    </dataValidation>
    <dataValidation type="list" allowBlank="1" showErrorMessage="1" sqref="F2:F22" xr:uid="{2ACF2232-D865-4A6B-B32C-5B439EDAD840}">
      <formula1>"Bounceback,Defect,None"</formula1>
    </dataValidation>
  </dataValidations>
  <pageMargins left="0" right="0" top="0" bottom="0" header="0" footer="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0A70-DF0A-4AA1-BD3A-AF0F3CE37981}">
  <sheetPr>
    <outlinePr summaryBelow="0" summaryRight="0"/>
  </sheetPr>
  <dimension ref="A3:AA42"/>
  <sheetViews>
    <sheetView workbookViewId="0">
      <selection activeCell="K17" sqref="K17"/>
    </sheetView>
  </sheetViews>
  <sheetFormatPr defaultColWidth="12.5703125" defaultRowHeight="15.75" customHeight="1"/>
  <cols>
    <col min="1" max="1" width="6.7109375" style="48" customWidth="1"/>
    <col min="2" max="2" width="15.5703125" style="48" customWidth="1"/>
    <col min="3" max="3" width="9.140625" style="48" bestFit="1" customWidth="1"/>
    <col min="4" max="4" width="15.5703125" style="48" customWidth="1"/>
    <col min="5" max="5" width="9.140625" style="48" bestFit="1" customWidth="1"/>
    <col min="6" max="6" width="53.140625" style="70" customWidth="1"/>
    <col min="7" max="7" width="14.7109375" style="48" customWidth="1"/>
    <col min="8" max="8" width="9.140625" style="48" bestFit="1" customWidth="1"/>
    <col min="9" max="9" width="17" style="48" customWidth="1"/>
    <col min="10" max="10" width="23.5703125" style="48" customWidth="1"/>
    <col min="11" max="11" width="33" style="48" customWidth="1"/>
    <col min="12" max="12" width="26.140625" style="70" customWidth="1"/>
    <col min="13" max="16384" width="12.5703125" style="70"/>
  </cols>
  <sheetData>
    <row r="3" spans="1:27" s="48" customFormat="1" ht="27">
      <c r="A3" s="88" t="s">
        <v>243</v>
      </c>
      <c r="B3" s="209" t="s">
        <v>11</v>
      </c>
      <c r="C3" s="209" t="s">
        <v>297</v>
      </c>
      <c r="D3" s="209" t="s">
        <v>245</v>
      </c>
      <c r="E3" s="209" t="s">
        <v>299</v>
      </c>
      <c r="F3" s="209" t="s">
        <v>300</v>
      </c>
      <c r="G3" s="209" t="s">
        <v>301</v>
      </c>
      <c r="H3" s="209" t="s">
        <v>303</v>
      </c>
      <c r="I3" s="209" t="s">
        <v>248</v>
      </c>
      <c r="J3" s="213" t="s">
        <v>305</v>
      </c>
      <c r="K3" s="355" t="s">
        <v>923</v>
      </c>
      <c r="L3" s="131" t="s">
        <v>269</v>
      </c>
      <c r="M3" s="210"/>
      <c r="N3" s="210"/>
      <c r="O3" s="210"/>
      <c r="P3" s="210"/>
      <c r="Q3" s="210"/>
      <c r="R3" s="210"/>
      <c r="S3" s="210"/>
      <c r="T3" s="210"/>
      <c r="U3" s="210"/>
      <c r="V3" s="210"/>
      <c r="W3" s="210"/>
      <c r="X3" s="210"/>
      <c r="Y3" s="210"/>
      <c r="Z3" s="210"/>
      <c r="AA3" s="210"/>
    </row>
    <row r="4" spans="1:27" s="234" customFormat="1" ht="12.75">
      <c r="A4" s="261">
        <v>1</v>
      </c>
      <c r="B4" s="348" t="s">
        <v>944</v>
      </c>
      <c r="C4" s="348">
        <v>23746</v>
      </c>
      <c r="D4" s="261" t="s">
        <v>417</v>
      </c>
      <c r="E4" s="261" t="s">
        <v>715</v>
      </c>
      <c r="F4" s="349" t="s">
        <v>945</v>
      </c>
      <c r="G4" s="261" t="s">
        <v>784</v>
      </c>
      <c r="H4" s="261" t="s">
        <v>311</v>
      </c>
      <c r="I4" s="350" t="s">
        <v>295</v>
      </c>
      <c r="J4" s="261" t="s">
        <v>859</v>
      </c>
      <c r="K4" s="339" t="s">
        <v>946</v>
      </c>
      <c r="L4" s="234" t="s">
        <v>947</v>
      </c>
      <c r="M4" s="356"/>
    </row>
    <row r="5" spans="1:27" s="234" customFormat="1" ht="12.75">
      <c r="A5" s="261">
        <v>3</v>
      </c>
      <c r="B5" s="348" t="s">
        <v>89</v>
      </c>
      <c r="C5" s="348">
        <v>24480</v>
      </c>
      <c r="D5" s="261" t="s">
        <v>948</v>
      </c>
      <c r="E5" s="261" t="s">
        <v>715</v>
      </c>
      <c r="F5" s="351" t="s">
        <v>949</v>
      </c>
      <c r="G5" s="261" t="s">
        <v>784</v>
      </c>
      <c r="H5" s="261" t="s">
        <v>311</v>
      </c>
      <c r="I5" s="287" t="s">
        <v>780</v>
      </c>
      <c r="J5" s="261" t="s">
        <v>859</v>
      </c>
      <c r="K5" s="339" t="s">
        <v>946</v>
      </c>
      <c r="M5" s="356"/>
    </row>
    <row r="6" spans="1:27" s="234" customFormat="1" ht="12.75">
      <c r="A6" s="261">
        <v>4</v>
      </c>
      <c r="B6" s="348" t="s">
        <v>89</v>
      </c>
      <c r="C6" s="348">
        <v>24500</v>
      </c>
      <c r="D6" s="261" t="s">
        <v>275</v>
      </c>
      <c r="E6" s="261" t="s">
        <v>715</v>
      </c>
      <c r="F6" s="351" t="s">
        <v>950</v>
      </c>
      <c r="G6" s="261" t="s">
        <v>307</v>
      </c>
      <c r="H6" s="261" t="s">
        <v>311</v>
      </c>
      <c r="I6" s="350" t="s">
        <v>295</v>
      </c>
      <c r="J6" s="261" t="s">
        <v>859</v>
      </c>
      <c r="K6" s="339" t="s">
        <v>946</v>
      </c>
      <c r="M6" s="356"/>
    </row>
    <row r="7" spans="1:27" s="234" customFormat="1" ht="12.75">
      <c r="A7" s="261">
        <v>5</v>
      </c>
      <c r="B7" s="348" t="s">
        <v>89</v>
      </c>
      <c r="C7" s="288">
        <v>24517</v>
      </c>
      <c r="D7" s="261" t="s">
        <v>275</v>
      </c>
      <c r="E7" s="261" t="s">
        <v>715</v>
      </c>
      <c r="F7" s="351" t="s">
        <v>951</v>
      </c>
      <c r="G7" s="261" t="s">
        <v>307</v>
      </c>
      <c r="H7" s="261" t="s">
        <v>311</v>
      </c>
      <c r="I7" s="350" t="s">
        <v>295</v>
      </c>
      <c r="J7" s="261" t="s">
        <v>859</v>
      </c>
      <c r="K7" s="339" t="s">
        <v>946</v>
      </c>
      <c r="M7" s="356"/>
    </row>
    <row r="8" spans="1:27" s="67" customFormat="1" ht="12.75">
      <c r="A8" s="261">
        <v>6</v>
      </c>
      <c r="B8" s="348" t="s">
        <v>89</v>
      </c>
      <c r="C8" s="348">
        <v>24526</v>
      </c>
      <c r="D8" s="261" t="s">
        <v>275</v>
      </c>
      <c r="E8" s="261" t="s">
        <v>715</v>
      </c>
      <c r="F8" s="349" t="s">
        <v>907</v>
      </c>
      <c r="G8" s="261" t="s">
        <v>784</v>
      </c>
      <c r="H8" s="261" t="s">
        <v>311</v>
      </c>
      <c r="I8" s="288" t="s">
        <v>952</v>
      </c>
      <c r="J8" s="261" t="s">
        <v>859</v>
      </c>
      <c r="K8" s="339" t="s">
        <v>946</v>
      </c>
      <c r="M8" s="357"/>
    </row>
    <row r="9" spans="1:27" s="67" customFormat="1" ht="12.75">
      <c r="A9" s="83">
        <v>7</v>
      </c>
      <c r="B9" s="348" t="s">
        <v>89</v>
      </c>
      <c r="C9" s="83">
        <v>24468</v>
      </c>
      <c r="D9" s="261" t="s">
        <v>275</v>
      </c>
      <c r="E9" s="261" t="s">
        <v>715</v>
      </c>
      <c r="F9" s="349" t="s">
        <v>953</v>
      </c>
      <c r="G9" s="261" t="s">
        <v>784</v>
      </c>
      <c r="H9" s="261" t="s">
        <v>371</v>
      </c>
      <c r="I9" s="288" t="s">
        <v>952</v>
      </c>
      <c r="J9" s="261" t="s">
        <v>859</v>
      </c>
      <c r="K9" s="339" t="s">
        <v>954</v>
      </c>
      <c r="M9" s="357"/>
    </row>
    <row r="10" spans="1:27" ht="12.75">
      <c r="A10" s="223">
        <v>8</v>
      </c>
      <c r="B10" s="224" t="s">
        <v>944</v>
      </c>
      <c r="C10" s="224">
        <v>24523</v>
      </c>
      <c r="D10" s="224" t="s">
        <v>417</v>
      </c>
      <c r="E10" s="224" t="s">
        <v>715</v>
      </c>
      <c r="F10" s="217" t="s">
        <v>955</v>
      </c>
      <c r="G10" s="224" t="s">
        <v>784</v>
      </c>
      <c r="H10" s="224" t="s">
        <v>311</v>
      </c>
      <c r="I10" s="350" t="s">
        <v>295</v>
      </c>
      <c r="J10" s="224" t="s">
        <v>859</v>
      </c>
      <c r="K10" s="339" t="s">
        <v>956</v>
      </c>
      <c r="L10" s="216" t="s">
        <v>947</v>
      </c>
      <c r="M10" s="219"/>
      <c r="N10" s="219"/>
      <c r="O10" s="219"/>
      <c r="P10" s="219"/>
      <c r="Q10" s="219"/>
      <c r="R10" s="219"/>
      <c r="S10" s="219"/>
      <c r="T10" s="219"/>
      <c r="U10" s="219"/>
      <c r="V10" s="219"/>
      <c r="W10" s="219"/>
      <c r="X10" s="219"/>
      <c r="Y10" s="219"/>
      <c r="Z10" s="219"/>
      <c r="AA10" s="219"/>
    </row>
    <row r="11" spans="1:27" ht="12.75">
      <c r="A11" s="83">
        <v>9</v>
      </c>
      <c r="B11" s="352" t="s">
        <v>89</v>
      </c>
      <c r="C11" s="353">
        <v>24502</v>
      </c>
      <c r="D11" s="353" t="s">
        <v>275</v>
      </c>
      <c r="E11" s="224" t="s">
        <v>715</v>
      </c>
      <c r="F11" s="354" t="s">
        <v>957</v>
      </c>
      <c r="G11" s="224" t="s">
        <v>784</v>
      </c>
      <c r="H11" s="224" t="s">
        <v>311</v>
      </c>
      <c r="I11" s="350" t="s">
        <v>295</v>
      </c>
      <c r="J11" s="224" t="s">
        <v>859</v>
      </c>
      <c r="K11" s="339" t="s">
        <v>958</v>
      </c>
      <c r="L11" s="67"/>
    </row>
    <row r="12" spans="1:27" ht="12.75">
      <c r="A12" s="223">
        <v>10</v>
      </c>
      <c r="B12" s="352" t="s">
        <v>89</v>
      </c>
      <c r="C12" s="353">
        <v>24514</v>
      </c>
      <c r="D12" s="353" t="s">
        <v>287</v>
      </c>
      <c r="E12" s="224" t="s">
        <v>715</v>
      </c>
      <c r="F12" s="354" t="s">
        <v>959</v>
      </c>
      <c r="G12" s="224" t="s">
        <v>784</v>
      </c>
      <c r="H12" s="224" t="s">
        <v>311</v>
      </c>
      <c r="I12" s="350" t="s">
        <v>295</v>
      </c>
      <c r="J12" s="224" t="s">
        <v>859</v>
      </c>
      <c r="K12" s="99" t="s">
        <v>960</v>
      </c>
      <c r="L12" s="67"/>
    </row>
    <row r="13" spans="1:27" ht="12.75">
      <c r="A13" s="83">
        <v>11</v>
      </c>
      <c r="B13" s="352" t="s">
        <v>89</v>
      </c>
      <c r="C13" s="353">
        <v>24528</v>
      </c>
      <c r="D13" s="353" t="s">
        <v>287</v>
      </c>
      <c r="E13" s="224" t="s">
        <v>715</v>
      </c>
      <c r="F13" s="354" t="s">
        <v>961</v>
      </c>
      <c r="G13" s="224" t="s">
        <v>784</v>
      </c>
      <c r="H13" s="224" t="s">
        <v>371</v>
      </c>
      <c r="I13" s="350" t="s">
        <v>295</v>
      </c>
      <c r="J13" s="48" t="s">
        <v>960</v>
      </c>
      <c r="K13" s="339" t="s">
        <v>960</v>
      </c>
      <c r="L13" s="67"/>
    </row>
    <row r="14" spans="1:27" ht="12.75">
      <c r="A14" s="223">
        <v>12</v>
      </c>
      <c r="B14" s="353" t="s">
        <v>944</v>
      </c>
      <c r="C14" s="353">
        <v>24527</v>
      </c>
      <c r="D14" s="353" t="s">
        <v>275</v>
      </c>
      <c r="E14" s="224" t="s">
        <v>715</v>
      </c>
      <c r="F14" s="354" t="s">
        <v>962</v>
      </c>
      <c r="G14" s="224" t="s">
        <v>784</v>
      </c>
      <c r="H14" s="224" t="s">
        <v>311</v>
      </c>
      <c r="I14" s="353" t="s">
        <v>694</v>
      </c>
      <c r="J14" s="224" t="s">
        <v>859</v>
      </c>
      <c r="K14" s="339" t="s">
        <v>946</v>
      </c>
      <c r="L14" s="67"/>
    </row>
    <row r="15" spans="1:27" ht="12.75">
      <c r="A15" s="83">
        <v>13</v>
      </c>
      <c r="B15" s="353" t="s">
        <v>944</v>
      </c>
      <c r="C15" s="353">
        <v>24531</v>
      </c>
      <c r="D15" s="353" t="s">
        <v>287</v>
      </c>
      <c r="E15" s="224" t="s">
        <v>715</v>
      </c>
      <c r="F15" s="354" t="s">
        <v>963</v>
      </c>
      <c r="G15" s="261" t="s">
        <v>307</v>
      </c>
      <c r="H15" s="224" t="s">
        <v>371</v>
      </c>
      <c r="I15" s="350" t="s">
        <v>295</v>
      </c>
      <c r="J15" s="224" t="s">
        <v>859</v>
      </c>
      <c r="K15" s="339" t="s">
        <v>964</v>
      </c>
      <c r="L15" s="67"/>
    </row>
    <row r="16" spans="1:27" ht="12.75">
      <c r="A16" s="223">
        <v>14</v>
      </c>
      <c r="B16" s="348" t="s">
        <v>944</v>
      </c>
      <c r="C16" s="348">
        <v>24532</v>
      </c>
      <c r="D16" s="348" t="s">
        <v>287</v>
      </c>
      <c r="E16" s="224" t="s">
        <v>715</v>
      </c>
      <c r="F16" s="351" t="s">
        <v>965</v>
      </c>
      <c r="G16" s="261" t="s">
        <v>307</v>
      </c>
      <c r="H16" s="224" t="s">
        <v>371</v>
      </c>
      <c r="I16" s="350" t="s">
        <v>295</v>
      </c>
      <c r="J16" s="48" t="s">
        <v>960</v>
      </c>
      <c r="K16" s="339" t="s">
        <v>960</v>
      </c>
      <c r="L16" s="67"/>
    </row>
    <row r="17" spans="1:1" ht="15.75" customHeight="1">
      <c r="A17" s="48">
        <v>15</v>
      </c>
    </row>
    <row r="33" spans="1:1" ht="15.75" customHeight="1">
      <c r="A33" s="220" t="s">
        <v>930</v>
      </c>
    </row>
    <row r="34" spans="1:1" ht="15.75" customHeight="1">
      <c r="A34" s="221" t="s">
        <v>931</v>
      </c>
    </row>
    <row r="35" spans="1:1" ht="15.75" customHeight="1">
      <c r="A35" s="221" t="s">
        <v>859</v>
      </c>
    </row>
    <row r="36" spans="1:1" ht="15.75" customHeight="1">
      <c r="A36" s="221" t="s">
        <v>932</v>
      </c>
    </row>
    <row r="37" spans="1:1" ht="15.75" customHeight="1">
      <c r="A37" s="221" t="s">
        <v>933</v>
      </c>
    </row>
    <row r="38" spans="1:1" ht="15.75" customHeight="1">
      <c r="A38" s="221" t="s">
        <v>902</v>
      </c>
    </row>
    <row r="39" spans="1:1" ht="15.75" customHeight="1">
      <c r="A39" s="221" t="s">
        <v>934</v>
      </c>
    </row>
    <row r="40" spans="1:1" ht="15.75" customHeight="1">
      <c r="A40" s="221" t="s">
        <v>935</v>
      </c>
    </row>
    <row r="41" spans="1:1" ht="15.75" customHeight="1">
      <c r="A41" s="221" t="s">
        <v>936</v>
      </c>
    </row>
    <row r="42" spans="1:1" ht="15.75" customHeight="1">
      <c r="A42" s="221" t="s">
        <v>937</v>
      </c>
    </row>
  </sheetData>
  <dataValidations count="5">
    <dataValidation type="list" allowBlank="1" showErrorMessage="1" sqref="I8:I9 I5" xr:uid="{93258AC7-4F11-46DC-AF21-18298B75E9E4}">
      <formula1>"Open,Inprogress,Closed"</formula1>
    </dataValidation>
    <dataValidation type="list" allowBlank="1" showErrorMessage="1" sqref="G4:G16" xr:uid="{03DF96BC-1043-4E22-A206-F64AE4B43469}">
      <formula1>"Minor,Significant,Major"</formula1>
    </dataValidation>
    <dataValidation type="list" allowBlank="1" showErrorMessage="1" sqref="H4:H16" xr:uid="{0AF51EA4-56D4-4324-9470-613E7C204568}">
      <formula1>"Internal,External"</formula1>
    </dataValidation>
    <dataValidation type="list" allowBlank="1" showErrorMessage="1" sqref="E4:E16" xr:uid="{99D36222-D89A-40E6-8EBD-DA49DE1E1DF9}">
      <formula1>"Bounceback,Defect,None"</formula1>
    </dataValidation>
    <dataValidation type="list" allowBlank="1" showErrorMessage="1" sqref="J4:J9" xr:uid="{AABD80A9-BE20-44E4-B090-CE30A2AC67A9}">
      <formula1>$A$34:$A$42</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7FE80269-3BC2-48B5-9526-AFFCF84632A1}">
          <x14:formula1>
            <xm:f>Settings!$C$3:$C$20</xm:f>
          </x14:formula1>
          <xm:sqref>I10:I16 I6:I7 I4</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5833-5C43-4193-A4D4-6C5AF284AB48}">
  <dimension ref="A1:AB14"/>
  <sheetViews>
    <sheetView workbookViewId="0">
      <pane xSplit="9" topLeftCell="J1" activePane="topRight" state="frozen"/>
      <selection pane="topRight" activeCell="L1" sqref="L1"/>
    </sheetView>
  </sheetViews>
  <sheetFormatPr defaultRowHeight="12.75"/>
  <cols>
    <col min="1" max="1" width="7.7109375" style="133" bestFit="1" customWidth="1"/>
    <col min="2" max="2" width="12" style="133" customWidth="1"/>
    <col min="3" max="3" width="11.7109375" style="133" customWidth="1"/>
    <col min="4" max="4" width="8.7109375" style="133" customWidth="1"/>
    <col min="5" max="5" width="11.85546875" style="133" customWidth="1"/>
    <col min="6" max="6" width="12.42578125" style="133" bestFit="1" customWidth="1"/>
    <col min="7" max="7" width="11.85546875" style="133" customWidth="1"/>
    <col min="8" max="8" width="56.140625" style="168" customWidth="1"/>
    <col min="9" max="9" width="10.5703125" style="133" bestFit="1" customWidth="1"/>
    <col min="10" max="10" width="12.42578125" style="133" customWidth="1"/>
    <col min="11" max="11" width="11.42578125" style="133" bestFit="1" customWidth="1"/>
    <col min="12" max="12" width="11.42578125" style="133" customWidth="1"/>
    <col min="13" max="13" width="12.42578125" style="168" bestFit="1" customWidth="1"/>
    <col min="14" max="14" width="16.7109375" style="168" customWidth="1"/>
    <col min="15" max="15" width="14.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16384" width="9.140625" style="168"/>
  </cols>
  <sheetData>
    <row r="1" spans="1:28" ht="46.5">
      <c r="A1" s="274" t="s">
        <v>243</v>
      </c>
      <c r="B1" s="1" t="s">
        <v>4</v>
      </c>
      <c r="C1" s="1" t="s">
        <v>2</v>
      </c>
      <c r="D1" s="1" t="s">
        <v>3</v>
      </c>
      <c r="E1" s="275" t="s">
        <v>244</v>
      </c>
      <c r="F1" s="275" t="s">
        <v>245</v>
      </c>
      <c r="G1" s="275" t="s">
        <v>246</v>
      </c>
      <c r="H1" s="276" t="s">
        <v>247</v>
      </c>
      <c r="I1" s="275" t="s">
        <v>248</v>
      </c>
      <c r="J1" s="275" t="s">
        <v>966</v>
      </c>
      <c r="K1" s="275" t="s">
        <v>967</v>
      </c>
      <c r="L1" s="275" t="s">
        <v>968</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row>
    <row r="2" spans="1:28" s="194" customFormat="1" ht="23.25">
      <c r="A2" s="193">
        <v>1</v>
      </c>
      <c r="B2" s="314" t="str">
        <f>Dashboard!$J$1</f>
        <v>Meal Order</v>
      </c>
      <c r="C2" s="315">
        <f ca="1">Dashboard!$F$1</f>
        <v>46157</v>
      </c>
      <c r="D2" s="315">
        <f ca="1">Dashboard!$H$1</f>
        <v>46170</v>
      </c>
      <c r="E2" s="169" t="s">
        <v>969</v>
      </c>
      <c r="F2" s="193" t="s">
        <v>275</v>
      </c>
      <c r="G2" s="292">
        <v>46521</v>
      </c>
      <c r="H2" s="207" t="s">
        <v>970</v>
      </c>
      <c r="I2" s="293" t="s">
        <v>13</v>
      </c>
      <c r="J2" s="193">
        <v>8</v>
      </c>
      <c r="K2" s="193">
        <v>8</v>
      </c>
      <c r="L2" s="193"/>
      <c r="P2" s="49" t="s">
        <v>287</v>
      </c>
      <c r="R2" s="236" t="s">
        <v>971</v>
      </c>
      <c r="S2" s="280">
        <v>45717</v>
      </c>
      <c r="T2" s="280"/>
      <c r="U2" s="207" t="s">
        <v>287</v>
      </c>
      <c r="W2" s="194" t="s">
        <v>441</v>
      </c>
      <c r="X2" s="208">
        <v>45660</v>
      </c>
    </row>
    <row r="3" spans="1:28" s="194" customFormat="1" ht="23.25">
      <c r="A3" s="271">
        <f>A2+1</f>
        <v>2</v>
      </c>
      <c r="B3" s="271" t="str">
        <f>Dashboard!$J$1</f>
        <v>Meal Order</v>
      </c>
      <c r="C3" s="310">
        <f ca="1">Dashboard!$F$1</f>
        <v>46157</v>
      </c>
      <c r="D3" s="310">
        <f ca="1">Dashboard!$H$1</f>
        <v>46170</v>
      </c>
      <c r="E3" s="169" t="s">
        <v>969</v>
      </c>
      <c r="F3" s="291" t="s">
        <v>972</v>
      </c>
      <c r="G3" s="288">
        <v>44110</v>
      </c>
      <c r="H3" s="289" t="s">
        <v>973</v>
      </c>
      <c r="I3" s="293" t="s">
        <v>13</v>
      </c>
      <c r="J3" s="193">
        <v>4</v>
      </c>
      <c r="K3" s="193">
        <v>4</v>
      </c>
      <c r="L3" s="193"/>
      <c r="M3" s="194" t="s">
        <v>634</v>
      </c>
      <c r="N3" s="194" t="s">
        <v>634</v>
      </c>
      <c r="P3" s="194" t="s">
        <v>441</v>
      </c>
      <c r="R3" s="236" t="s">
        <v>974</v>
      </c>
      <c r="S3" s="280" t="s">
        <v>975</v>
      </c>
      <c r="T3" s="280" t="s">
        <v>975</v>
      </c>
      <c r="U3" s="194" t="s">
        <v>441</v>
      </c>
      <c r="W3" s="194" t="s">
        <v>441</v>
      </c>
      <c r="X3" s="250"/>
      <c r="AB3" s="273"/>
    </row>
    <row r="4" spans="1:28" s="194" customFormat="1" ht="23.25">
      <c r="A4" s="271">
        <f>A3+1</f>
        <v>3</v>
      </c>
      <c r="B4" s="271" t="str">
        <f>Dashboard!$J$1</f>
        <v>Meal Order</v>
      </c>
      <c r="C4" s="310">
        <f ca="1">Dashboard!$F$1</f>
        <v>46157</v>
      </c>
      <c r="D4" s="310">
        <f ca="1">Dashboard!$H$1</f>
        <v>46170</v>
      </c>
      <c r="E4" s="169" t="s">
        <v>969</v>
      </c>
      <c r="F4" s="292" t="s">
        <v>287</v>
      </c>
      <c r="G4" s="193">
        <v>46705</v>
      </c>
      <c r="H4" s="194" t="s">
        <v>976</v>
      </c>
      <c r="I4" s="293" t="s">
        <v>13</v>
      </c>
      <c r="J4" s="204">
        <v>3</v>
      </c>
      <c r="K4" s="204">
        <v>3</v>
      </c>
      <c r="L4" s="204"/>
      <c r="N4" s="207"/>
      <c r="O4" s="207"/>
      <c r="P4" s="207"/>
      <c r="Q4" s="207"/>
      <c r="R4" s="253" t="s">
        <v>971</v>
      </c>
      <c r="S4" s="280">
        <v>45717</v>
      </c>
      <c r="T4" s="280">
        <v>45717</v>
      </c>
      <c r="U4" s="207" t="s">
        <v>287</v>
      </c>
      <c r="V4" s="207"/>
      <c r="W4" s="194" t="s">
        <v>441</v>
      </c>
      <c r="X4" s="208">
        <v>45660</v>
      </c>
      <c r="Y4" s="207"/>
      <c r="Z4" s="207"/>
      <c r="AA4" s="207"/>
      <c r="AB4" s="279"/>
    </row>
    <row r="5" spans="1:28" s="194" customFormat="1" ht="23.25">
      <c r="A5" s="271">
        <f t="shared" ref="A5:A14" si="0">A4+1</f>
        <v>4</v>
      </c>
      <c r="B5" s="278" t="str">
        <f>Dashboard!$J$1</f>
        <v>Meal Order</v>
      </c>
      <c r="C5" s="311">
        <f ca="1">Dashboard!$F$1</f>
        <v>46157</v>
      </c>
      <c r="D5" s="311">
        <f ca="1">Dashboard!$H$1</f>
        <v>46170</v>
      </c>
      <c r="E5" s="169" t="s">
        <v>969</v>
      </c>
      <c r="F5" s="292" t="s">
        <v>275</v>
      </c>
      <c r="G5" s="193">
        <v>46713</v>
      </c>
      <c r="H5" s="194" t="s">
        <v>977</v>
      </c>
      <c r="I5" s="271" t="s">
        <v>933</v>
      </c>
      <c r="J5" s="204">
        <v>8</v>
      </c>
      <c r="K5" s="172">
        <v>8</v>
      </c>
      <c r="L5" s="172"/>
      <c r="N5" s="207"/>
      <c r="O5" s="207"/>
      <c r="P5" s="207" t="s">
        <v>287</v>
      </c>
      <c r="Q5" s="207"/>
      <c r="R5" s="253" t="s">
        <v>971</v>
      </c>
      <c r="S5" s="280">
        <v>45717</v>
      </c>
      <c r="T5" s="280">
        <v>45717</v>
      </c>
      <c r="U5" s="207" t="s">
        <v>287</v>
      </c>
      <c r="V5" s="207"/>
      <c r="W5" s="194" t="s">
        <v>441</v>
      </c>
      <c r="X5" s="208">
        <v>45660</v>
      </c>
      <c r="Y5" s="207"/>
      <c r="Z5" s="207"/>
      <c r="AA5" s="207" t="s">
        <v>978</v>
      </c>
      <c r="AB5" s="279" t="s">
        <v>979</v>
      </c>
    </row>
    <row r="6" spans="1:28" s="194" customFormat="1" ht="23.25">
      <c r="A6" s="271">
        <f t="shared" si="0"/>
        <v>5</v>
      </c>
      <c r="B6" s="278" t="str">
        <f>Dashboard!$J$1</f>
        <v>Meal Order</v>
      </c>
      <c r="C6" s="311">
        <f ca="1">Dashboard!$F$1</f>
        <v>46157</v>
      </c>
      <c r="D6" s="311">
        <f ca="1">Dashboard!$H$1</f>
        <v>46170</v>
      </c>
      <c r="E6" s="169" t="s">
        <v>969</v>
      </c>
      <c r="F6" s="292" t="s">
        <v>275</v>
      </c>
      <c r="G6" s="193" t="s">
        <v>980</v>
      </c>
      <c r="H6" s="194" t="s">
        <v>981</v>
      </c>
      <c r="I6" s="293" t="s">
        <v>13</v>
      </c>
      <c r="J6" s="204">
        <v>5</v>
      </c>
      <c r="K6" s="204">
        <v>5</v>
      </c>
      <c r="L6" s="204"/>
      <c r="N6" s="207"/>
      <c r="O6" s="207"/>
      <c r="P6" s="49" t="s">
        <v>287</v>
      </c>
      <c r="Q6" s="207"/>
      <c r="R6" s="253" t="s">
        <v>971</v>
      </c>
      <c r="S6" s="280">
        <v>45717</v>
      </c>
      <c r="T6" s="280">
        <v>45717</v>
      </c>
      <c r="U6" s="207" t="s">
        <v>287</v>
      </c>
      <c r="V6" s="207"/>
      <c r="W6" s="194" t="s">
        <v>441</v>
      </c>
      <c r="X6" s="208">
        <v>45660</v>
      </c>
      <c r="Y6" s="207"/>
      <c r="Z6" s="207"/>
      <c r="AA6" s="207"/>
      <c r="AB6" s="279"/>
    </row>
    <row r="7" spans="1:28" s="194" customFormat="1" ht="23.25">
      <c r="A7" s="271">
        <f t="shared" si="0"/>
        <v>6</v>
      </c>
      <c r="B7" s="278" t="str">
        <f>Dashboard!$J$1</f>
        <v>Meal Order</v>
      </c>
      <c r="C7" s="311">
        <f ca="1">Dashboard!$F$1</f>
        <v>46157</v>
      </c>
      <c r="D7" s="311">
        <f ca="1">Dashboard!$H$1</f>
        <v>46170</v>
      </c>
      <c r="E7" s="169" t="s">
        <v>969</v>
      </c>
      <c r="F7" s="292" t="s">
        <v>287</v>
      </c>
      <c r="G7" s="193">
        <v>46714</v>
      </c>
      <c r="H7" s="194" t="s">
        <v>982</v>
      </c>
      <c r="I7" s="271" t="s">
        <v>933</v>
      </c>
      <c r="J7" s="204">
        <v>8</v>
      </c>
      <c r="K7" s="172">
        <v>8</v>
      </c>
      <c r="L7" s="172"/>
      <c r="N7" s="207"/>
      <c r="O7" s="207"/>
      <c r="P7" s="207"/>
      <c r="Q7" s="207"/>
      <c r="R7" s="253" t="s">
        <v>971</v>
      </c>
      <c r="S7" s="280">
        <v>45717</v>
      </c>
      <c r="T7" s="280">
        <v>45717</v>
      </c>
      <c r="U7" s="207" t="s">
        <v>287</v>
      </c>
      <c r="V7" s="207"/>
      <c r="W7" s="194" t="s">
        <v>441</v>
      </c>
      <c r="X7" s="208">
        <v>45660</v>
      </c>
      <c r="Y7" s="207"/>
      <c r="Z7" s="207"/>
      <c r="AA7" s="207"/>
      <c r="AB7" s="279" t="s">
        <v>979</v>
      </c>
    </row>
    <row r="8" spans="1:28" s="194" customFormat="1" ht="23.25">
      <c r="A8" s="271">
        <f t="shared" si="0"/>
        <v>7</v>
      </c>
      <c r="B8" s="278" t="str">
        <f>Dashboard!$J$1</f>
        <v>Meal Order</v>
      </c>
      <c r="C8" s="311">
        <f ca="1">Dashboard!$F$1</f>
        <v>46157</v>
      </c>
      <c r="D8" s="311">
        <f ca="1">Dashboard!$H$1</f>
        <v>46170</v>
      </c>
      <c r="E8" s="204" t="s">
        <v>983</v>
      </c>
      <c r="F8" s="292" t="s">
        <v>984</v>
      </c>
      <c r="G8" s="193">
        <v>24397</v>
      </c>
      <c r="H8" s="194" t="s">
        <v>985</v>
      </c>
      <c r="I8" s="293" t="s">
        <v>13</v>
      </c>
      <c r="J8" s="204">
        <v>2</v>
      </c>
      <c r="K8" s="204">
        <v>2</v>
      </c>
      <c r="L8" s="204"/>
      <c r="M8" s="194" t="s">
        <v>417</v>
      </c>
      <c r="N8" s="207" t="s">
        <v>287</v>
      </c>
      <c r="O8" s="207"/>
      <c r="P8" s="207" t="s">
        <v>275</v>
      </c>
      <c r="Q8" s="207"/>
      <c r="R8" s="253" t="s">
        <v>986</v>
      </c>
      <c r="S8" s="208">
        <v>45646</v>
      </c>
      <c r="T8" s="208">
        <v>45660</v>
      </c>
      <c r="U8" s="207" t="s">
        <v>287</v>
      </c>
      <c r="V8" s="207"/>
      <c r="W8" s="207" t="s">
        <v>441</v>
      </c>
      <c r="X8" s="208">
        <v>45660</v>
      </c>
      <c r="Y8" s="207"/>
      <c r="Z8" s="207"/>
      <c r="AA8" s="207"/>
      <c r="AB8" s="279"/>
    </row>
    <row r="9" spans="1:28" s="207" customFormat="1" ht="23.25">
      <c r="A9" s="271">
        <f t="shared" si="0"/>
        <v>8</v>
      </c>
      <c r="B9" s="278" t="str">
        <f>Dashboard!$J$1</f>
        <v>Meal Order</v>
      </c>
      <c r="C9" s="311">
        <f ca="1">Dashboard!$F$1</f>
        <v>46157</v>
      </c>
      <c r="D9" s="311">
        <f ca="1">Dashboard!$H$1</f>
        <v>46170</v>
      </c>
      <c r="E9" s="204" t="s">
        <v>987</v>
      </c>
      <c r="F9" s="292" t="s">
        <v>984</v>
      </c>
      <c r="G9" s="193">
        <v>23861</v>
      </c>
      <c r="H9" s="194" t="s">
        <v>988</v>
      </c>
      <c r="I9" s="293" t="s">
        <v>13</v>
      </c>
      <c r="J9" s="204">
        <v>3</v>
      </c>
      <c r="K9" s="204">
        <v>3</v>
      </c>
      <c r="L9" s="204"/>
      <c r="M9" s="194" t="s">
        <v>417</v>
      </c>
      <c r="N9" s="207" t="s">
        <v>287</v>
      </c>
      <c r="P9" s="207" t="s">
        <v>275</v>
      </c>
      <c r="R9" s="253" t="s">
        <v>989</v>
      </c>
      <c r="S9" s="208">
        <v>45646</v>
      </c>
      <c r="T9" s="208">
        <v>45660</v>
      </c>
      <c r="U9" s="207" t="s">
        <v>287</v>
      </c>
      <c r="W9" s="207" t="s">
        <v>441</v>
      </c>
      <c r="X9" s="208">
        <v>45660</v>
      </c>
      <c r="AB9" s="279"/>
    </row>
    <row r="10" spans="1:28" s="194" customFormat="1" ht="35.25">
      <c r="A10" s="271">
        <f t="shared" si="0"/>
        <v>9</v>
      </c>
      <c r="B10" s="278" t="str">
        <f>Dashboard!$J$1</f>
        <v>Meal Order</v>
      </c>
      <c r="C10" s="311">
        <f ca="1">Dashboard!$F$1</f>
        <v>46157</v>
      </c>
      <c r="D10" s="311">
        <f ca="1">Dashboard!$H$1</f>
        <v>46170</v>
      </c>
      <c r="E10" s="204" t="s">
        <v>983</v>
      </c>
      <c r="F10" s="204" t="s">
        <v>417</v>
      </c>
      <c r="G10" s="204">
        <v>23746</v>
      </c>
      <c r="H10" s="207" t="s">
        <v>945</v>
      </c>
      <c r="I10" s="204" t="s">
        <v>428</v>
      </c>
      <c r="J10" s="204">
        <v>3</v>
      </c>
      <c r="K10" s="204">
        <v>3</v>
      </c>
      <c r="L10" s="204"/>
      <c r="M10" s="207" t="s">
        <v>417</v>
      </c>
      <c r="N10" s="207" t="s">
        <v>287</v>
      </c>
      <c r="O10" s="207"/>
      <c r="P10" s="207" t="s">
        <v>275</v>
      </c>
      <c r="Q10" s="207"/>
      <c r="R10" s="253" t="s">
        <v>990</v>
      </c>
      <c r="S10" s="208">
        <v>45666</v>
      </c>
      <c r="T10" s="207"/>
      <c r="U10" s="207" t="s">
        <v>287</v>
      </c>
      <c r="V10" s="207"/>
      <c r="W10" s="207" t="s">
        <v>441</v>
      </c>
      <c r="X10" s="208"/>
      <c r="Y10" s="207"/>
      <c r="Z10" s="207"/>
      <c r="AA10" s="207"/>
      <c r="AB10" s="279"/>
    </row>
    <row r="11" spans="1:28" ht="23.25">
      <c r="A11" s="271">
        <f t="shared" si="0"/>
        <v>10</v>
      </c>
      <c r="B11" s="193" t="str">
        <f>Dashboard!$J$1</f>
        <v>Meal Order</v>
      </c>
      <c r="C11" s="313">
        <f ca="1">Dashboard!$F$1</f>
        <v>46157</v>
      </c>
      <c r="D11" s="313">
        <f ca="1">Dashboard!$H$1</f>
        <v>46170</v>
      </c>
      <c r="E11" s="193" t="s">
        <v>983</v>
      </c>
      <c r="F11" s="193" t="s">
        <v>417</v>
      </c>
      <c r="G11" s="193">
        <v>24468</v>
      </c>
      <c r="H11" s="194" t="s">
        <v>953</v>
      </c>
      <c r="I11" s="193" t="s">
        <v>428</v>
      </c>
      <c r="J11" s="193">
        <v>2</v>
      </c>
      <c r="K11" s="193">
        <v>2</v>
      </c>
      <c r="L11" s="193"/>
      <c r="M11" s="194" t="s">
        <v>417</v>
      </c>
      <c r="N11" s="194" t="s">
        <v>287</v>
      </c>
      <c r="O11" s="194"/>
      <c r="P11" s="194" t="s">
        <v>275</v>
      </c>
      <c r="Q11" s="194"/>
      <c r="R11" s="236" t="s">
        <v>991</v>
      </c>
      <c r="S11" s="206">
        <v>45665</v>
      </c>
      <c r="T11" s="194"/>
      <c r="U11" s="194" t="s">
        <v>287</v>
      </c>
      <c r="V11" s="194"/>
      <c r="W11" s="194" t="s">
        <v>441</v>
      </c>
      <c r="X11" s="206"/>
      <c r="Y11" s="194"/>
      <c r="Z11" s="194"/>
      <c r="AA11" s="194"/>
      <c r="AB11" s="194"/>
    </row>
    <row r="12" spans="1:28" s="194" customFormat="1" ht="23.25">
      <c r="A12" s="271">
        <f t="shared" si="0"/>
        <v>11</v>
      </c>
      <c r="B12" s="271" t="str">
        <f>Dashboard!$J$1</f>
        <v>Meal Order</v>
      </c>
      <c r="C12" s="310">
        <f ca="1">Dashboard!$F$1</f>
        <v>46157</v>
      </c>
      <c r="D12" s="310">
        <f ca="1">Dashboard!$H$1</f>
        <v>46170</v>
      </c>
      <c r="E12" s="193" t="s">
        <v>987</v>
      </c>
      <c r="F12" s="291" t="s">
        <v>972</v>
      </c>
      <c r="G12" s="193">
        <v>24395</v>
      </c>
      <c r="H12" s="290" t="s">
        <v>992</v>
      </c>
      <c r="I12" s="293" t="s">
        <v>13</v>
      </c>
      <c r="J12" s="204">
        <v>1</v>
      </c>
      <c r="K12" s="204">
        <v>1</v>
      </c>
      <c r="L12" s="204"/>
      <c r="N12" s="207"/>
      <c r="O12" s="207"/>
      <c r="P12" s="207"/>
      <c r="Q12" s="207"/>
      <c r="R12" s="253"/>
      <c r="S12" s="280"/>
      <c r="T12" s="280"/>
      <c r="U12" s="207"/>
      <c r="V12" s="207"/>
      <c r="W12" s="207"/>
      <c r="X12" s="280"/>
      <c r="Y12" s="207"/>
      <c r="Z12" s="207"/>
      <c r="AA12" s="207"/>
      <c r="AB12" s="279"/>
    </row>
    <row r="13" spans="1:28" ht="23.25">
      <c r="A13" s="271">
        <f t="shared" si="0"/>
        <v>12</v>
      </c>
      <c r="B13" s="278" t="str">
        <f>Dashboard!$J$1</f>
        <v>Meal Order</v>
      </c>
      <c r="C13" s="311">
        <f ca="1">Dashboard!$F$1</f>
        <v>46157</v>
      </c>
      <c r="D13" s="311">
        <f ca="1">Dashboard!$H$1</f>
        <v>46170</v>
      </c>
      <c r="E13" s="193" t="s">
        <v>987</v>
      </c>
      <c r="F13" s="204" t="s">
        <v>272</v>
      </c>
      <c r="G13" s="204">
        <v>85707</v>
      </c>
      <c r="H13" s="207" t="s">
        <v>993</v>
      </c>
      <c r="I13" s="293" t="s">
        <v>13</v>
      </c>
      <c r="J13" s="204">
        <v>1</v>
      </c>
      <c r="K13" s="204">
        <v>1</v>
      </c>
      <c r="L13" s="204"/>
      <c r="M13" s="207"/>
      <c r="N13" s="207"/>
      <c r="O13" s="207"/>
      <c r="P13" s="207"/>
      <c r="Q13" s="207"/>
      <c r="R13" s="253"/>
      <c r="S13" s="207"/>
      <c r="T13" s="207"/>
      <c r="U13" s="207"/>
      <c r="V13" s="207"/>
      <c r="W13" s="207"/>
      <c r="X13" s="208"/>
      <c r="Y13" s="207"/>
      <c r="Z13" s="207"/>
      <c r="AA13" s="207"/>
      <c r="AB13" s="279"/>
    </row>
    <row r="14" spans="1:28" ht="23.25">
      <c r="A14" s="271">
        <f t="shared" si="0"/>
        <v>13</v>
      </c>
      <c r="B14" s="278" t="str">
        <f>Dashboard!$J$1</f>
        <v>Meal Order</v>
      </c>
      <c r="C14" s="311">
        <f ca="1">Dashboard!$F$1</f>
        <v>46157</v>
      </c>
      <c r="D14" s="311">
        <f ca="1">Dashboard!$H$1</f>
        <v>46170</v>
      </c>
      <c r="E14" s="193" t="s">
        <v>987</v>
      </c>
      <c r="F14" s="204" t="s">
        <v>287</v>
      </c>
      <c r="G14" s="204">
        <v>24474</v>
      </c>
      <c r="H14" s="207" t="s">
        <v>994</v>
      </c>
      <c r="I14" s="293" t="s">
        <v>13</v>
      </c>
      <c r="J14" s="204">
        <v>3</v>
      </c>
      <c r="K14" s="204">
        <v>3</v>
      </c>
      <c r="L14" s="204"/>
      <c r="M14" s="207"/>
      <c r="N14" s="207"/>
      <c r="O14" s="207"/>
      <c r="P14" s="207" t="s">
        <v>287</v>
      </c>
      <c r="Q14" s="207"/>
      <c r="R14" s="253" t="s">
        <v>995</v>
      </c>
      <c r="S14" s="312"/>
      <c r="T14" s="312"/>
      <c r="U14" s="207"/>
      <c r="V14" s="207"/>
      <c r="W14" s="207"/>
      <c r="X14" s="208"/>
      <c r="Y14" s="207"/>
      <c r="Z14" s="207"/>
      <c r="AA14" s="207"/>
      <c r="AB14" s="279"/>
    </row>
  </sheetData>
  <hyperlinks>
    <hyperlink ref="R3" r:id="rId1" xr:uid="{82BC6B37-6CA2-4459-90F8-63DEA3F45928}"/>
    <hyperlink ref="R8" r:id="rId2" xr:uid="{B2315455-5294-498A-8106-4E047BB29B7F}"/>
    <hyperlink ref="R9" r:id="rId3" xr:uid="{48ECF240-8D52-41F9-B72F-1A29C1F52D75}"/>
    <hyperlink ref="R10" r:id="rId4" xr:uid="{958C06A3-90F0-45AE-ABDF-904EE5E76C07}"/>
    <hyperlink ref="R11" r:id="rId5" xr:uid="{B0306D80-8553-462F-9C20-413273CC33E6}"/>
    <hyperlink ref="R2" r:id="rId6" xr:uid="{0D51E2B9-9A69-42F6-8780-C21805155119}"/>
    <hyperlink ref="R5" r:id="rId7" xr:uid="{C631D43C-673F-454D-A754-67DE8D4CE552}"/>
    <hyperlink ref="R6" r:id="rId8" xr:uid="{60AF3CAA-DF96-423B-A992-15C160BDB2F7}"/>
    <hyperlink ref="R7" r:id="rId9" xr:uid="{697749F5-B1A5-4B83-8E1B-C96D6602F21B}"/>
    <hyperlink ref="R4" r:id="rId10" xr:uid="{0489EEA9-C83E-4985-AA00-DEC2C7E0087A}"/>
    <hyperlink ref="R14" r:id="rId11" xr:uid="{D2017B52-F718-4CC1-AE00-D53BF7542479}"/>
  </hyperlinks>
  <pageMargins left="0.7" right="0.7" top="0.75" bottom="0.75" header="0.3" footer="0.3"/>
  <tableParts count="1">
    <tablePart r:id="rId12"/>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5C03E-5412-490E-93FC-2E263983D77F}">
  <sheetPr>
    <outlinePr summaryBelow="0" summaryRight="0"/>
  </sheetPr>
  <dimension ref="A3:AA43"/>
  <sheetViews>
    <sheetView workbookViewId="0">
      <selection activeCell="C8" sqref="C8"/>
    </sheetView>
  </sheetViews>
  <sheetFormatPr defaultColWidth="12.5703125" defaultRowHeight="15.75" customHeight="1"/>
  <cols>
    <col min="1" max="1" width="6.7109375" style="48" customWidth="1"/>
    <col min="2" max="3" width="9.140625" style="48" bestFit="1" customWidth="1"/>
    <col min="4" max="4" width="15.5703125" style="48" customWidth="1"/>
    <col min="5" max="5" width="9.140625" style="48" bestFit="1" customWidth="1"/>
    <col min="6" max="6" width="74.42578125" style="70" bestFit="1" customWidth="1"/>
    <col min="7" max="7" width="14.7109375" style="48" customWidth="1"/>
    <col min="8" max="9" width="9.140625" style="48" bestFit="1" customWidth="1"/>
    <col min="10" max="10" width="15.85546875" style="48" customWidth="1"/>
    <col min="11" max="11" width="106.7109375" style="48" customWidth="1"/>
    <col min="12" max="12" width="92.28515625" style="70" customWidth="1"/>
    <col min="13" max="16384" width="12.5703125" style="70"/>
  </cols>
  <sheetData>
    <row r="3" spans="1:27" s="48" customFormat="1" ht="27">
      <c r="A3" s="88" t="s">
        <v>243</v>
      </c>
      <c r="B3" s="209" t="s">
        <v>11</v>
      </c>
      <c r="C3" s="209" t="s">
        <v>297</v>
      </c>
      <c r="D3" s="209" t="s">
        <v>245</v>
      </c>
      <c r="E3" s="209" t="s">
        <v>299</v>
      </c>
      <c r="F3" s="209" t="s">
        <v>300</v>
      </c>
      <c r="G3" s="209" t="s">
        <v>301</v>
      </c>
      <c r="H3" s="209" t="s">
        <v>303</v>
      </c>
      <c r="I3" s="209" t="s">
        <v>248</v>
      </c>
      <c r="J3" s="213" t="s">
        <v>305</v>
      </c>
      <c r="K3" s="213" t="s">
        <v>923</v>
      </c>
      <c r="L3" s="214" t="s">
        <v>269</v>
      </c>
      <c r="M3" s="210"/>
      <c r="N3" s="210"/>
      <c r="O3" s="210"/>
      <c r="P3" s="210"/>
      <c r="Q3" s="210"/>
      <c r="R3" s="210"/>
      <c r="S3" s="210"/>
      <c r="T3" s="210"/>
      <c r="U3" s="210"/>
      <c r="V3" s="210"/>
      <c r="W3" s="210"/>
      <c r="X3" s="210"/>
      <c r="Y3" s="210"/>
      <c r="Z3" s="210"/>
      <c r="AA3" s="210"/>
    </row>
    <row r="4" spans="1:27" s="67" customFormat="1" ht="23.25">
      <c r="A4" s="261">
        <v>1</v>
      </c>
      <c r="B4" s="299" t="s">
        <v>987</v>
      </c>
      <c r="C4" s="299">
        <v>24395</v>
      </c>
      <c r="D4" s="261" t="s">
        <v>634</v>
      </c>
      <c r="E4" s="261" t="s">
        <v>715</v>
      </c>
      <c r="F4" s="308" t="s">
        <v>992</v>
      </c>
      <c r="G4" s="261" t="s">
        <v>784</v>
      </c>
      <c r="H4" s="261" t="s">
        <v>311</v>
      </c>
      <c r="I4" s="316" t="s">
        <v>13</v>
      </c>
      <c r="J4" s="222" t="s">
        <v>931</v>
      </c>
      <c r="K4" s="67" t="s">
        <v>996</v>
      </c>
      <c r="L4" s="234" t="s">
        <v>997</v>
      </c>
    </row>
    <row r="5" spans="1:27" s="67" customFormat="1" ht="23.25">
      <c r="A5" s="261">
        <v>2</v>
      </c>
      <c r="B5" s="193" t="s">
        <v>987</v>
      </c>
      <c r="C5" s="193">
        <v>24397</v>
      </c>
      <c r="D5" s="261" t="s">
        <v>417</v>
      </c>
      <c r="E5" s="261" t="s">
        <v>715</v>
      </c>
      <c r="F5" s="281" t="s">
        <v>985</v>
      </c>
      <c r="G5" s="261" t="s">
        <v>784</v>
      </c>
      <c r="H5" s="261" t="s">
        <v>311</v>
      </c>
      <c r="I5" s="316" t="s">
        <v>13</v>
      </c>
      <c r="J5" s="261" t="s">
        <v>859</v>
      </c>
      <c r="K5" s="67" t="s">
        <v>998</v>
      </c>
      <c r="L5" s="234" t="s">
        <v>999</v>
      </c>
    </row>
    <row r="6" spans="1:27" s="67" customFormat="1" ht="23.25">
      <c r="A6" s="261">
        <v>3</v>
      </c>
      <c r="B6" s="193" t="s">
        <v>987</v>
      </c>
      <c r="C6" s="49">
        <v>23861</v>
      </c>
      <c r="D6" s="261" t="s">
        <v>417</v>
      </c>
      <c r="E6" s="261" t="s">
        <v>715</v>
      </c>
      <c r="F6" s="309" t="s">
        <v>1000</v>
      </c>
      <c r="G6" s="261" t="s">
        <v>784</v>
      </c>
      <c r="H6" s="261" t="s">
        <v>311</v>
      </c>
      <c r="I6" s="316" t="s">
        <v>13</v>
      </c>
      <c r="J6" s="261" t="s">
        <v>859</v>
      </c>
      <c r="K6" s="67" t="s">
        <v>1001</v>
      </c>
      <c r="L6" s="234" t="s">
        <v>999</v>
      </c>
    </row>
    <row r="7" spans="1:27" s="67" customFormat="1" ht="23.25">
      <c r="A7" s="222">
        <v>4</v>
      </c>
      <c r="B7" s="127" t="s">
        <v>987</v>
      </c>
      <c r="C7" s="193">
        <v>23746</v>
      </c>
      <c r="D7" s="222" t="s">
        <v>417</v>
      </c>
      <c r="E7" s="222" t="s">
        <v>715</v>
      </c>
      <c r="F7" s="194" t="s">
        <v>945</v>
      </c>
      <c r="G7" s="222" t="s">
        <v>784</v>
      </c>
      <c r="H7" s="261" t="s">
        <v>311</v>
      </c>
      <c r="I7" s="193" t="s">
        <v>952</v>
      </c>
      <c r="J7" s="222" t="s">
        <v>859</v>
      </c>
      <c r="K7" s="67" t="s">
        <v>946</v>
      </c>
      <c r="L7" s="67" t="s">
        <v>1002</v>
      </c>
    </row>
    <row r="8" spans="1:27" s="67" customFormat="1" ht="23.25">
      <c r="A8" s="222">
        <v>5</v>
      </c>
      <c r="B8" s="127" t="s">
        <v>987</v>
      </c>
      <c r="C8" s="193">
        <v>24468</v>
      </c>
      <c r="D8" s="222" t="s">
        <v>417</v>
      </c>
      <c r="E8" s="222" t="s">
        <v>715</v>
      </c>
      <c r="F8" s="194" t="s">
        <v>953</v>
      </c>
      <c r="G8" s="261" t="s">
        <v>307</v>
      </c>
      <c r="H8" s="222" t="s">
        <v>311</v>
      </c>
      <c r="I8" s="193" t="s">
        <v>952</v>
      </c>
      <c r="J8" s="222" t="s">
        <v>859</v>
      </c>
      <c r="K8" s="67" t="s">
        <v>1003</v>
      </c>
      <c r="L8" s="67" t="s">
        <v>947</v>
      </c>
    </row>
    <row r="9" spans="1:27" s="67" customFormat="1" ht="23.25">
      <c r="A9" s="83">
        <v>6</v>
      </c>
      <c r="B9" s="127" t="s">
        <v>987</v>
      </c>
      <c r="C9" s="83">
        <v>24474</v>
      </c>
      <c r="D9" s="83" t="s">
        <v>287</v>
      </c>
      <c r="E9" s="83" t="s">
        <v>715</v>
      </c>
      <c r="F9" s="212" t="s">
        <v>994</v>
      </c>
      <c r="G9" s="83" t="s">
        <v>784</v>
      </c>
      <c r="H9" s="83" t="s">
        <v>311</v>
      </c>
      <c r="I9" s="316" t="s">
        <v>13</v>
      </c>
      <c r="J9" s="222" t="s">
        <v>859</v>
      </c>
      <c r="K9" s="67" t="s">
        <v>946</v>
      </c>
    </row>
    <row r="10" spans="1:27" s="67" customFormat="1" ht="12.75">
      <c r="A10" s="83"/>
      <c r="B10" s="83"/>
      <c r="C10" s="83"/>
      <c r="D10" s="83"/>
      <c r="E10" s="83"/>
      <c r="F10" s="86"/>
      <c r="G10" s="83"/>
      <c r="H10" s="83"/>
      <c r="I10" s="83"/>
      <c r="J10" s="33"/>
      <c r="K10" s="234"/>
    </row>
    <row r="11" spans="1:27" ht="12.75">
      <c r="A11" s="223"/>
      <c r="B11" s="224"/>
      <c r="C11" s="224"/>
      <c r="D11" s="224"/>
      <c r="E11" s="224"/>
      <c r="F11" s="218"/>
      <c r="G11" s="224"/>
      <c r="H11" s="224"/>
      <c r="I11" s="224"/>
      <c r="J11" s="224"/>
      <c r="K11" s="234"/>
      <c r="L11" s="217"/>
      <c r="M11" s="219"/>
      <c r="N11" s="219"/>
      <c r="O11" s="219"/>
      <c r="P11" s="219"/>
      <c r="Q11" s="219"/>
      <c r="R11" s="219"/>
      <c r="S11" s="219"/>
      <c r="T11" s="219"/>
      <c r="U11" s="219"/>
      <c r="V11" s="219"/>
      <c r="W11" s="219"/>
      <c r="X11" s="219"/>
      <c r="Y11" s="219"/>
      <c r="Z11" s="219"/>
      <c r="AA11" s="219"/>
    </row>
    <row r="13" spans="1:27" ht="15.75" customHeight="1">
      <c r="F13" s="70" t="s">
        <v>929</v>
      </c>
    </row>
    <row r="34" spans="1:1" ht="15.75" customHeight="1">
      <c r="A34" s="220" t="s">
        <v>930</v>
      </c>
    </row>
    <row r="35" spans="1:1" ht="15.75" customHeight="1">
      <c r="A35" s="221" t="s">
        <v>931</v>
      </c>
    </row>
    <row r="36" spans="1:1" ht="15.75" customHeight="1">
      <c r="A36" s="221" t="s">
        <v>859</v>
      </c>
    </row>
    <row r="37" spans="1:1" ht="15.75" customHeight="1">
      <c r="A37" s="221" t="s">
        <v>932</v>
      </c>
    </row>
    <row r="38" spans="1:1" ht="15.75" customHeight="1">
      <c r="A38" s="221" t="s">
        <v>933</v>
      </c>
    </row>
    <row r="39" spans="1:1" ht="15.75" customHeight="1">
      <c r="A39" s="221" t="s">
        <v>902</v>
      </c>
    </row>
    <row r="40" spans="1:1" ht="15.75" customHeight="1">
      <c r="A40" s="221" t="s">
        <v>934</v>
      </c>
    </row>
    <row r="41" spans="1:1" ht="15.75" customHeight="1">
      <c r="A41" s="221" t="s">
        <v>935</v>
      </c>
    </row>
    <row r="42" spans="1:1" ht="15.75" customHeight="1">
      <c r="A42" s="221" t="s">
        <v>936</v>
      </c>
    </row>
    <row r="43" spans="1:1" ht="15.75" customHeight="1">
      <c r="A43" s="221" t="s">
        <v>937</v>
      </c>
    </row>
  </sheetData>
  <dataValidations count="5">
    <dataValidation type="list" allowBlank="1" showErrorMessage="1" sqref="J4:J10" xr:uid="{E2A94CAA-A3CC-46AC-ADBC-A5FBCDA08959}">
      <formula1>$A$35:$A$43</formula1>
    </dataValidation>
    <dataValidation type="list" allowBlank="1" showErrorMessage="1" sqref="E11 E4:E8" xr:uid="{160603BA-DD09-4633-B5A8-82024E9C91CB}">
      <formula1>"Bounceback,Defect,None"</formula1>
    </dataValidation>
    <dataValidation type="list" allowBlank="1" showErrorMessage="1" sqref="I11 I4:I9" xr:uid="{3E04CC8B-1F2F-4020-B933-7CA6056737C6}">
      <formula1>"Open,Inprogress,Closed"</formula1>
    </dataValidation>
    <dataValidation type="list" allowBlank="1" showErrorMessage="1" sqref="H11 H4:H8" xr:uid="{337BE1A0-5709-4ED5-B35F-92E8F0E6F174}">
      <formula1>"Internal,External"</formula1>
    </dataValidation>
    <dataValidation type="list" allowBlank="1" showErrorMessage="1" sqref="G11 G4:G8" xr:uid="{EEFEF81B-9BC6-4188-9A52-EE432A48649F}">
      <formula1>"Minor,Significant,Major"</formula1>
    </dataValidation>
  </dataValidations>
  <pageMargins left="0" right="0" top="0" bottom="0" header="0" footer="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B39FC-86D2-4F10-8E56-FB8CBD8314ED}">
  <dimension ref="A1:DA20"/>
  <sheetViews>
    <sheetView workbookViewId="0">
      <pane xSplit="8" topLeftCell="L1" activePane="topRight" state="frozen"/>
      <selection pane="topRight" activeCell="L1" sqref="L1"/>
    </sheetView>
  </sheetViews>
  <sheetFormatPr defaultRowHeight="12.75"/>
  <cols>
    <col min="1" max="1" width="7.7109375" style="133" bestFit="1" customWidth="1"/>
    <col min="2" max="2" width="12" style="133" customWidth="1"/>
    <col min="3" max="3" width="11.7109375" style="133" customWidth="1"/>
    <col min="4" max="4" width="8.7109375" style="133" customWidth="1"/>
    <col min="5" max="5" width="11.85546875" style="133" customWidth="1"/>
    <col min="6" max="6" width="12.42578125" style="133" bestFit="1" customWidth="1"/>
    <col min="7" max="7" width="11.85546875" style="133" customWidth="1"/>
    <col min="8" max="8" width="62.140625" style="168" customWidth="1"/>
    <col min="9" max="9" width="18.5703125" style="133" customWidth="1"/>
    <col min="10" max="10" width="12.42578125" style="133" customWidth="1"/>
    <col min="11" max="11" width="11.42578125" style="133" bestFit="1" customWidth="1"/>
    <col min="12" max="12" width="11.42578125" style="133" customWidth="1"/>
    <col min="13" max="13" width="12.42578125" style="168" bestFit="1" customWidth="1"/>
    <col min="14" max="14" width="16.7109375" style="168" customWidth="1"/>
    <col min="15" max="15" width="14.7109375" style="168" customWidth="1"/>
    <col min="16" max="16" width="12.42578125" style="168" customWidth="1"/>
    <col min="17" max="17" width="26.28515625" style="168" customWidth="1"/>
    <col min="18" max="18" width="45.5703125" style="168" customWidth="1"/>
    <col min="19" max="20" width="13.42578125" style="168" bestFit="1" customWidth="1"/>
    <col min="21" max="21" width="11.42578125" style="168" bestFit="1" customWidth="1"/>
    <col min="22" max="22" width="11.42578125" style="178" bestFit="1" customWidth="1"/>
    <col min="23" max="23" width="11.42578125" style="168" bestFit="1" customWidth="1"/>
    <col min="24" max="24" width="13.42578125" style="168" bestFit="1" customWidth="1"/>
    <col min="25" max="25" width="11.42578125" style="168" bestFit="1" customWidth="1"/>
    <col min="26" max="26" width="20.5703125" style="168" customWidth="1"/>
    <col min="27" max="27" width="59.5703125" style="168" customWidth="1"/>
    <col min="28" max="28" width="50.5703125" style="168" customWidth="1"/>
    <col min="29" max="16384" width="9.140625" style="168"/>
  </cols>
  <sheetData>
    <row r="1" spans="1:105" ht="46.5">
      <c r="A1" s="274" t="s">
        <v>243</v>
      </c>
      <c r="B1" s="88" t="s">
        <v>4</v>
      </c>
      <c r="C1" s="88" t="s">
        <v>2</v>
      </c>
      <c r="D1" s="88" t="s">
        <v>3</v>
      </c>
      <c r="E1" s="275" t="s">
        <v>244</v>
      </c>
      <c r="F1" s="275" t="s">
        <v>245</v>
      </c>
      <c r="G1" s="275" t="s">
        <v>246</v>
      </c>
      <c r="H1" s="276" t="s">
        <v>247</v>
      </c>
      <c r="I1" s="275" t="s">
        <v>248</v>
      </c>
      <c r="J1" s="275" t="s">
        <v>966</v>
      </c>
      <c r="K1" s="275" t="s">
        <v>967</v>
      </c>
      <c r="L1" s="275" t="s">
        <v>251</v>
      </c>
      <c r="M1" s="276" t="s">
        <v>254</v>
      </c>
      <c r="N1" s="276" t="s">
        <v>255</v>
      </c>
      <c r="O1" s="276" t="s">
        <v>256</v>
      </c>
      <c r="P1" s="276" t="s">
        <v>257</v>
      </c>
      <c r="Q1" s="276" t="s">
        <v>258</v>
      </c>
      <c r="R1" s="276" t="s">
        <v>259</v>
      </c>
      <c r="S1" s="276" t="s">
        <v>260</v>
      </c>
      <c r="T1" s="276" t="s">
        <v>261</v>
      </c>
      <c r="U1" s="276" t="s">
        <v>262</v>
      </c>
      <c r="V1" s="276" t="s">
        <v>263</v>
      </c>
      <c r="W1" s="276" t="s">
        <v>264</v>
      </c>
      <c r="X1" s="276" t="s">
        <v>265</v>
      </c>
      <c r="Y1" s="276" t="s">
        <v>266</v>
      </c>
      <c r="Z1" s="276" t="s">
        <v>267</v>
      </c>
      <c r="AA1" s="276" t="s">
        <v>268</v>
      </c>
      <c r="AB1" s="277" t="s">
        <v>269</v>
      </c>
    </row>
    <row r="2" spans="1:105" s="194" customFormat="1" ht="15">
      <c r="A2" s="327">
        <v>1</v>
      </c>
      <c r="B2" s="319" t="str">
        <f>Dashboard!$J$1</f>
        <v>Meal Order</v>
      </c>
      <c r="C2" s="320">
        <f ca="1">Dashboard!$F$1</f>
        <v>46157</v>
      </c>
      <c r="D2" s="320">
        <f ca="1">Dashboard!$H$1</f>
        <v>46170</v>
      </c>
      <c r="E2" s="328" t="s">
        <v>89</v>
      </c>
      <c r="F2" s="329" t="s">
        <v>275</v>
      </c>
      <c r="G2" s="288">
        <v>46713</v>
      </c>
      <c r="H2" s="234" t="s">
        <v>977</v>
      </c>
      <c r="I2" s="330" t="s">
        <v>280</v>
      </c>
      <c r="J2" s="331">
        <v>8</v>
      </c>
      <c r="K2" s="331">
        <v>8</v>
      </c>
      <c r="L2" s="331"/>
      <c r="M2" s="234"/>
      <c r="N2" s="332"/>
      <c r="O2" s="332"/>
      <c r="P2" s="332" t="s">
        <v>287</v>
      </c>
      <c r="Q2" s="332"/>
      <c r="R2" s="226" t="s">
        <v>971</v>
      </c>
      <c r="S2" s="333">
        <v>45717</v>
      </c>
      <c r="T2" s="333">
        <v>45717</v>
      </c>
      <c r="U2" s="332" t="s">
        <v>287</v>
      </c>
      <c r="V2" s="332"/>
      <c r="W2" s="234" t="s">
        <v>441</v>
      </c>
      <c r="X2" s="334">
        <v>45660</v>
      </c>
      <c r="Y2" s="332"/>
      <c r="Z2" s="332"/>
      <c r="AA2" s="332"/>
      <c r="AB2" s="335"/>
    </row>
    <row r="3" spans="1:105" s="194" customFormat="1" ht="15">
      <c r="A3" s="288">
        <v>2</v>
      </c>
      <c r="B3" s="336" t="str">
        <f>Dashboard!$J$1</f>
        <v>Meal Order</v>
      </c>
      <c r="C3" s="337">
        <f ca="1">Dashboard!$F$1</f>
        <v>46157</v>
      </c>
      <c r="D3" s="337">
        <f ca="1">Dashboard!$H$1</f>
        <v>46170</v>
      </c>
      <c r="E3" s="338" t="s">
        <v>89</v>
      </c>
      <c r="F3" s="329" t="s">
        <v>287</v>
      </c>
      <c r="G3" s="288">
        <v>46714</v>
      </c>
      <c r="H3" s="234" t="s">
        <v>982</v>
      </c>
      <c r="I3" s="330" t="s">
        <v>280</v>
      </c>
      <c r="J3" s="331">
        <v>8</v>
      </c>
      <c r="K3" s="331">
        <v>8</v>
      </c>
      <c r="L3" s="331"/>
      <c r="M3" s="234"/>
      <c r="N3" s="332"/>
      <c r="O3" s="332"/>
      <c r="P3" s="332"/>
      <c r="Q3" s="332"/>
      <c r="R3" s="226" t="s">
        <v>971</v>
      </c>
      <c r="S3" s="333">
        <v>45717</v>
      </c>
      <c r="T3" s="333">
        <v>45717</v>
      </c>
      <c r="U3" s="332" t="s">
        <v>287</v>
      </c>
      <c r="V3" s="332"/>
      <c r="W3" s="234" t="s">
        <v>441</v>
      </c>
      <c r="X3" s="334">
        <v>45660</v>
      </c>
      <c r="Y3" s="234"/>
      <c r="Z3" s="234"/>
      <c r="AA3" s="234"/>
      <c r="AB3" s="339"/>
    </row>
    <row r="4" spans="1:105" s="194" customFormat="1" ht="15">
      <c r="A4" s="288">
        <v>3</v>
      </c>
      <c r="B4" s="340" t="str">
        <f>Dashboard!$J$1</f>
        <v>Meal Order</v>
      </c>
      <c r="C4" s="341">
        <f ca="1">Dashboard!$F$1</f>
        <v>46157</v>
      </c>
      <c r="D4" s="341">
        <f ca="1">Dashboard!$H$1</f>
        <v>46170</v>
      </c>
      <c r="E4" s="338" t="s">
        <v>89</v>
      </c>
      <c r="F4" s="329" t="s">
        <v>948</v>
      </c>
      <c r="G4" s="288">
        <v>24480</v>
      </c>
      <c r="H4" s="234" t="s">
        <v>949</v>
      </c>
      <c r="I4" s="330" t="s">
        <v>295</v>
      </c>
      <c r="J4" s="331">
        <v>5</v>
      </c>
      <c r="K4" s="331">
        <v>5</v>
      </c>
      <c r="L4" s="331"/>
      <c r="M4" s="234"/>
      <c r="N4" s="332"/>
      <c r="O4" s="332"/>
      <c r="P4" s="321" t="s">
        <v>287</v>
      </c>
      <c r="Q4" s="332"/>
      <c r="R4" s="226" t="s">
        <v>1004</v>
      </c>
      <c r="S4" s="333">
        <v>45670</v>
      </c>
      <c r="T4" s="333">
        <v>45670</v>
      </c>
      <c r="U4" s="332" t="s">
        <v>287</v>
      </c>
      <c r="V4" s="332"/>
      <c r="W4" s="234" t="s">
        <v>441</v>
      </c>
      <c r="X4" s="333">
        <v>45670</v>
      </c>
      <c r="Y4" s="332"/>
      <c r="Z4" s="332"/>
      <c r="AA4" s="332"/>
      <c r="AB4" s="335"/>
    </row>
    <row r="5" spans="1:105" s="194" customFormat="1" ht="15">
      <c r="A5" s="288">
        <v>4</v>
      </c>
      <c r="B5" s="340" t="str">
        <f>Dashboard!$J$1</f>
        <v>Meal Order</v>
      </c>
      <c r="C5" s="341">
        <f ca="1">Dashboard!$F$1</f>
        <v>46157</v>
      </c>
      <c r="D5" s="341">
        <f ca="1">Dashboard!$H$1</f>
        <v>46170</v>
      </c>
      <c r="E5" s="338" t="s">
        <v>89</v>
      </c>
      <c r="F5" s="329" t="s">
        <v>275</v>
      </c>
      <c r="G5" s="288">
        <v>24500</v>
      </c>
      <c r="H5" s="234" t="s">
        <v>950</v>
      </c>
      <c r="I5" s="330" t="s">
        <v>295</v>
      </c>
      <c r="J5" s="331">
        <v>1</v>
      </c>
      <c r="K5" s="331">
        <v>1</v>
      </c>
      <c r="L5" s="331"/>
      <c r="M5" s="234"/>
      <c r="N5" s="332"/>
      <c r="O5" s="332"/>
      <c r="P5" s="321"/>
      <c r="Q5" s="332"/>
      <c r="R5" s="226" t="s">
        <v>1005</v>
      </c>
      <c r="S5" s="333">
        <v>45672</v>
      </c>
      <c r="T5" s="333">
        <v>45672</v>
      </c>
      <c r="U5" s="332" t="s">
        <v>287</v>
      </c>
      <c r="V5" s="332"/>
      <c r="W5" s="234" t="s">
        <v>441</v>
      </c>
      <c r="X5" s="334">
        <v>45672</v>
      </c>
      <c r="Y5" s="332"/>
      <c r="Z5" s="332"/>
      <c r="AA5" s="332"/>
      <c r="AB5" s="335"/>
    </row>
    <row r="6" spans="1:105" s="194" customFormat="1" ht="15">
      <c r="A6" s="288">
        <v>5</v>
      </c>
      <c r="B6" s="342" t="str">
        <f>Dashboard!$J$1</f>
        <v>Meal Order</v>
      </c>
      <c r="C6" s="343">
        <f ca="1">Dashboard!$F$1</f>
        <v>46157</v>
      </c>
      <c r="D6" s="343">
        <f ca="1">Dashboard!$H$1</f>
        <v>46170</v>
      </c>
      <c r="E6" s="338" t="s">
        <v>89</v>
      </c>
      <c r="F6" s="329" t="s">
        <v>417</v>
      </c>
      <c r="G6" s="288">
        <v>23746</v>
      </c>
      <c r="H6" s="234" t="s">
        <v>945</v>
      </c>
      <c r="I6" s="330" t="s">
        <v>295</v>
      </c>
      <c r="J6" s="331">
        <v>2</v>
      </c>
      <c r="K6" s="331">
        <v>2</v>
      </c>
      <c r="L6" s="331"/>
      <c r="M6" s="234" t="s">
        <v>417</v>
      </c>
      <c r="N6" s="332" t="s">
        <v>287</v>
      </c>
      <c r="O6" s="332"/>
      <c r="P6" s="332" t="s">
        <v>275</v>
      </c>
      <c r="Q6" s="332"/>
      <c r="R6" s="226" t="s">
        <v>990</v>
      </c>
      <c r="S6" s="333">
        <v>45666</v>
      </c>
      <c r="T6" s="333">
        <v>45673</v>
      </c>
      <c r="U6" s="332" t="s">
        <v>287</v>
      </c>
      <c r="V6" s="332"/>
      <c r="W6" s="234" t="s">
        <v>441</v>
      </c>
      <c r="X6" s="334">
        <v>45673</v>
      </c>
      <c r="Y6" s="332"/>
      <c r="Z6" s="332"/>
      <c r="AA6" s="332"/>
      <c r="AB6" s="335"/>
    </row>
    <row r="7" spans="1:105" s="194" customFormat="1" ht="15">
      <c r="A7" s="288">
        <v>6</v>
      </c>
      <c r="B7" s="340" t="str">
        <f>Dashboard!$J$1</f>
        <v>Meal Order</v>
      </c>
      <c r="C7" s="341">
        <f ca="1">Dashboard!$F$1</f>
        <v>46157</v>
      </c>
      <c r="D7" s="341">
        <f ca="1">Dashboard!$H$1</f>
        <v>46170</v>
      </c>
      <c r="E7" s="338" t="s">
        <v>89</v>
      </c>
      <c r="F7" s="329" t="s">
        <v>275</v>
      </c>
      <c r="G7" s="288">
        <v>24468</v>
      </c>
      <c r="H7" s="234" t="s">
        <v>953</v>
      </c>
      <c r="I7" s="342" t="s">
        <v>1006</v>
      </c>
      <c r="J7" s="331">
        <v>2</v>
      </c>
      <c r="K7" s="331"/>
      <c r="L7" s="331"/>
      <c r="M7" s="234" t="s">
        <v>417</v>
      </c>
      <c r="N7" s="332" t="s">
        <v>287</v>
      </c>
      <c r="O7" s="332"/>
      <c r="P7" s="332" t="s">
        <v>275</v>
      </c>
      <c r="Q7" s="332"/>
      <c r="R7" s="226" t="s">
        <v>1007</v>
      </c>
      <c r="S7" s="333">
        <v>45678</v>
      </c>
      <c r="T7" s="333">
        <v>45678</v>
      </c>
      <c r="U7" s="332" t="s">
        <v>287</v>
      </c>
      <c r="V7" s="332"/>
      <c r="W7" s="234" t="s">
        <v>441</v>
      </c>
      <c r="X7" s="334">
        <v>45678</v>
      </c>
      <c r="Y7" s="332"/>
      <c r="Z7" s="332"/>
      <c r="AA7" s="332"/>
      <c r="AB7" s="335"/>
    </row>
    <row r="8" spans="1:105" s="194" customFormat="1" ht="15">
      <c r="A8" s="288">
        <v>7</v>
      </c>
      <c r="B8" s="340" t="str">
        <f>Dashboard!$J$1</f>
        <v>Meal Order</v>
      </c>
      <c r="C8" s="341">
        <f ca="1">Dashboard!$F$1</f>
        <v>46157</v>
      </c>
      <c r="D8" s="341">
        <f ca="1">Dashboard!$H$1</f>
        <v>46170</v>
      </c>
      <c r="E8" s="338" t="s">
        <v>89</v>
      </c>
      <c r="F8" s="329" t="s">
        <v>275</v>
      </c>
      <c r="G8" s="288">
        <v>24517</v>
      </c>
      <c r="H8" s="234" t="s">
        <v>951</v>
      </c>
      <c r="I8" s="330" t="s">
        <v>295</v>
      </c>
      <c r="J8" s="331">
        <v>1</v>
      </c>
      <c r="K8" s="331">
        <v>1</v>
      </c>
      <c r="L8" s="331"/>
      <c r="M8" s="234"/>
      <c r="N8" s="332"/>
      <c r="O8" s="332"/>
      <c r="P8" s="321" t="s">
        <v>287</v>
      </c>
      <c r="Q8" s="332"/>
      <c r="R8" s="226" t="s">
        <v>1008</v>
      </c>
      <c r="S8" s="333">
        <v>45675</v>
      </c>
      <c r="T8" s="333">
        <v>45678</v>
      </c>
      <c r="U8" s="332" t="s">
        <v>287</v>
      </c>
      <c r="V8" s="332"/>
      <c r="W8" s="234" t="s">
        <v>441</v>
      </c>
      <c r="X8" s="334">
        <v>45678</v>
      </c>
      <c r="Y8" s="332"/>
      <c r="Z8" s="332"/>
      <c r="AA8" s="332"/>
      <c r="AB8" s="335"/>
    </row>
    <row r="9" spans="1:105" s="207" customFormat="1">
      <c r="A9" s="288">
        <v>8</v>
      </c>
      <c r="B9" s="340" t="str">
        <f>Dashboard!$J$1</f>
        <v>Meal Order</v>
      </c>
      <c r="C9" s="341">
        <f ca="1">Dashboard!$F$1</f>
        <v>46157</v>
      </c>
      <c r="D9" s="341">
        <f ca="1">Dashboard!$H$1</f>
        <v>46170</v>
      </c>
      <c r="E9" s="338" t="s">
        <v>89</v>
      </c>
      <c r="F9" s="329" t="s">
        <v>417</v>
      </c>
      <c r="G9" s="288">
        <v>24523</v>
      </c>
      <c r="H9" s="234" t="s">
        <v>955</v>
      </c>
      <c r="I9" s="330" t="s">
        <v>295</v>
      </c>
      <c r="J9" s="331">
        <v>2</v>
      </c>
      <c r="K9" s="331">
        <v>2</v>
      </c>
      <c r="L9" s="331"/>
      <c r="M9" s="234" t="s">
        <v>417</v>
      </c>
      <c r="N9" s="332" t="s">
        <v>287</v>
      </c>
      <c r="O9" s="332"/>
      <c r="P9" s="332" t="s">
        <v>275</v>
      </c>
      <c r="Q9" s="332"/>
      <c r="R9" s="226" t="s">
        <v>1009</v>
      </c>
      <c r="S9" s="334">
        <v>45675</v>
      </c>
      <c r="T9" s="334">
        <v>45678</v>
      </c>
      <c r="U9" s="332" t="s">
        <v>287</v>
      </c>
      <c r="V9" s="332"/>
      <c r="W9" s="332" t="s">
        <v>441</v>
      </c>
      <c r="X9" s="334">
        <v>45678</v>
      </c>
      <c r="Y9" s="332"/>
      <c r="Z9" s="332"/>
      <c r="AA9" s="332"/>
      <c r="AB9" s="335"/>
    </row>
    <row r="10" spans="1:105" s="194" customFormat="1">
      <c r="A10" s="288">
        <v>9</v>
      </c>
      <c r="B10" s="340" t="str">
        <f>Dashboard!$J$1</f>
        <v>Meal Order</v>
      </c>
      <c r="C10" s="341">
        <f ca="1">Dashboard!$F$1</f>
        <v>46157</v>
      </c>
      <c r="D10" s="341">
        <f ca="1">Dashboard!$H$1</f>
        <v>46170</v>
      </c>
      <c r="E10" s="338" t="s">
        <v>89</v>
      </c>
      <c r="F10" s="331" t="s">
        <v>272</v>
      </c>
      <c r="G10" s="331">
        <v>46888</v>
      </c>
      <c r="H10" s="332" t="s">
        <v>1010</v>
      </c>
      <c r="I10" s="330" t="s">
        <v>280</v>
      </c>
      <c r="J10" s="331">
        <v>3</v>
      </c>
      <c r="K10" s="331">
        <v>3</v>
      </c>
      <c r="L10" s="331"/>
      <c r="M10" s="332"/>
      <c r="N10" s="332"/>
      <c r="O10" s="332"/>
      <c r="P10" s="332"/>
      <c r="Q10" s="332"/>
      <c r="R10" s="226"/>
      <c r="S10" s="334"/>
      <c r="T10" s="332"/>
      <c r="U10" s="332"/>
      <c r="V10" s="332"/>
      <c r="W10" s="332"/>
      <c r="X10" s="334"/>
      <c r="Y10" s="332"/>
      <c r="Z10" s="332"/>
      <c r="AA10" s="332"/>
      <c r="AB10" s="335"/>
    </row>
    <row r="11" spans="1:105">
      <c r="A11" s="288">
        <v>10</v>
      </c>
      <c r="B11" s="288" t="str">
        <f>Dashboard!$J$1</f>
        <v>Meal Order</v>
      </c>
      <c r="C11" s="344">
        <f ca="1">Dashboard!$F$1</f>
        <v>46157</v>
      </c>
      <c r="D11" s="344">
        <f ca="1">Dashboard!$H$1</f>
        <v>46170</v>
      </c>
      <c r="E11" s="338" t="s">
        <v>89</v>
      </c>
      <c r="F11" s="331" t="s">
        <v>272</v>
      </c>
      <c r="G11" s="288">
        <v>46889</v>
      </c>
      <c r="H11" s="234" t="s">
        <v>1011</v>
      </c>
      <c r="I11" s="330" t="s">
        <v>280</v>
      </c>
      <c r="J11" s="288">
        <v>3</v>
      </c>
      <c r="K11" s="288">
        <v>3</v>
      </c>
      <c r="L11" s="288"/>
      <c r="M11" s="234"/>
      <c r="N11" s="234"/>
      <c r="O11" s="234"/>
      <c r="P11" s="234"/>
      <c r="Q11" s="234"/>
      <c r="R11" s="225"/>
      <c r="S11" s="345"/>
      <c r="T11" s="234"/>
      <c r="U11" s="234"/>
      <c r="V11" s="234"/>
      <c r="W11" s="234"/>
      <c r="X11" s="345"/>
      <c r="Y11" s="234"/>
      <c r="Z11" s="234"/>
      <c r="AA11" s="234"/>
      <c r="AB11" s="234"/>
      <c r="AC11" s="312"/>
      <c r="AD11" s="312"/>
      <c r="AE11" s="312"/>
      <c r="AF11" s="312"/>
      <c r="AG11" s="312"/>
      <c r="AH11" s="312"/>
      <c r="AI11" s="312"/>
      <c r="AJ11" s="312"/>
      <c r="AK11" s="312"/>
      <c r="AL11" s="312"/>
      <c r="AM11" s="312"/>
      <c r="AN11" s="312"/>
      <c r="AO11" s="312"/>
      <c r="AP11" s="312"/>
      <c r="AQ11" s="312"/>
      <c r="AR11" s="312"/>
      <c r="AS11" s="312"/>
      <c r="AT11" s="312"/>
      <c r="AU11" s="312"/>
      <c r="AV11" s="312"/>
      <c r="AW11" s="312"/>
      <c r="AX11" s="312"/>
      <c r="AY11" s="312"/>
      <c r="AZ11" s="312"/>
      <c r="BA11" s="312"/>
      <c r="BB11" s="312"/>
      <c r="BC11" s="312"/>
      <c r="BD11" s="312"/>
      <c r="BE11" s="312"/>
      <c r="BF11" s="312"/>
      <c r="BG11" s="312"/>
      <c r="BH11" s="312"/>
      <c r="BI11" s="312"/>
      <c r="BJ11" s="312"/>
      <c r="BK11" s="312"/>
      <c r="BL11" s="312"/>
      <c r="BM11" s="312"/>
      <c r="BN11" s="312"/>
      <c r="BO11" s="312"/>
      <c r="BP11" s="312"/>
      <c r="BQ11" s="312"/>
      <c r="BR11" s="312"/>
      <c r="BS11" s="312"/>
      <c r="BT11" s="312"/>
      <c r="BU11" s="312"/>
      <c r="BV11" s="312"/>
      <c r="BW11" s="312"/>
      <c r="BX11" s="312"/>
      <c r="BY11" s="312"/>
      <c r="BZ11" s="312"/>
      <c r="CA11" s="312"/>
      <c r="CB11" s="312"/>
      <c r="CC11" s="312"/>
      <c r="CD11" s="312"/>
      <c r="CE11" s="312"/>
      <c r="CF11" s="312"/>
      <c r="CG11" s="312"/>
      <c r="CH11" s="312"/>
      <c r="CI11" s="312"/>
      <c r="CJ11" s="312"/>
      <c r="CK11" s="312"/>
      <c r="CL11" s="312"/>
      <c r="CM11" s="312"/>
      <c r="CN11" s="312"/>
      <c r="CO11" s="312"/>
      <c r="CP11" s="312"/>
      <c r="CQ11" s="312"/>
      <c r="CR11" s="312"/>
      <c r="CS11" s="312"/>
      <c r="CT11" s="312"/>
      <c r="CU11" s="312"/>
      <c r="CV11" s="312"/>
      <c r="CW11" s="312"/>
      <c r="CX11" s="312"/>
      <c r="CY11" s="312"/>
      <c r="CZ11" s="312"/>
      <c r="DA11" s="312"/>
    </row>
    <row r="12" spans="1:105">
      <c r="A12" s="342">
        <v>11</v>
      </c>
      <c r="B12" s="340" t="str">
        <f>Dashboard!$J$1</f>
        <v>Meal Order</v>
      </c>
      <c r="C12" s="341">
        <f ca="1">Dashboard!$F$1</f>
        <v>46157</v>
      </c>
      <c r="D12" s="341">
        <f ca="1">Dashboard!$H$1</f>
        <v>46170</v>
      </c>
      <c r="E12" s="338" t="s">
        <v>89</v>
      </c>
      <c r="F12" s="288" t="s">
        <v>1012</v>
      </c>
      <c r="G12" s="288">
        <v>46887</v>
      </c>
      <c r="H12" s="234" t="s">
        <v>904</v>
      </c>
      <c r="I12" s="342" t="s">
        <v>274</v>
      </c>
      <c r="J12" s="288">
        <v>5</v>
      </c>
      <c r="K12" s="288"/>
      <c r="L12" s="288"/>
      <c r="M12" s="234"/>
      <c r="N12" s="234"/>
      <c r="O12" s="234"/>
      <c r="P12" s="234"/>
      <c r="Q12" s="234"/>
      <c r="R12" s="225"/>
      <c r="S12" s="334"/>
      <c r="T12" s="332"/>
      <c r="U12" s="234"/>
      <c r="V12" s="234"/>
      <c r="W12" s="234"/>
      <c r="X12" s="345"/>
      <c r="Y12" s="234"/>
      <c r="Z12" s="234"/>
      <c r="AA12" s="234"/>
      <c r="AB12" s="339" t="s">
        <v>1013</v>
      </c>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2"/>
      <c r="BK12" s="312"/>
      <c r="BL12" s="312"/>
      <c r="BM12" s="312"/>
      <c r="BN12" s="312"/>
      <c r="BO12" s="312"/>
      <c r="BP12" s="312"/>
      <c r="BQ12" s="312"/>
      <c r="BR12" s="312"/>
      <c r="BS12" s="312"/>
      <c r="BT12" s="312"/>
      <c r="BU12" s="312"/>
      <c r="BV12" s="312"/>
      <c r="BW12" s="312"/>
      <c r="BX12" s="312"/>
      <c r="BY12" s="312"/>
      <c r="BZ12" s="312"/>
      <c r="CA12" s="312"/>
      <c r="CB12" s="312"/>
      <c r="CC12" s="312"/>
      <c r="CD12" s="312"/>
      <c r="CE12" s="312"/>
      <c r="CF12" s="312"/>
      <c r="CG12" s="312"/>
      <c r="CH12" s="312"/>
      <c r="CI12" s="312"/>
      <c r="CJ12" s="312"/>
      <c r="CK12" s="312"/>
      <c r="CL12" s="312"/>
      <c r="CM12" s="312"/>
      <c r="CN12" s="312"/>
      <c r="CO12" s="312"/>
      <c r="CP12" s="312"/>
      <c r="CQ12" s="312"/>
      <c r="CR12" s="312"/>
      <c r="CS12" s="312"/>
      <c r="CT12" s="312"/>
      <c r="CU12" s="312"/>
      <c r="CV12" s="312"/>
      <c r="CW12" s="312"/>
      <c r="CX12" s="312"/>
      <c r="CY12" s="312"/>
      <c r="CZ12" s="312"/>
      <c r="DA12" s="312"/>
    </row>
    <row r="13" spans="1:105" s="194" customFormat="1" ht="15">
      <c r="A13" s="288">
        <v>11</v>
      </c>
      <c r="B13" s="342" t="str">
        <f>Dashboard!$J$1</f>
        <v>Meal Order</v>
      </c>
      <c r="C13" s="343">
        <f ca="1">Dashboard!$F$1</f>
        <v>46157</v>
      </c>
      <c r="D13" s="343">
        <f ca="1">Dashboard!$H$1</f>
        <v>46170</v>
      </c>
      <c r="E13" s="338" t="s">
        <v>89</v>
      </c>
      <c r="F13" s="329" t="s">
        <v>275</v>
      </c>
      <c r="G13" s="288">
        <v>24526</v>
      </c>
      <c r="H13" s="346" t="s">
        <v>907</v>
      </c>
      <c r="I13" s="342" t="s">
        <v>1014</v>
      </c>
      <c r="J13" s="331">
        <v>1</v>
      </c>
      <c r="K13" s="331"/>
      <c r="L13" s="331"/>
      <c r="M13" s="234"/>
      <c r="N13" s="332"/>
      <c r="O13" s="332"/>
      <c r="P13" s="321" t="s">
        <v>287</v>
      </c>
      <c r="Q13" s="332"/>
      <c r="R13" s="226" t="s">
        <v>908</v>
      </c>
      <c r="S13" s="333">
        <v>45678</v>
      </c>
      <c r="T13" s="333">
        <v>45678</v>
      </c>
      <c r="U13" s="332" t="s">
        <v>287</v>
      </c>
      <c r="V13" s="332"/>
      <c r="W13" s="234" t="s">
        <v>441</v>
      </c>
      <c r="X13" s="333">
        <v>45678</v>
      </c>
      <c r="Y13" s="332"/>
      <c r="Z13" s="332"/>
      <c r="AA13" s="332"/>
      <c r="AB13" s="335"/>
    </row>
    <row r="14" spans="1:105" s="312" customFormat="1" ht="15">
      <c r="A14" s="288">
        <v>12</v>
      </c>
      <c r="B14" s="342" t="str">
        <f>Dashboard!$J$1</f>
        <v>Meal Order</v>
      </c>
      <c r="C14" s="343">
        <f ca="1">Dashboard!$F$1</f>
        <v>46157</v>
      </c>
      <c r="D14" s="343">
        <f ca="1">Dashboard!$H$1</f>
        <v>46170</v>
      </c>
      <c r="E14" s="338" t="s">
        <v>89</v>
      </c>
      <c r="F14" s="329" t="s">
        <v>730</v>
      </c>
      <c r="G14" s="288">
        <v>48890</v>
      </c>
      <c r="H14" s="346" t="s">
        <v>906</v>
      </c>
      <c r="I14" s="342" t="s">
        <v>274</v>
      </c>
      <c r="J14" s="331">
        <v>8</v>
      </c>
      <c r="K14" s="331">
        <v>8</v>
      </c>
      <c r="L14" s="331"/>
      <c r="M14" s="234"/>
      <c r="N14" s="332"/>
      <c r="O14" s="332"/>
      <c r="P14" s="321"/>
      <c r="Q14" s="332"/>
      <c r="R14" s="226"/>
      <c r="S14" s="333"/>
      <c r="T14" s="333"/>
      <c r="U14" s="332"/>
      <c r="V14" s="332"/>
      <c r="W14" s="234"/>
      <c r="X14" s="333"/>
      <c r="Y14" s="332"/>
      <c r="Z14" s="332"/>
      <c r="AA14" s="332"/>
      <c r="AB14" s="335" t="s">
        <v>1015</v>
      </c>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4"/>
      <c r="BD14" s="194"/>
      <c r="BE14" s="194"/>
      <c r="BF14" s="194"/>
      <c r="BG14" s="194"/>
      <c r="BH14" s="194"/>
      <c r="BI14" s="194"/>
      <c r="BJ14" s="194"/>
      <c r="BK14" s="194"/>
      <c r="BL14" s="194"/>
      <c r="BM14" s="194"/>
      <c r="BN14" s="194"/>
      <c r="BO14" s="194"/>
      <c r="BP14" s="194"/>
      <c r="BQ14" s="194"/>
      <c r="BR14" s="194"/>
      <c r="BS14" s="194"/>
      <c r="BT14" s="194"/>
      <c r="BU14" s="194"/>
      <c r="BV14" s="194"/>
      <c r="BW14" s="194"/>
      <c r="BX14" s="194"/>
      <c r="BY14" s="194"/>
      <c r="BZ14" s="194"/>
      <c r="CA14" s="194"/>
      <c r="CB14" s="194"/>
      <c r="CC14" s="194"/>
      <c r="CD14" s="194"/>
      <c r="CE14" s="194"/>
      <c r="CF14" s="194"/>
      <c r="CG14" s="194"/>
      <c r="CH14" s="194"/>
      <c r="CI14" s="194"/>
      <c r="CJ14" s="194"/>
      <c r="CK14" s="194"/>
      <c r="CL14" s="194"/>
      <c r="CM14" s="194"/>
      <c r="CN14" s="194"/>
      <c r="CO14" s="194"/>
      <c r="CP14" s="194"/>
      <c r="CQ14" s="194"/>
      <c r="CR14" s="194"/>
      <c r="CS14" s="194"/>
      <c r="CT14" s="194"/>
      <c r="CU14" s="194"/>
      <c r="CV14" s="194"/>
      <c r="CW14" s="194"/>
      <c r="CX14" s="194"/>
      <c r="CY14" s="194"/>
      <c r="CZ14" s="194"/>
      <c r="DA14" s="194"/>
    </row>
    <row r="15" spans="1:105" ht="15">
      <c r="A15" s="288">
        <v>13</v>
      </c>
      <c r="B15" s="340" t="str">
        <f>Dashboard!$J$1</f>
        <v>Meal Order</v>
      </c>
      <c r="C15" s="341">
        <f ca="1">Dashboard!$F$1</f>
        <v>46157</v>
      </c>
      <c r="D15" s="341">
        <f ca="1">Dashboard!$H$1</f>
        <v>46170</v>
      </c>
      <c r="E15" s="338" t="s">
        <v>89</v>
      </c>
      <c r="F15" s="331" t="s">
        <v>275</v>
      </c>
      <c r="G15" s="331">
        <v>24502</v>
      </c>
      <c r="H15" s="332" t="s">
        <v>957</v>
      </c>
      <c r="I15" s="330" t="s">
        <v>295</v>
      </c>
      <c r="J15" s="331">
        <v>1</v>
      </c>
      <c r="K15" s="331">
        <v>1</v>
      </c>
      <c r="L15" s="331"/>
      <c r="M15" s="332"/>
      <c r="N15" s="332"/>
      <c r="O15" s="332"/>
      <c r="P15" s="332"/>
      <c r="Q15" s="332"/>
      <c r="R15" s="226" t="s">
        <v>1016</v>
      </c>
      <c r="S15" s="333">
        <v>45678</v>
      </c>
      <c r="T15" s="333">
        <v>45678</v>
      </c>
      <c r="U15" s="332" t="s">
        <v>287</v>
      </c>
      <c r="V15" s="332"/>
      <c r="W15" s="332" t="s">
        <v>441</v>
      </c>
      <c r="X15" s="333">
        <v>45678</v>
      </c>
      <c r="Y15" s="332"/>
      <c r="Z15" s="332"/>
      <c r="AA15" s="332"/>
      <c r="AB15" s="335"/>
      <c r="AC15" s="312"/>
      <c r="AD15" s="312"/>
      <c r="AE15" s="312"/>
      <c r="AF15" s="312"/>
      <c r="AG15" s="312"/>
      <c r="AH15" s="312"/>
      <c r="AI15" s="312"/>
      <c r="AJ15" s="312"/>
      <c r="AK15" s="312"/>
      <c r="AL15" s="312"/>
      <c r="AM15" s="312"/>
      <c r="AN15" s="312"/>
      <c r="AO15" s="312"/>
      <c r="AP15" s="312"/>
      <c r="AQ15" s="312"/>
      <c r="AR15" s="312"/>
      <c r="AS15" s="312"/>
      <c r="AT15" s="312"/>
      <c r="AU15" s="312"/>
      <c r="AV15" s="312"/>
      <c r="AW15" s="312"/>
      <c r="AX15" s="312"/>
      <c r="AY15" s="312"/>
      <c r="AZ15" s="312"/>
      <c r="BA15" s="312"/>
      <c r="BB15" s="312"/>
      <c r="BC15" s="312"/>
      <c r="BD15" s="312"/>
      <c r="BE15" s="312"/>
      <c r="BF15" s="312"/>
      <c r="BG15" s="312"/>
      <c r="BH15" s="312"/>
      <c r="BI15" s="312"/>
      <c r="BJ15" s="312"/>
      <c r="BK15" s="312"/>
      <c r="BL15" s="312"/>
      <c r="BM15" s="312"/>
      <c r="BN15" s="312"/>
      <c r="BO15" s="312"/>
      <c r="BP15" s="312"/>
      <c r="BQ15" s="312"/>
      <c r="BR15" s="312"/>
      <c r="BS15" s="312"/>
      <c r="BT15" s="312"/>
      <c r="BU15" s="312"/>
      <c r="BV15" s="312"/>
      <c r="BW15" s="312"/>
      <c r="BX15" s="312"/>
      <c r="BY15" s="312"/>
      <c r="BZ15" s="312"/>
      <c r="CA15" s="312"/>
      <c r="CB15" s="312"/>
      <c r="CC15" s="312"/>
      <c r="CD15" s="312"/>
      <c r="CE15" s="312"/>
      <c r="CF15" s="312"/>
      <c r="CG15" s="312"/>
      <c r="CH15" s="312"/>
      <c r="CI15" s="312"/>
      <c r="CJ15" s="312"/>
      <c r="CK15" s="312"/>
      <c r="CL15" s="312"/>
      <c r="CM15" s="312"/>
      <c r="CN15" s="312"/>
      <c r="CO15" s="312"/>
      <c r="CP15" s="312"/>
      <c r="CQ15" s="312"/>
      <c r="CR15" s="312"/>
      <c r="CS15" s="312"/>
      <c r="CT15" s="312"/>
      <c r="CU15" s="312"/>
      <c r="CV15" s="312"/>
      <c r="CW15" s="312"/>
      <c r="CX15" s="312"/>
      <c r="CY15" s="312"/>
      <c r="CZ15" s="312"/>
      <c r="DA15" s="312"/>
    </row>
    <row r="16" spans="1:105">
      <c r="A16" s="288">
        <v>14</v>
      </c>
      <c r="B16" s="340" t="s">
        <v>476</v>
      </c>
      <c r="C16" s="341">
        <f ca="1">Dashboard!$F$1</f>
        <v>46157</v>
      </c>
      <c r="D16" s="341">
        <f ca="1">Dashboard!$H$1</f>
        <v>46170</v>
      </c>
      <c r="E16" s="338" t="s">
        <v>89</v>
      </c>
      <c r="F16" s="331" t="s">
        <v>287</v>
      </c>
      <c r="G16" s="331">
        <v>24514</v>
      </c>
      <c r="H16" s="332" t="s">
        <v>959</v>
      </c>
      <c r="I16" s="330" t="s">
        <v>295</v>
      </c>
      <c r="J16" s="331"/>
      <c r="K16" s="331"/>
      <c r="L16" s="331"/>
      <c r="M16" s="332"/>
      <c r="N16" s="332"/>
      <c r="O16" s="332"/>
      <c r="P16" s="332"/>
      <c r="Q16" s="332"/>
      <c r="R16" s="226"/>
      <c r="S16" s="347"/>
      <c r="T16" s="347"/>
      <c r="U16" s="332"/>
      <c r="V16" s="332"/>
      <c r="W16" s="332"/>
      <c r="X16" s="334"/>
      <c r="Y16" s="332"/>
      <c r="Z16" s="332"/>
      <c r="AA16" s="332"/>
      <c r="AB16" s="335"/>
      <c r="AC16" s="312"/>
      <c r="AD16" s="312"/>
      <c r="AE16" s="312"/>
      <c r="AF16" s="312"/>
      <c r="AG16" s="312"/>
      <c r="AH16" s="312"/>
      <c r="AI16" s="312"/>
      <c r="AJ16" s="312"/>
      <c r="AK16" s="312"/>
      <c r="AL16" s="312"/>
      <c r="AM16" s="312"/>
      <c r="AN16" s="312"/>
      <c r="AO16" s="312"/>
      <c r="AP16" s="312"/>
      <c r="AQ16" s="312"/>
      <c r="AR16" s="312"/>
      <c r="AS16" s="312"/>
      <c r="AT16" s="312"/>
      <c r="AU16" s="312"/>
      <c r="AV16" s="312"/>
      <c r="AW16" s="312"/>
      <c r="AX16" s="312"/>
      <c r="AY16" s="312"/>
      <c r="AZ16" s="312"/>
      <c r="BA16" s="312"/>
      <c r="BB16" s="312"/>
      <c r="BC16" s="312"/>
      <c r="BD16" s="312"/>
      <c r="BE16" s="312"/>
      <c r="BF16" s="312"/>
      <c r="BG16" s="312"/>
      <c r="BH16" s="312"/>
      <c r="BI16" s="312"/>
      <c r="BJ16" s="312"/>
      <c r="BK16" s="312"/>
      <c r="BL16" s="312"/>
      <c r="BM16" s="312"/>
      <c r="BN16" s="312"/>
      <c r="BO16" s="312"/>
      <c r="BP16" s="312"/>
      <c r="BQ16" s="312"/>
      <c r="BR16" s="312"/>
      <c r="BS16" s="312"/>
      <c r="BT16" s="312"/>
      <c r="BU16" s="312"/>
      <c r="BV16" s="312"/>
      <c r="BW16" s="312"/>
      <c r="BX16" s="312"/>
      <c r="BY16" s="312"/>
      <c r="BZ16" s="312"/>
      <c r="CA16" s="312"/>
      <c r="CB16" s="312"/>
      <c r="CC16" s="312"/>
      <c r="CD16" s="312"/>
      <c r="CE16" s="312"/>
      <c r="CF16" s="312"/>
      <c r="CG16" s="312"/>
      <c r="CH16" s="312"/>
      <c r="CI16" s="312"/>
      <c r="CJ16" s="312"/>
      <c r="CK16" s="312"/>
      <c r="CL16" s="312"/>
      <c r="CM16" s="312"/>
      <c r="CN16" s="312"/>
      <c r="CO16" s="312"/>
      <c r="CP16" s="312"/>
      <c r="CQ16" s="312"/>
      <c r="CR16" s="312"/>
      <c r="CS16" s="312"/>
      <c r="CT16" s="312"/>
      <c r="CU16" s="312"/>
      <c r="CV16" s="312"/>
      <c r="CW16" s="312"/>
      <c r="CX16" s="312"/>
      <c r="CY16" s="312"/>
      <c r="CZ16" s="312"/>
      <c r="DA16" s="312"/>
    </row>
    <row r="17" spans="1:28" ht="15">
      <c r="A17" s="288">
        <v>15</v>
      </c>
      <c r="B17" s="340" t="str">
        <f>Dashboard!$J$1</f>
        <v>Meal Order</v>
      </c>
      <c r="C17" s="341">
        <f ca="1">Dashboard!$F$1</f>
        <v>46157</v>
      </c>
      <c r="D17" s="341">
        <f ca="1">Dashboard!$H$1</f>
        <v>46170</v>
      </c>
      <c r="E17" s="338" t="s">
        <v>89</v>
      </c>
      <c r="F17" s="331" t="s">
        <v>287</v>
      </c>
      <c r="G17" s="331">
        <v>24528</v>
      </c>
      <c r="H17" s="332" t="s">
        <v>961</v>
      </c>
      <c r="I17" s="330" t="s">
        <v>295</v>
      </c>
      <c r="J17" s="331">
        <v>1</v>
      </c>
      <c r="K17" s="331">
        <v>1</v>
      </c>
      <c r="L17" s="331"/>
      <c r="M17" s="332"/>
      <c r="N17" s="332"/>
      <c r="O17" s="332"/>
      <c r="P17" s="332"/>
      <c r="Q17" s="332"/>
      <c r="R17" s="226" t="s">
        <v>1017</v>
      </c>
      <c r="S17" s="333">
        <v>45678</v>
      </c>
      <c r="T17" s="333">
        <v>45678</v>
      </c>
      <c r="U17" s="332" t="s">
        <v>287</v>
      </c>
      <c r="V17" s="332"/>
      <c r="W17" s="332" t="s">
        <v>441</v>
      </c>
      <c r="X17" s="333">
        <v>45678</v>
      </c>
      <c r="Y17" s="332"/>
      <c r="Z17" s="332"/>
      <c r="AA17" s="332"/>
      <c r="AB17" s="335"/>
    </row>
    <row r="18" spans="1:28">
      <c r="A18" s="288">
        <v>16</v>
      </c>
      <c r="B18" s="340" t="str">
        <f>Dashboard!$J$1</f>
        <v>Meal Order</v>
      </c>
      <c r="C18" s="341">
        <f ca="1">Dashboard!$F$1</f>
        <v>46157</v>
      </c>
      <c r="D18" s="341">
        <f ca="1">Dashboard!$H$1</f>
        <v>46170</v>
      </c>
      <c r="E18" s="331" t="s">
        <v>944</v>
      </c>
      <c r="F18" s="331" t="s">
        <v>275</v>
      </c>
      <c r="G18" s="331">
        <v>24527</v>
      </c>
      <c r="H18" s="332" t="s">
        <v>962</v>
      </c>
      <c r="I18" s="331" t="s">
        <v>694</v>
      </c>
      <c r="J18" s="331">
        <v>2</v>
      </c>
      <c r="K18" s="331"/>
      <c r="L18" s="331"/>
      <c r="M18" s="332"/>
      <c r="N18" s="332"/>
      <c r="O18" s="332"/>
      <c r="P18" s="332"/>
      <c r="Q18" s="332"/>
      <c r="R18" s="226"/>
      <c r="S18" s="347"/>
      <c r="T18" s="347"/>
      <c r="U18" s="332"/>
      <c r="V18" s="332"/>
      <c r="W18" s="332"/>
      <c r="X18" s="334"/>
      <c r="Y18" s="332"/>
      <c r="Z18" s="332"/>
      <c r="AA18" s="332"/>
      <c r="AB18" s="335"/>
    </row>
    <row r="19" spans="1:28" ht="15">
      <c r="A19" s="288">
        <v>17</v>
      </c>
      <c r="B19" s="340" t="str">
        <f>Dashboard!$J$1</f>
        <v>Meal Order</v>
      </c>
      <c r="C19" s="341">
        <f ca="1">Dashboard!$F$1</f>
        <v>46157</v>
      </c>
      <c r="D19" s="341">
        <f ca="1">Dashboard!$H$1</f>
        <v>46170</v>
      </c>
      <c r="E19" s="331" t="s">
        <v>944</v>
      </c>
      <c r="F19" s="331" t="s">
        <v>287</v>
      </c>
      <c r="G19" s="331">
        <v>24531</v>
      </c>
      <c r="H19" s="332" t="s">
        <v>963</v>
      </c>
      <c r="I19" s="330" t="s">
        <v>295</v>
      </c>
      <c r="J19" s="331"/>
      <c r="K19" s="331"/>
      <c r="L19" s="331"/>
      <c r="M19" s="332"/>
      <c r="N19" s="332"/>
      <c r="O19" s="332"/>
      <c r="P19" s="332"/>
      <c r="Q19" s="332"/>
      <c r="R19" s="226" t="s">
        <v>1018</v>
      </c>
      <c r="S19" s="333">
        <v>45679</v>
      </c>
      <c r="T19" s="333">
        <v>45679</v>
      </c>
      <c r="U19" s="332" t="s">
        <v>287</v>
      </c>
      <c r="V19" s="332"/>
      <c r="W19" s="332" t="s">
        <v>441</v>
      </c>
      <c r="X19" s="333">
        <v>45679</v>
      </c>
      <c r="Y19" s="332"/>
      <c r="Z19" s="332"/>
      <c r="AA19" s="332"/>
      <c r="AB19" s="335"/>
    </row>
    <row r="20" spans="1:28" ht="15">
      <c r="A20" s="288">
        <v>18</v>
      </c>
      <c r="B20" s="340" t="str">
        <f>Dashboard!$J$1</f>
        <v>Meal Order</v>
      </c>
      <c r="C20" s="341">
        <f ca="1">Dashboard!$F$1</f>
        <v>46157</v>
      </c>
      <c r="D20" s="341">
        <f ca="1">Dashboard!$H$1</f>
        <v>46170</v>
      </c>
      <c r="E20" s="331" t="s">
        <v>944</v>
      </c>
      <c r="F20" s="331" t="s">
        <v>287</v>
      </c>
      <c r="G20" s="331">
        <v>24532</v>
      </c>
      <c r="H20" s="332" t="s">
        <v>965</v>
      </c>
      <c r="I20" s="330" t="s">
        <v>295</v>
      </c>
      <c r="J20" s="331"/>
      <c r="K20" s="331"/>
      <c r="L20" s="331"/>
      <c r="M20" s="332"/>
      <c r="N20" s="332"/>
      <c r="O20" s="332"/>
      <c r="P20" s="332"/>
      <c r="Q20" s="332"/>
      <c r="R20" s="226" t="s">
        <v>1018</v>
      </c>
      <c r="S20" s="333">
        <v>45679</v>
      </c>
      <c r="T20" s="333">
        <v>45679</v>
      </c>
      <c r="U20" s="332" t="s">
        <v>287</v>
      </c>
      <c r="V20" s="332"/>
      <c r="W20" s="332" t="s">
        <v>441</v>
      </c>
      <c r="X20" s="333">
        <v>45679</v>
      </c>
      <c r="Y20" s="332"/>
      <c r="Z20" s="332"/>
      <c r="AA20" s="332"/>
      <c r="AB20" s="335"/>
    </row>
  </sheetData>
  <hyperlinks>
    <hyperlink ref="R2" r:id="rId1" xr:uid="{AF0F9FE3-21E5-4699-B50B-5F0AD2E491C1}"/>
    <hyperlink ref="R3" r:id="rId2" xr:uid="{AF3349B4-DD16-4F61-82CB-A087390B6913}"/>
    <hyperlink ref="R6" r:id="rId3" xr:uid="{D656288F-B31F-42CE-8C4D-94D2E17C0F5B}"/>
    <hyperlink ref="R7" r:id="rId4" xr:uid="{06AA4D9E-8201-44D7-B53B-BDF6432C096A}"/>
    <hyperlink ref="R4" r:id="rId5" xr:uid="{D3B03745-43CC-429C-8AAC-18D8FBD5B3E5}"/>
    <hyperlink ref="R5" r:id="rId6" xr:uid="{E6F655D6-BCF5-4AB5-8A14-CE7ADB2F5875}"/>
    <hyperlink ref="R8" r:id="rId7" xr:uid="{E34B1FAC-FE14-4469-946E-468596A61188}"/>
    <hyperlink ref="R13" r:id="rId8" xr:uid="{4F46FBAC-3261-402D-A46B-6781DEC2B017}"/>
    <hyperlink ref="R9" r:id="rId9" xr:uid="{0F0FD6BD-B65E-478B-B514-31FF70070E64}"/>
    <hyperlink ref="R15" r:id="rId10" xr:uid="{61994F08-CFDA-4A90-B4A2-A97DED5EDE89}"/>
    <hyperlink ref="R17" r:id="rId11" xr:uid="{F5DFDB0B-E653-46E9-922B-F0EA87F582F1}"/>
    <hyperlink ref="R19" r:id="rId12" xr:uid="{4A205027-C512-4D1E-80D6-06183D600AFC}"/>
    <hyperlink ref="R20" r:id="rId13" xr:uid="{DE8BB9E7-F473-4DFD-95B1-5B3A4CEC888E}"/>
  </hyperlinks>
  <pageMargins left="0.7" right="0.7" top="0.75" bottom="0.75" header="0.3" footer="0.3"/>
  <tableParts count="1">
    <tablePart r:id="rId14"/>
  </tableParts>
  <extLst>
    <ext xmlns:x14="http://schemas.microsoft.com/office/spreadsheetml/2009/9/main" uri="{CCE6A557-97BC-4b89-ADB6-D9C93CAAB3DF}">
      <x14:dataValidations xmlns:xm="http://schemas.microsoft.com/office/excel/2006/main" count="1">
        <x14:dataValidation type="list" allowBlank="1" showInputMessage="1" showErrorMessage="1" xr:uid="{C75CDC7F-E565-4D85-8890-6CB74EEDC6F4}">
          <x14:formula1>
            <xm:f>Settings!$C$3:$C$20</xm:f>
          </x14:formula1>
          <xm:sqref>I2:I20</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2BDE0-EF9D-4F37-8955-CF1A28EF2C12}">
  <dimension ref="A1:X14"/>
  <sheetViews>
    <sheetView workbookViewId="0">
      <pane xSplit="6" topLeftCell="G1" activePane="topRight" state="frozen"/>
      <selection pane="topRight" activeCell="D7" activeCellId="4" sqref="D2 D4 D5 D6 D7"/>
    </sheetView>
  </sheetViews>
  <sheetFormatPr defaultRowHeight="12.75"/>
  <cols>
    <col min="1" max="1" width="7.7109375" style="133" bestFit="1" customWidth="1"/>
    <col min="2" max="2" width="11.85546875" style="133" customWidth="1"/>
    <col min="3" max="3" width="12.42578125" style="133" bestFit="1" customWidth="1"/>
    <col min="4" max="4" width="11.85546875" style="133" customWidth="1"/>
    <col min="5" max="5" width="73" style="168" customWidth="1"/>
    <col min="6" max="6" width="13.28515625" style="133" customWidth="1"/>
    <col min="7" max="7" width="12.42578125" style="133" customWidth="1"/>
    <col min="8" max="8" width="11.42578125" style="133" bestFit="1" customWidth="1"/>
    <col min="9" max="9" width="12.42578125" style="168" bestFit="1" customWidth="1"/>
    <col min="10" max="10" width="9.5703125" style="168" customWidth="1"/>
    <col min="11" max="11" width="20.42578125" style="168" customWidth="1"/>
    <col min="12" max="12" width="12.42578125" style="168" customWidth="1"/>
    <col min="13" max="13" width="26.28515625" style="168" customWidth="1"/>
    <col min="14" max="14" width="45.5703125" style="168" customWidth="1"/>
    <col min="15" max="16" width="13.42578125" style="168" bestFit="1" customWidth="1"/>
    <col min="17" max="17" width="11.42578125" style="168" bestFit="1" customWidth="1"/>
    <col min="18" max="18" width="11.42578125" style="178" bestFit="1" customWidth="1"/>
    <col min="19" max="19" width="11.42578125" style="168" bestFit="1" customWidth="1"/>
    <col min="20" max="20" width="13.42578125" style="168" bestFit="1" customWidth="1"/>
    <col min="21" max="21" width="11.42578125" style="168" bestFit="1" customWidth="1"/>
    <col min="22" max="22" width="20.5703125" style="168" customWidth="1"/>
    <col min="23" max="23" width="59.5703125" style="168" customWidth="1"/>
    <col min="24" max="24" width="50.5703125" style="168" customWidth="1"/>
    <col min="25" max="16384" width="9.140625" style="168"/>
  </cols>
  <sheetData>
    <row r="1" spans="1:24" ht="46.5">
      <c r="A1" s="274" t="s">
        <v>243</v>
      </c>
      <c r="B1" s="275" t="s">
        <v>244</v>
      </c>
      <c r="C1" s="275" t="s">
        <v>245</v>
      </c>
      <c r="D1" s="275" t="s">
        <v>246</v>
      </c>
      <c r="E1" s="276" t="s">
        <v>247</v>
      </c>
      <c r="F1" s="275" t="s">
        <v>248</v>
      </c>
      <c r="G1" s="275" t="s">
        <v>966</v>
      </c>
      <c r="H1" s="275" t="s">
        <v>967</v>
      </c>
      <c r="I1" s="276" t="s">
        <v>254</v>
      </c>
      <c r="J1" s="276" t="s">
        <v>255</v>
      </c>
      <c r="K1" s="276" t="s">
        <v>256</v>
      </c>
      <c r="L1" s="276" t="s">
        <v>257</v>
      </c>
      <c r="M1" s="276" t="s">
        <v>258</v>
      </c>
      <c r="N1" s="276" t="s">
        <v>259</v>
      </c>
      <c r="O1" s="276" t="s">
        <v>260</v>
      </c>
      <c r="P1" s="276" t="s">
        <v>261</v>
      </c>
      <c r="Q1" s="276" t="s">
        <v>262</v>
      </c>
      <c r="R1" s="276" t="s">
        <v>263</v>
      </c>
      <c r="S1" s="276" t="s">
        <v>264</v>
      </c>
      <c r="T1" s="276" t="s">
        <v>265</v>
      </c>
      <c r="U1" s="276" t="s">
        <v>266</v>
      </c>
      <c r="V1" s="276" t="s">
        <v>267</v>
      </c>
      <c r="W1" s="276" t="s">
        <v>268</v>
      </c>
      <c r="X1" s="277" t="s">
        <v>269</v>
      </c>
    </row>
    <row r="2" spans="1:24" s="194" customFormat="1" ht="35.25">
      <c r="A2" s="270">
        <v>1</v>
      </c>
      <c r="B2" s="169" t="s">
        <v>83</v>
      </c>
      <c r="C2" s="256" t="s">
        <v>1019</v>
      </c>
      <c r="D2" s="256">
        <v>46504</v>
      </c>
      <c r="E2" s="257" t="s">
        <v>1020</v>
      </c>
      <c r="F2" s="197" t="s">
        <v>13</v>
      </c>
      <c r="G2" s="256">
        <v>3</v>
      </c>
      <c r="H2" s="256">
        <v>3</v>
      </c>
      <c r="I2" s="194" t="s">
        <v>13</v>
      </c>
      <c r="J2" s="194" t="s">
        <v>287</v>
      </c>
      <c r="K2" s="257"/>
      <c r="L2" s="194" t="s">
        <v>275</v>
      </c>
      <c r="M2" s="257"/>
      <c r="N2" s="258" t="s">
        <v>1021</v>
      </c>
      <c r="O2" s="268">
        <v>45609</v>
      </c>
      <c r="P2" s="268">
        <v>45609</v>
      </c>
      <c r="Q2" s="194" t="s">
        <v>287</v>
      </c>
      <c r="R2" s="257"/>
      <c r="S2" s="194" t="s">
        <v>441</v>
      </c>
      <c r="T2" s="259"/>
      <c r="U2" s="257"/>
      <c r="V2" s="257"/>
      <c r="W2" s="257"/>
      <c r="X2" s="272"/>
    </row>
    <row r="3" spans="1:24" s="194" customFormat="1" ht="23.25">
      <c r="A3" s="271">
        <v>2</v>
      </c>
      <c r="B3" s="169" t="s">
        <v>83</v>
      </c>
      <c r="C3" s="193" t="s">
        <v>287</v>
      </c>
      <c r="D3" s="294">
        <v>24226</v>
      </c>
      <c r="E3" s="295" t="s">
        <v>1022</v>
      </c>
      <c r="F3" s="197" t="s">
        <v>13</v>
      </c>
      <c r="G3" s="193">
        <v>2</v>
      </c>
      <c r="H3" s="193">
        <v>2</v>
      </c>
      <c r="I3" s="194" t="s">
        <v>13</v>
      </c>
      <c r="J3" s="194" t="s">
        <v>287</v>
      </c>
      <c r="N3" s="236" t="s">
        <v>1023</v>
      </c>
      <c r="O3" s="269">
        <v>45614</v>
      </c>
      <c r="P3" s="269">
        <v>45614</v>
      </c>
      <c r="Q3" s="194" t="s">
        <v>287</v>
      </c>
      <c r="S3" s="194" t="s">
        <v>441</v>
      </c>
      <c r="T3" s="269">
        <v>45614</v>
      </c>
      <c r="X3" s="273"/>
    </row>
    <row r="4" spans="1:24" s="194" customFormat="1" ht="23.25">
      <c r="A4" s="271">
        <v>3</v>
      </c>
      <c r="B4" s="169" t="s">
        <v>83</v>
      </c>
      <c r="C4" s="291" t="s">
        <v>272</v>
      </c>
      <c r="D4" s="288">
        <v>46543</v>
      </c>
      <c r="E4" s="289" t="s">
        <v>1024</v>
      </c>
      <c r="F4" s="293" t="s">
        <v>13</v>
      </c>
      <c r="G4" s="193">
        <v>5</v>
      </c>
      <c r="H4" s="193">
        <v>5</v>
      </c>
      <c r="I4" s="194" t="s">
        <v>13</v>
      </c>
      <c r="J4" s="194" t="s">
        <v>634</v>
      </c>
      <c r="N4" s="236" t="s">
        <v>1025</v>
      </c>
      <c r="O4" s="280">
        <v>45547</v>
      </c>
      <c r="P4" s="280">
        <v>45547</v>
      </c>
      <c r="Q4" s="194" t="s">
        <v>634</v>
      </c>
      <c r="T4" s="250"/>
      <c r="X4" s="273"/>
    </row>
    <row r="5" spans="1:24" s="194" customFormat="1">
      <c r="A5" s="271">
        <v>4</v>
      </c>
      <c r="B5" s="172" t="s">
        <v>83</v>
      </c>
      <c r="C5" s="292" t="s">
        <v>287</v>
      </c>
      <c r="D5" s="193">
        <v>44240</v>
      </c>
      <c r="E5" s="194" t="s">
        <v>1026</v>
      </c>
      <c r="F5" s="293" t="s">
        <v>13</v>
      </c>
      <c r="G5" s="204">
        <v>13</v>
      </c>
      <c r="H5" s="204">
        <v>13</v>
      </c>
      <c r="I5" s="194" t="s">
        <v>13</v>
      </c>
      <c r="J5" s="207" t="s">
        <v>275</v>
      </c>
      <c r="K5" s="207"/>
      <c r="L5" s="207"/>
      <c r="M5" s="207"/>
      <c r="N5" s="253"/>
      <c r="O5" s="208"/>
      <c r="P5" s="208"/>
      <c r="Q5" s="207"/>
      <c r="R5" s="207"/>
      <c r="S5" s="207"/>
      <c r="T5" s="208"/>
      <c r="U5" s="207"/>
      <c r="V5" s="207"/>
      <c r="W5" s="207"/>
      <c r="X5" s="279"/>
    </row>
    <row r="6" spans="1:24" s="194" customFormat="1" ht="35.25">
      <c r="A6" s="271">
        <v>5</v>
      </c>
      <c r="B6" s="169" t="s">
        <v>83</v>
      </c>
      <c r="C6" s="193" t="s">
        <v>275</v>
      </c>
      <c r="D6" s="193">
        <v>46659</v>
      </c>
      <c r="E6" s="207" t="s">
        <v>1027</v>
      </c>
      <c r="F6" s="293" t="s">
        <v>13</v>
      </c>
      <c r="G6" s="193">
        <v>13</v>
      </c>
      <c r="H6" s="193">
        <v>13</v>
      </c>
      <c r="I6" s="194" t="s">
        <v>13</v>
      </c>
      <c r="J6" s="194" t="s">
        <v>287</v>
      </c>
      <c r="N6" s="236"/>
      <c r="O6" s="208"/>
      <c r="P6" s="208"/>
      <c r="T6" s="206"/>
      <c r="X6" s="273" t="s">
        <v>1028</v>
      </c>
    </row>
    <row r="7" spans="1:24" s="194" customFormat="1" ht="23.25">
      <c r="A7" s="271">
        <v>6</v>
      </c>
      <c r="B7" s="169" t="s">
        <v>83</v>
      </c>
      <c r="C7" s="193" t="s">
        <v>275</v>
      </c>
      <c r="D7" s="291">
        <v>46520</v>
      </c>
      <c r="E7" s="194" t="s">
        <v>1029</v>
      </c>
      <c r="F7" s="293" t="s">
        <v>13</v>
      </c>
      <c r="G7" s="193">
        <v>5</v>
      </c>
      <c r="H7" s="193">
        <v>5</v>
      </c>
      <c r="I7" s="194" t="s">
        <v>13</v>
      </c>
      <c r="J7" s="194" t="s">
        <v>287</v>
      </c>
      <c r="L7" s="194" t="s">
        <v>287</v>
      </c>
      <c r="N7" s="236" t="s">
        <v>1030</v>
      </c>
      <c r="O7" s="206">
        <v>45624</v>
      </c>
      <c r="P7" s="206">
        <v>45629</v>
      </c>
      <c r="Q7" s="194" t="s">
        <v>287</v>
      </c>
      <c r="R7" s="257"/>
      <c r="S7" s="194" t="s">
        <v>441</v>
      </c>
      <c r="T7" s="206">
        <v>45629</v>
      </c>
    </row>
    <row r="8" spans="1:24" s="194" customFormat="1" ht="23.25">
      <c r="A8" s="271">
        <v>7</v>
      </c>
      <c r="B8" s="204" t="s">
        <v>1031</v>
      </c>
      <c r="C8" s="292" t="s">
        <v>417</v>
      </c>
      <c r="D8" s="291">
        <v>24337</v>
      </c>
      <c r="E8" s="194" t="s">
        <v>1032</v>
      </c>
      <c r="F8" s="293" t="s">
        <v>13</v>
      </c>
      <c r="G8" s="204">
        <v>3</v>
      </c>
      <c r="H8" s="204">
        <v>3</v>
      </c>
      <c r="I8" s="194" t="s">
        <v>13</v>
      </c>
      <c r="J8" s="207" t="s">
        <v>287</v>
      </c>
      <c r="K8" s="207"/>
      <c r="L8" s="207" t="s">
        <v>275</v>
      </c>
      <c r="M8" s="207"/>
      <c r="N8" s="253" t="s">
        <v>1033</v>
      </c>
      <c r="O8" s="280">
        <v>45624</v>
      </c>
      <c r="P8" s="280">
        <v>45628</v>
      </c>
      <c r="Q8" s="207" t="s">
        <v>287</v>
      </c>
      <c r="R8" s="207"/>
      <c r="S8" s="207" t="s">
        <v>441</v>
      </c>
      <c r="T8" s="280">
        <v>45628</v>
      </c>
      <c r="U8" s="207"/>
      <c r="V8" s="207"/>
      <c r="W8" s="207"/>
      <c r="X8" s="279"/>
    </row>
    <row r="9" spans="1:24" s="194" customFormat="1" ht="23.25">
      <c r="A9" s="271">
        <v>8</v>
      </c>
      <c r="B9" s="204" t="s">
        <v>1031</v>
      </c>
      <c r="C9" s="292" t="s">
        <v>417</v>
      </c>
      <c r="D9" s="291">
        <v>24339</v>
      </c>
      <c r="E9" s="290" t="s">
        <v>1034</v>
      </c>
      <c r="F9" s="293" t="s">
        <v>13</v>
      </c>
      <c r="G9" s="204">
        <v>2</v>
      </c>
      <c r="H9" s="204">
        <v>2</v>
      </c>
      <c r="I9" s="194" t="s">
        <v>13</v>
      </c>
      <c r="J9" s="207" t="s">
        <v>287</v>
      </c>
      <c r="K9" s="207"/>
      <c r="L9" s="207" t="s">
        <v>275</v>
      </c>
      <c r="M9" s="207"/>
      <c r="N9" s="253" t="s">
        <v>1035</v>
      </c>
      <c r="O9" s="280">
        <v>45363</v>
      </c>
      <c r="P9" s="280">
        <v>45363</v>
      </c>
      <c r="Q9" s="207" t="s">
        <v>287</v>
      </c>
      <c r="R9" s="207"/>
      <c r="S9" s="207" t="s">
        <v>441</v>
      </c>
      <c r="T9" s="280">
        <v>45630</v>
      </c>
      <c r="U9" s="207"/>
      <c r="V9" s="207"/>
      <c r="W9" s="207"/>
      <c r="X9" s="279"/>
    </row>
    <row r="10" spans="1:24" s="207" customFormat="1" ht="46.5">
      <c r="A10" s="271">
        <v>9</v>
      </c>
      <c r="B10" s="204" t="s">
        <v>1031</v>
      </c>
      <c r="C10" s="204" t="s">
        <v>634</v>
      </c>
      <c r="D10" s="298">
        <v>46697</v>
      </c>
      <c r="E10" s="194" t="s">
        <v>1036</v>
      </c>
      <c r="F10" s="293" t="s">
        <v>13</v>
      </c>
      <c r="G10" s="204">
        <v>3</v>
      </c>
      <c r="H10" s="204">
        <v>1</v>
      </c>
      <c r="I10" s="194" t="s">
        <v>13</v>
      </c>
      <c r="J10" s="207" t="s">
        <v>1037</v>
      </c>
      <c r="L10" s="207" t="s">
        <v>441</v>
      </c>
      <c r="N10" s="253" t="s">
        <v>1038</v>
      </c>
      <c r="O10" s="280">
        <v>45424</v>
      </c>
      <c r="P10" s="280">
        <v>45608</v>
      </c>
      <c r="Q10" s="207" t="s">
        <v>441</v>
      </c>
      <c r="R10" s="207" t="s">
        <v>441</v>
      </c>
      <c r="S10" s="207" t="s">
        <v>441</v>
      </c>
      <c r="T10" s="280">
        <v>45608</v>
      </c>
      <c r="X10" s="279" t="s">
        <v>1039</v>
      </c>
    </row>
    <row r="11" spans="1:24" s="194" customFormat="1" ht="23.25">
      <c r="A11" s="271">
        <v>10</v>
      </c>
      <c r="B11" s="204" t="s">
        <v>1040</v>
      </c>
      <c r="C11" s="204" t="s">
        <v>417</v>
      </c>
      <c r="D11" s="292">
        <v>24379</v>
      </c>
      <c r="E11" s="194" t="s">
        <v>1041</v>
      </c>
      <c r="F11" s="293" t="s">
        <v>13</v>
      </c>
      <c r="G11" s="204">
        <v>2</v>
      </c>
      <c r="H11" s="204">
        <v>2</v>
      </c>
      <c r="I11" s="194" t="s">
        <v>13</v>
      </c>
      <c r="J11" s="207" t="s">
        <v>287</v>
      </c>
      <c r="K11" s="207"/>
      <c r="L11" s="207" t="s">
        <v>275</v>
      </c>
      <c r="M11" s="207"/>
      <c r="N11" s="253" t="s">
        <v>1042</v>
      </c>
      <c r="O11" s="208">
        <v>45636</v>
      </c>
      <c r="P11" s="208">
        <v>45636</v>
      </c>
      <c r="Q11" s="207" t="s">
        <v>287</v>
      </c>
      <c r="R11" s="207"/>
      <c r="S11" s="207" t="s">
        <v>441</v>
      </c>
      <c r="T11" s="280">
        <v>45636</v>
      </c>
      <c r="U11" s="207"/>
      <c r="V11" s="207"/>
      <c r="W11" s="207"/>
      <c r="X11" s="279"/>
    </row>
    <row r="12" spans="1:24" s="194" customFormat="1" ht="35.25">
      <c r="A12" s="271">
        <v>11</v>
      </c>
      <c r="B12" s="204" t="s">
        <v>1040</v>
      </c>
      <c r="C12" s="204" t="s">
        <v>417</v>
      </c>
      <c r="D12" s="292">
        <v>24369</v>
      </c>
      <c r="E12" s="297" t="s">
        <v>1043</v>
      </c>
      <c r="F12" s="293" t="s">
        <v>13</v>
      </c>
      <c r="G12" s="204">
        <v>3</v>
      </c>
      <c r="H12" s="204">
        <v>3</v>
      </c>
      <c r="I12" s="194" t="s">
        <v>13</v>
      </c>
      <c r="J12" s="207" t="s">
        <v>287</v>
      </c>
      <c r="K12" s="207"/>
      <c r="L12" s="207" t="s">
        <v>275</v>
      </c>
      <c r="M12" s="207"/>
      <c r="N12" s="253" t="s">
        <v>1044</v>
      </c>
      <c r="O12" s="280">
        <v>45636</v>
      </c>
      <c r="P12" s="280">
        <v>45636</v>
      </c>
      <c r="Q12" s="207" t="s">
        <v>287</v>
      </c>
      <c r="R12" s="207"/>
      <c r="S12" s="207" t="s">
        <v>441</v>
      </c>
      <c r="T12" s="280">
        <v>45636</v>
      </c>
      <c r="U12" s="207"/>
      <c r="V12" s="207"/>
      <c r="W12" s="207"/>
      <c r="X12" s="279"/>
    </row>
    <row r="13" spans="1:24" s="86" customFormat="1" ht="23.25">
      <c r="A13" s="271">
        <v>12</v>
      </c>
      <c r="B13" s="204" t="s">
        <v>1040</v>
      </c>
      <c r="C13" s="193" t="s">
        <v>972</v>
      </c>
      <c r="D13" s="291">
        <v>24307</v>
      </c>
      <c r="E13" s="194" t="s">
        <v>1045</v>
      </c>
      <c r="F13" s="293" t="s">
        <v>13</v>
      </c>
      <c r="G13" s="193">
        <v>2</v>
      </c>
      <c r="H13" s="193">
        <v>1</v>
      </c>
      <c r="I13" s="194" t="s">
        <v>13</v>
      </c>
      <c r="J13" s="207" t="s">
        <v>1037</v>
      </c>
      <c r="K13" s="194"/>
      <c r="L13" s="194" t="s">
        <v>441</v>
      </c>
      <c r="M13" s="194"/>
      <c r="N13" s="236" t="s">
        <v>1046</v>
      </c>
      <c r="O13" s="280">
        <v>45394</v>
      </c>
      <c r="P13" s="280">
        <v>45424</v>
      </c>
      <c r="Q13" s="194" t="s">
        <v>441</v>
      </c>
      <c r="R13" s="194"/>
      <c r="S13" s="194" t="s">
        <v>441</v>
      </c>
      <c r="T13" s="280">
        <v>45424</v>
      </c>
      <c r="U13" s="194"/>
      <c r="V13" s="194"/>
      <c r="W13" s="194"/>
      <c r="X13" s="273" t="s">
        <v>1047</v>
      </c>
    </row>
    <row r="14" spans="1:24" ht="23.25">
      <c r="A14" s="193">
        <v>13</v>
      </c>
      <c r="B14" s="193" t="s">
        <v>1040</v>
      </c>
      <c r="C14" s="193" t="s">
        <v>275</v>
      </c>
      <c r="D14" s="291">
        <v>46521</v>
      </c>
      <c r="E14" s="304" t="s">
        <v>970</v>
      </c>
      <c r="F14" s="305" t="s">
        <v>628</v>
      </c>
      <c r="G14" s="193">
        <v>5</v>
      </c>
      <c r="H14" s="193"/>
      <c r="I14" s="194" t="s">
        <v>13</v>
      </c>
      <c r="J14" s="194" t="s">
        <v>287</v>
      </c>
      <c r="K14" s="194"/>
      <c r="L14" s="194" t="s">
        <v>287</v>
      </c>
      <c r="M14" s="194"/>
      <c r="N14" s="236" t="s">
        <v>1030</v>
      </c>
      <c r="O14" s="206">
        <v>45624</v>
      </c>
      <c r="P14" s="206">
        <v>45629</v>
      </c>
      <c r="Q14" s="194" t="s">
        <v>287</v>
      </c>
      <c r="R14" s="194"/>
      <c r="S14" s="194" t="s">
        <v>441</v>
      </c>
      <c r="T14" s="206">
        <v>45629</v>
      </c>
      <c r="U14" s="194"/>
      <c r="V14" s="194"/>
      <c r="W14" s="194"/>
      <c r="X14" s="194"/>
    </row>
  </sheetData>
  <hyperlinks>
    <hyperlink ref="N2" r:id="rId1" xr:uid="{B35F8AF2-CB7B-4DD7-B46F-953EFF507F0A}"/>
    <hyperlink ref="D3" r:id="rId2" display="24226" xr:uid="{B529E308-AF73-495F-B08C-F9C2BA82AD21}"/>
    <hyperlink ref="N3" r:id="rId3" xr:uid="{27DE22FA-EA80-4272-8C4E-AC9C4F7EAA7E}"/>
    <hyperlink ref="N8" r:id="rId4" xr:uid="{F712880D-62AE-40C7-A135-AEE3F11A7D52}"/>
    <hyperlink ref="N9" r:id="rId5" xr:uid="{30172CD5-78E2-4528-8BDA-B68911303AEA}"/>
    <hyperlink ref="N4" r:id="rId6" xr:uid="{7EB38469-EAFC-4143-A07E-793A1DCD9E04}"/>
    <hyperlink ref="N11" r:id="rId7" xr:uid="{9220DFCC-0D94-4FF6-9AF0-CEF15D6019D8}"/>
    <hyperlink ref="N12" r:id="rId8" xr:uid="{B65586AD-5A98-47DA-983D-51A92920B48C}"/>
    <hyperlink ref="N14" r:id="rId9" xr:uid="{5F9D2732-DC7F-4E74-BA82-F6BDB82D514B}"/>
    <hyperlink ref="N7" r:id="rId10" xr:uid="{3F3E7208-5B86-4DE7-9928-8D357DDB2ABA}"/>
    <hyperlink ref="N10" r:id="rId11" xr:uid="{255A3241-7AB4-4FD5-BF11-C1233A499878}"/>
    <hyperlink ref="N13" r:id="rId12" xr:uid="{29276BC3-5C80-437B-AA20-9DF5F0B5C316}"/>
  </hyperlinks>
  <pageMargins left="0.7" right="0.7" top="0.75" bottom="0.75" header="0.3" footer="0.3"/>
  <tableParts count="1">
    <tablePart r:id="rId13"/>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5793A-4586-48C3-99B8-69800730D097}">
  <sheetPr>
    <outlinePr summaryBelow="0" summaryRight="0"/>
  </sheetPr>
  <dimension ref="A3:AA43"/>
  <sheetViews>
    <sheetView workbookViewId="0">
      <selection activeCell="J6" sqref="J6"/>
    </sheetView>
  </sheetViews>
  <sheetFormatPr defaultColWidth="12.5703125" defaultRowHeight="15.75" customHeight="1"/>
  <cols>
    <col min="1" max="1" width="6.7109375" style="48" customWidth="1"/>
    <col min="2" max="2" width="20.85546875" style="48" customWidth="1"/>
    <col min="3" max="3" width="9.140625" style="48"/>
    <col min="4" max="4" width="15.5703125" style="48" customWidth="1"/>
    <col min="5" max="5" width="9.140625" style="48" bestFit="1" customWidth="1"/>
    <col min="6" max="6" width="74.42578125" style="70" bestFit="1" customWidth="1"/>
    <col min="7" max="7" width="6.85546875" style="48" bestFit="1" customWidth="1"/>
    <col min="8" max="9" width="9.140625" style="48" bestFit="1" customWidth="1"/>
    <col min="10" max="10" width="15.85546875" style="48" customWidth="1"/>
    <col min="11" max="11" width="49.28515625" style="48" bestFit="1" customWidth="1"/>
    <col min="12" max="12" width="23.42578125" style="70" bestFit="1" customWidth="1"/>
    <col min="13" max="16384" width="12.5703125" style="70"/>
  </cols>
  <sheetData>
    <row r="3" spans="1:27" s="48" customFormat="1" ht="27">
      <c r="A3" s="88" t="s">
        <v>243</v>
      </c>
      <c r="B3" s="209" t="s">
        <v>11</v>
      </c>
      <c r="C3" s="209" t="s">
        <v>297</v>
      </c>
      <c r="D3" s="209" t="s">
        <v>245</v>
      </c>
      <c r="E3" s="209" t="s">
        <v>299</v>
      </c>
      <c r="F3" s="209" t="s">
        <v>300</v>
      </c>
      <c r="G3" s="209" t="s">
        <v>301</v>
      </c>
      <c r="H3" s="209" t="s">
        <v>303</v>
      </c>
      <c r="I3" s="209" t="s">
        <v>248</v>
      </c>
      <c r="J3" s="213" t="s">
        <v>305</v>
      </c>
      <c r="K3" s="213" t="s">
        <v>923</v>
      </c>
      <c r="L3" s="214" t="s">
        <v>269</v>
      </c>
      <c r="M3" s="210"/>
      <c r="N3" s="210"/>
      <c r="O3" s="210"/>
      <c r="P3" s="210"/>
      <c r="Q3" s="210"/>
      <c r="R3" s="210"/>
      <c r="S3" s="210"/>
      <c r="T3" s="210"/>
      <c r="U3" s="210"/>
      <c r="V3" s="210"/>
      <c r="W3" s="210"/>
      <c r="X3" s="210"/>
      <c r="Y3" s="210"/>
      <c r="Z3" s="210"/>
      <c r="AA3" s="210"/>
    </row>
    <row r="4" spans="1:27" s="67" customFormat="1" ht="12.75">
      <c r="A4" s="261">
        <v>1</v>
      </c>
      <c r="B4" s="193" t="s">
        <v>1040</v>
      </c>
      <c r="C4" s="193">
        <v>24337</v>
      </c>
      <c r="D4" s="261" t="s">
        <v>417</v>
      </c>
      <c r="E4" s="261" t="s">
        <v>715</v>
      </c>
      <c r="F4" s="212" t="s">
        <v>1048</v>
      </c>
      <c r="G4" s="261" t="s">
        <v>307</v>
      </c>
      <c r="H4" s="261" t="s">
        <v>311</v>
      </c>
      <c r="I4" s="197" t="s">
        <v>780</v>
      </c>
      <c r="J4" s="222" t="s">
        <v>859</v>
      </c>
      <c r="K4" s="67" t="s">
        <v>1049</v>
      </c>
      <c r="L4" s="234" t="s">
        <v>1050</v>
      </c>
    </row>
    <row r="5" spans="1:27" s="67" customFormat="1" ht="12.75">
      <c r="A5" s="261">
        <v>2</v>
      </c>
      <c r="B5" s="193" t="s">
        <v>1040</v>
      </c>
      <c r="C5" s="193">
        <v>24339</v>
      </c>
      <c r="D5" s="261" t="s">
        <v>417</v>
      </c>
      <c r="E5" s="261" t="s">
        <v>715</v>
      </c>
      <c r="F5" s="296" t="s">
        <v>1051</v>
      </c>
      <c r="G5" s="261" t="s">
        <v>307</v>
      </c>
      <c r="H5" s="261" t="s">
        <v>311</v>
      </c>
      <c r="I5" s="197" t="s">
        <v>780</v>
      </c>
      <c r="J5" s="261" t="s">
        <v>859</v>
      </c>
      <c r="K5" s="67" t="s">
        <v>1052</v>
      </c>
      <c r="L5" s="234" t="s">
        <v>1050</v>
      </c>
    </row>
    <row r="6" spans="1:27" s="67" customFormat="1" ht="12.75">
      <c r="A6" s="261">
        <v>3</v>
      </c>
      <c r="B6" s="193" t="s">
        <v>1040</v>
      </c>
      <c r="C6" s="193">
        <v>24379</v>
      </c>
      <c r="D6" s="261" t="s">
        <v>417</v>
      </c>
      <c r="E6" s="261" t="s">
        <v>715</v>
      </c>
      <c r="F6" s="212" t="s">
        <v>1041</v>
      </c>
      <c r="G6" s="261" t="s">
        <v>307</v>
      </c>
      <c r="H6" s="261" t="s">
        <v>311</v>
      </c>
      <c r="I6" s="197" t="s">
        <v>780</v>
      </c>
      <c r="J6" s="261" t="s">
        <v>859</v>
      </c>
      <c r="K6" s="67" t="s">
        <v>1052</v>
      </c>
      <c r="L6" s="234" t="s">
        <v>1050</v>
      </c>
    </row>
    <row r="7" spans="1:27" s="67" customFormat="1" ht="35.25">
      <c r="A7" s="222">
        <v>4</v>
      </c>
      <c r="B7" s="193" t="s">
        <v>1040</v>
      </c>
      <c r="C7" s="193">
        <v>24369</v>
      </c>
      <c r="D7" s="222" t="s">
        <v>417</v>
      </c>
      <c r="E7" s="222" t="s">
        <v>715</v>
      </c>
      <c r="F7" s="212" t="s">
        <v>1043</v>
      </c>
      <c r="G7" s="222" t="s">
        <v>307</v>
      </c>
      <c r="H7" s="261" t="s">
        <v>311</v>
      </c>
      <c r="I7" s="197" t="s">
        <v>780</v>
      </c>
      <c r="J7" s="222" t="s">
        <v>859</v>
      </c>
      <c r="K7" s="67" t="s">
        <v>1052</v>
      </c>
      <c r="L7" s="67" t="s">
        <v>1053</v>
      </c>
    </row>
    <row r="8" spans="1:27" s="67" customFormat="1" ht="23.25">
      <c r="A8" s="222">
        <v>5</v>
      </c>
      <c r="B8" s="193" t="s">
        <v>1040</v>
      </c>
      <c r="C8" s="193">
        <v>24307</v>
      </c>
      <c r="D8" s="222" t="s">
        <v>972</v>
      </c>
      <c r="E8" s="222" t="s">
        <v>715</v>
      </c>
      <c r="F8" s="212" t="s">
        <v>1054</v>
      </c>
      <c r="G8" s="261" t="s">
        <v>307</v>
      </c>
      <c r="H8" s="222" t="s">
        <v>371</v>
      </c>
      <c r="I8" s="197" t="s">
        <v>780</v>
      </c>
      <c r="J8" s="222" t="s">
        <v>859</v>
      </c>
      <c r="K8" s="67" t="s">
        <v>1055</v>
      </c>
      <c r="L8" s="67" t="s">
        <v>1056</v>
      </c>
    </row>
    <row r="9" spans="1:27" s="67" customFormat="1" ht="12.75">
      <c r="A9" s="83">
        <v>6</v>
      </c>
      <c r="B9" s="302" t="s">
        <v>1057</v>
      </c>
      <c r="C9" s="300">
        <v>24226</v>
      </c>
      <c r="D9" s="299" t="s">
        <v>287</v>
      </c>
      <c r="E9" s="222" t="s">
        <v>715</v>
      </c>
      <c r="F9" s="301" t="s">
        <v>1022</v>
      </c>
      <c r="G9" s="83" t="s">
        <v>307</v>
      </c>
      <c r="H9" s="83" t="s">
        <v>311</v>
      </c>
      <c r="I9" s="303" t="s">
        <v>780</v>
      </c>
      <c r="J9" s="222" t="s">
        <v>859</v>
      </c>
      <c r="K9" s="67" t="s">
        <v>1055</v>
      </c>
      <c r="L9" s="67" t="s">
        <v>1056</v>
      </c>
    </row>
    <row r="10" spans="1:27" s="67" customFormat="1" ht="12.75">
      <c r="A10" s="83"/>
      <c r="B10" s="83"/>
      <c r="C10" s="83"/>
      <c r="D10" s="83"/>
      <c r="E10" s="83"/>
      <c r="F10" s="86"/>
      <c r="G10" s="83"/>
      <c r="H10" s="83"/>
      <c r="I10" s="83"/>
      <c r="J10" s="33"/>
      <c r="K10" s="234"/>
    </row>
    <row r="11" spans="1:27" ht="12.75">
      <c r="A11" s="223"/>
      <c r="B11" s="224"/>
      <c r="C11" s="224"/>
      <c r="D11" s="224"/>
      <c r="E11" s="224"/>
      <c r="F11" s="218"/>
      <c r="G11" s="224"/>
      <c r="H11" s="224"/>
      <c r="I11" s="224"/>
      <c r="J11" s="224"/>
      <c r="K11" s="234"/>
      <c r="L11" s="217"/>
      <c r="M11" s="219"/>
      <c r="N11" s="219"/>
      <c r="O11" s="219"/>
      <c r="P11" s="219"/>
      <c r="Q11" s="219"/>
      <c r="R11" s="219"/>
      <c r="S11" s="219"/>
      <c r="T11" s="219"/>
      <c r="U11" s="219"/>
      <c r="V11" s="219"/>
      <c r="W11" s="219"/>
      <c r="X11" s="219"/>
      <c r="Y11" s="219"/>
      <c r="Z11" s="219"/>
      <c r="AA11" s="219"/>
    </row>
    <row r="13" spans="1:27" ht="15.75" customHeight="1">
      <c r="F13" s="70" t="s">
        <v>929</v>
      </c>
    </row>
    <row r="34" spans="1:1" ht="15.75" customHeight="1">
      <c r="A34" s="220" t="s">
        <v>930</v>
      </c>
    </row>
    <row r="35" spans="1:1" ht="15.75" customHeight="1">
      <c r="A35" s="221" t="s">
        <v>931</v>
      </c>
    </row>
    <row r="36" spans="1:1" ht="15.75" customHeight="1">
      <c r="A36" s="221" t="s">
        <v>859</v>
      </c>
    </row>
    <row r="37" spans="1:1" ht="15.75" customHeight="1">
      <c r="A37" s="221" t="s">
        <v>932</v>
      </c>
    </row>
    <row r="38" spans="1:1" ht="15.75" customHeight="1">
      <c r="A38" s="221" t="s">
        <v>933</v>
      </c>
    </row>
    <row r="39" spans="1:1" ht="15.75" customHeight="1">
      <c r="A39" s="221" t="s">
        <v>902</v>
      </c>
    </row>
    <row r="40" spans="1:1" ht="15.75" customHeight="1">
      <c r="A40" s="221" t="s">
        <v>934</v>
      </c>
    </row>
    <row r="41" spans="1:1" ht="15.75" customHeight="1">
      <c r="A41" s="221" t="s">
        <v>935</v>
      </c>
    </row>
    <row r="42" spans="1:1" ht="15.75" customHeight="1">
      <c r="A42" s="221" t="s">
        <v>936</v>
      </c>
    </row>
    <row r="43" spans="1:1" ht="15.75" customHeight="1">
      <c r="A43" s="221" t="s">
        <v>937</v>
      </c>
    </row>
  </sheetData>
  <dataValidations count="5">
    <dataValidation type="list" allowBlank="1" showErrorMessage="1" sqref="G11 G4:G8" xr:uid="{484633AC-6644-4248-98CF-F63CF6FAC9C8}">
      <formula1>"Minor,Significant,Major"</formula1>
    </dataValidation>
    <dataValidation type="list" allowBlank="1" showErrorMessage="1" sqref="H11 H4:H8" xr:uid="{E88630F3-0786-4F63-A051-FF140E5258B8}">
      <formula1>"Internal,External"</formula1>
    </dataValidation>
    <dataValidation type="list" allowBlank="1" showErrorMessage="1" sqref="I11 I4:I8" xr:uid="{9461A39B-5A08-43F6-8932-CCA3D413388C}">
      <formula1>"Open,Inprogress,Closed"</formula1>
    </dataValidation>
    <dataValidation type="list" allowBlank="1" showErrorMessage="1" sqref="E11 E4:E9" xr:uid="{F14CC55D-63AE-4997-9D5F-906369ED20D9}">
      <formula1>"Bounceback,Defect,None"</formula1>
    </dataValidation>
    <dataValidation type="list" allowBlank="1" showErrorMessage="1" sqref="J4:J10" xr:uid="{E9B2451C-8B4A-4F68-A94C-CC737413BA78}">
      <formula1>$A$35:$A$43</formula1>
    </dataValidation>
  </dataValidations>
  <hyperlinks>
    <hyperlink ref="C9" r:id="rId1" display="24226" xr:uid="{C4673F4C-F5E2-4FC4-A091-AC1B6F16AFCC}"/>
  </hyperlinks>
  <pageMargins left="0" right="0" top="0" bottom="0" header="0" footer="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CB0B4-BADC-4ACD-BB7B-F250D58A62F3}">
  <dimension ref="A1:X12"/>
  <sheetViews>
    <sheetView workbookViewId="0">
      <pane xSplit="4" topLeftCell="E1" activePane="topRight" state="frozen"/>
      <selection pane="topRight" activeCell="A7" sqref="A7"/>
    </sheetView>
  </sheetViews>
  <sheetFormatPr defaultRowHeight="12.75"/>
  <cols>
    <col min="1" max="1" width="5.42578125" style="133" bestFit="1" customWidth="1"/>
    <col min="2" max="2" width="11.85546875" style="133" customWidth="1"/>
    <col min="3" max="3" width="10.140625" style="133" bestFit="1" customWidth="1"/>
    <col min="4" max="4" width="9.5703125" style="133" customWidth="1"/>
    <col min="5" max="5" width="73" style="168" customWidth="1"/>
    <col min="6" max="6" width="18.85546875" style="133" customWidth="1"/>
    <col min="7" max="7" width="10.140625" style="133" customWidth="1"/>
    <col min="8" max="8" width="9.140625" style="133"/>
    <col min="9" max="9" width="10.140625" style="168" bestFit="1" customWidth="1"/>
    <col min="10" max="10" width="14.42578125" style="168" customWidth="1"/>
    <col min="11" max="11" width="12.42578125" style="168" customWidth="1"/>
    <col min="12" max="12" width="10.140625" style="168" customWidth="1"/>
    <col min="13" max="13" width="24" style="168" customWidth="1"/>
    <col min="14" max="14" width="45.5703125" style="168" customWidth="1"/>
    <col min="15" max="16" width="11.140625" style="168" bestFit="1" customWidth="1"/>
    <col min="17" max="17" width="9.140625" style="168"/>
    <col min="18" max="18" width="9.140625" style="178"/>
    <col min="19" max="19" width="9.140625" style="168"/>
    <col min="20" max="20" width="11.140625" style="168" bestFit="1" customWidth="1"/>
    <col min="21" max="21" width="9.140625" style="168"/>
    <col min="22" max="22" width="18.28515625" style="168" customWidth="1"/>
    <col min="23" max="23" width="59.5703125" style="168" customWidth="1"/>
    <col min="24" max="24" width="50.5703125" style="168" customWidth="1"/>
    <col min="25" max="16384" width="9.140625" style="168"/>
  </cols>
  <sheetData>
    <row r="1" spans="1:24" ht="48">
      <c r="A1" s="167" t="s">
        <v>243</v>
      </c>
      <c r="B1" s="167" t="s">
        <v>244</v>
      </c>
      <c r="C1" s="167" t="s">
        <v>245</v>
      </c>
      <c r="D1" s="167" t="s">
        <v>246</v>
      </c>
      <c r="E1" s="184" t="s">
        <v>247</v>
      </c>
      <c r="F1" s="167" t="s">
        <v>248</v>
      </c>
      <c r="G1" s="167" t="s">
        <v>966</v>
      </c>
      <c r="H1" s="167" t="s">
        <v>967</v>
      </c>
      <c r="I1" s="184" t="s">
        <v>254</v>
      </c>
      <c r="J1" s="184" t="s">
        <v>255</v>
      </c>
      <c r="K1" s="184" t="s">
        <v>256</v>
      </c>
      <c r="L1" s="184" t="s">
        <v>257</v>
      </c>
      <c r="M1" s="184" t="s">
        <v>258</v>
      </c>
      <c r="N1" s="184" t="s">
        <v>259</v>
      </c>
      <c r="O1" s="184" t="s">
        <v>260</v>
      </c>
      <c r="P1" s="184" t="s">
        <v>261</v>
      </c>
      <c r="Q1" s="184" t="s">
        <v>262</v>
      </c>
      <c r="R1" s="184" t="s">
        <v>263</v>
      </c>
      <c r="S1" s="184" t="s">
        <v>264</v>
      </c>
      <c r="T1" s="184" t="s">
        <v>265</v>
      </c>
      <c r="U1" s="184" t="s">
        <v>263</v>
      </c>
      <c r="V1" s="184" t="s">
        <v>267</v>
      </c>
      <c r="W1" s="184" t="s">
        <v>268</v>
      </c>
      <c r="X1" s="195" t="s">
        <v>269</v>
      </c>
    </row>
    <row r="2" spans="1:24" s="194" customFormat="1" ht="24">
      <c r="A2" s="193">
        <v>1</v>
      </c>
      <c r="B2" s="169" t="s">
        <v>80</v>
      </c>
      <c r="C2" s="193" t="s">
        <v>275</v>
      </c>
      <c r="D2" s="193">
        <v>24115</v>
      </c>
      <c r="E2" s="194" t="s">
        <v>1058</v>
      </c>
      <c r="F2" s="197" t="s">
        <v>13</v>
      </c>
      <c r="G2" s="193">
        <v>1</v>
      </c>
      <c r="H2" s="193">
        <v>1</v>
      </c>
      <c r="I2" s="194" t="s">
        <v>13</v>
      </c>
      <c r="J2" s="194" t="s">
        <v>287</v>
      </c>
      <c r="L2" s="194" t="s">
        <v>287</v>
      </c>
      <c r="N2" s="236" t="s">
        <v>1059</v>
      </c>
      <c r="O2" s="249">
        <v>45600</v>
      </c>
      <c r="P2" s="249">
        <v>45600</v>
      </c>
      <c r="Q2" s="194" t="s">
        <v>287</v>
      </c>
      <c r="S2" s="194" t="s">
        <v>441</v>
      </c>
      <c r="T2" s="249">
        <v>45600</v>
      </c>
    </row>
    <row r="3" spans="1:24" s="194" customFormat="1" ht="24">
      <c r="A3" s="193">
        <v>2</v>
      </c>
      <c r="B3" s="169" t="s">
        <v>80</v>
      </c>
      <c r="C3" s="193" t="s">
        <v>275</v>
      </c>
      <c r="D3" s="193">
        <v>46398</v>
      </c>
      <c r="E3" s="194" t="s">
        <v>1060</v>
      </c>
      <c r="F3" s="197" t="s">
        <v>13</v>
      </c>
      <c r="G3" s="193">
        <v>8</v>
      </c>
      <c r="H3" s="193">
        <v>8</v>
      </c>
      <c r="I3" s="194" t="s">
        <v>13</v>
      </c>
      <c r="J3" s="194" t="s">
        <v>287</v>
      </c>
      <c r="L3" s="194" t="s">
        <v>287</v>
      </c>
      <c r="N3" s="236" t="s">
        <v>1061</v>
      </c>
      <c r="O3" s="206">
        <v>45608</v>
      </c>
      <c r="P3" s="206">
        <v>45608</v>
      </c>
      <c r="Q3" s="194" t="s">
        <v>287</v>
      </c>
      <c r="S3" s="194" t="s">
        <v>441</v>
      </c>
      <c r="T3" s="206">
        <v>45608</v>
      </c>
    </row>
    <row r="4" spans="1:24" s="194" customFormat="1" ht="24">
      <c r="A4" s="193">
        <v>3</v>
      </c>
      <c r="B4" s="169" t="s">
        <v>80</v>
      </c>
      <c r="C4" s="193" t="s">
        <v>272</v>
      </c>
      <c r="D4" s="193">
        <v>46233</v>
      </c>
      <c r="E4" s="194" t="s">
        <v>1062</v>
      </c>
      <c r="F4" s="197" t="s">
        <v>13</v>
      </c>
      <c r="G4" s="193">
        <v>1</v>
      </c>
      <c r="H4" s="193">
        <v>1</v>
      </c>
      <c r="I4" s="193" t="s">
        <v>13</v>
      </c>
      <c r="J4" s="194" t="s">
        <v>634</v>
      </c>
      <c r="K4" s="194" t="s">
        <v>541</v>
      </c>
      <c r="L4" s="194" t="s">
        <v>634</v>
      </c>
      <c r="M4" s="194" t="s">
        <v>541</v>
      </c>
      <c r="N4" s="236" t="s">
        <v>1063</v>
      </c>
      <c r="O4" s="249">
        <v>45600</v>
      </c>
      <c r="P4" s="249">
        <v>45603</v>
      </c>
      <c r="T4" s="250"/>
    </row>
    <row r="5" spans="1:24" s="194" customFormat="1" ht="24">
      <c r="A5" s="193">
        <v>4</v>
      </c>
      <c r="B5" s="169" t="s">
        <v>80</v>
      </c>
      <c r="C5" s="193" t="s">
        <v>1019</v>
      </c>
      <c r="D5" s="193">
        <v>24212</v>
      </c>
      <c r="E5" s="252" t="s">
        <v>1064</v>
      </c>
      <c r="F5" s="197" t="s">
        <v>13</v>
      </c>
      <c r="G5" s="193">
        <v>5</v>
      </c>
      <c r="H5" s="193">
        <v>5</v>
      </c>
      <c r="I5" s="194" t="s">
        <v>13</v>
      </c>
      <c r="J5" s="194" t="s">
        <v>287</v>
      </c>
      <c r="L5" s="194" t="s">
        <v>275</v>
      </c>
      <c r="M5" s="194" t="s">
        <v>1065</v>
      </c>
      <c r="N5" s="236" t="s">
        <v>1066</v>
      </c>
      <c r="O5" s="250">
        <v>45604</v>
      </c>
      <c r="P5" s="250">
        <v>45604</v>
      </c>
      <c r="Q5" s="194" t="s">
        <v>287</v>
      </c>
      <c r="S5" s="194" t="s">
        <v>441</v>
      </c>
      <c r="T5" s="250">
        <v>45604</v>
      </c>
    </row>
    <row r="6" spans="1:24" s="207" customFormat="1" ht="24">
      <c r="A6" s="193">
        <v>5</v>
      </c>
      <c r="B6" s="169" t="s">
        <v>80</v>
      </c>
      <c r="C6" s="204" t="s">
        <v>287</v>
      </c>
      <c r="D6" s="193">
        <v>46457</v>
      </c>
      <c r="E6" s="194" t="s">
        <v>1067</v>
      </c>
      <c r="F6" s="197" t="s">
        <v>13</v>
      </c>
      <c r="G6" s="204">
        <v>5</v>
      </c>
      <c r="H6" s="204">
        <v>5</v>
      </c>
      <c r="I6" s="194" t="s">
        <v>13</v>
      </c>
      <c r="J6" s="194" t="s">
        <v>287</v>
      </c>
      <c r="N6" s="236" t="s">
        <v>1066</v>
      </c>
      <c r="O6" s="208"/>
      <c r="P6" s="208"/>
      <c r="T6" s="208"/>
    </row>
    <row r="7" spans="1:24" s="194" customFormat="1" ht="24">
      <c r="A7" s="193">
        <v>6</v>
      </c>
      <c r="B7" s="169" t="s">
        <v>80</v>
      </c>
      <c r="C7" s="193" t="s">
        <v>1019</v>
      </c>
      <c r="D7" s="193">
        <v>24224</v>
      </c>
      <c r="E7" s="194" t="s">
        <v>1068</v>
      </c>
      <c r="F7" s="197" t="s">
        <v>13</v>
      </c>
      <c r="G7" s="193">
        <v>3</v>
      </c>
      <c r="H7" s="193">
        <v>3</v>
      </c>
      <c r="I7" s="194" t="s">
        <v>13</v>
      </c>
      <c r="J7" s="194" t="s">
        <v>287</v>
      </c>
      <c r="L7" s="194" t="s">
        <v>275</v>
      </c>
      <c r="N7" s="236" t="s">
        <v>1066</v>
      </c>
      <c r="O7" s="206">
        <v>45604</v>
      </c>
      <c r="P7" s="206">
        <v>45604</v>
      </c>
      <c r="Q7" s="194" t="s">
        <v>287</v>
      </c>
      <c r="S7" s="194" t="s">
        <v>441</v>
      </c>
      <c r="T7" s="206">
        <v>45604</v>
      </c>
    </row>
    <row r="8" spans="1:24" s="194" customFormat="1" ht="35.25">
      <c r="A8" s="256">
        <v>7</v>
      </c>
      <c r="B8" s="256" t="s">
        <v>1069</v>
      </c>
      <c r="C8" s="256" t="s">
        <v>1019</v>
      </c>
      <c r="D8" s="256">
        <v>46504</v>
      </c>
      <c r="E8" s="257" t="s">
        <v>1020</v>
      </c>
      <c r="F8" s="256" t="s">
        <v>1070</v>
      </c>
      <c r="G8" s="256">
        <v>3</v>
      </c>
      <c r="H8" s="256"/>
      <c r="I8" s="194" t="s">
        <v>13</v>
      </c>
      <c r="J8" s="194" t="s">
        <v>287</v>
      </c>
      <c r="K8" s="257"/>
      <c r="L8" s="194" t="s">
        <v>275</v>
      </c>
      <c r="M8" s="257"/>
      <c r="N8" s="258" t="s">
        <v>1021</v>
      </c>
      <c r="O8" s="259">
        <v>45609</v>
      </c>
      <c r="P8" s="259">
        <v>45609</v>
      </c>
      <c r="Q8" s="194" t="s">
        <v>287</v>
      </c>
      <c r="R8" s="257"/>
      <c r="S8" s="194" t="s">
        <v>441</v>
      </c>
      <c r="T8" s="259"/>
      <c r="U8" s="257"/>
      <c r="V8" s="257"/>
      <c r="W8" s="257"/>
      <c r="X8" s="257"/>
    </row>
    <row r="9" spans="1:24" s="194" customFormat="1" ht="24">
      <c r="A9" s="193">
        <v>8</v>
      </c>
      <c r="B9" s="193" t="s">
        <v>1069</v>
      </c>
      <c r="C9" s="193" t="s">
        <v>275</v>
      </c>
      <c r="D9" s="193">
        <v>46520</v>
      </c>
      <c r="E9" s="194" t="s">
        <v>1029</v>
      </c>
      <c r="F9" s="256" t="s">
        <v>628</v>
      </c>
      <c r="G9" s="193">
        <v>5</v>
      </c>
      <c r="H9" s="193"/>
      <c r="N9" s="236"/>
      <c r="O9" s="206"/>
      <c r="P9" s="206"/>
      <c r="T9" s="206"/>
    </row>
    <row r="10" spans="1:24" s="194" customFormat="1" ht="24">
      <c r="A10" s="193">
        <v>9</v>
      </c>
      <c r="B10" s="193" t="s">
        <v>1069</v>
      </c>
      <c r="C10" s="193" t="s">
        <v>287</v>
      </c>
      <c r="D10" s="139">
        <v>24226</v>
      </c>
      <c r="E10" s="260" t="s">
        <v>1022</v>
      </c>
      <c r="F10" s="193" t="s">
        <v>628</v>
      </c>
      <c r="G10" s="193">
        <v>3</v>
      </c>
      <c r="H10" s="193"/>
      <c r="N10" s="236"/>
      <c r="O10" s="250"/>
      <c r="P10" s="250"/>
      <c r="T10" s="250"/>
    </row>
    <row r="11" spans="1:24" s="194" customFormat="1" ht="15">
      <c r="A11" s="193"/>
      <c r="B11" s="193"/>
      <c r="C11" s="193"/>
      <c r="D11" s="193"/>
      <c r="F11" s="193"/>
      <c r="G11" s="193"/>
      <c r="H11" s="193"/>
      <c r="N11" s="236"/>
      <c r="O11" s="250"/>
      <c r="P11" s="250"/>
      <c r="T11" s="250"/>
    </row>
    <row r="12" spans="1:24" s="86" customFormat="1">
      <c r="A12" s="193"/>
      <c r="B12" s="193"/>
      <c r="C12" s="193"/>
      <c r="D12" s="193"/>
      <c r="E12" s="194"/>
      <c r="F12" s="193"/>
      <c r="G12" s="193"/>
      <c r="H12" s="193"/>
      <c r="I12" s="194"/>
    </row>
  </sheetData>
  <autoFilter ref="A1:Y1" xr:uid="{943457D4-1439-4484-90F4-92F908970FCB}"/>
  <dataValidations count="1">
    <dataValidation type="list" allowBlank="1" showErrorMessage="1" sqref="F7" xr:uid="{8A9BC54A-94BC-46A9-B80D-80F965C9E469}">
      <formula1>"Open,Inprogress,Closed"</formula1>
    </dataValidation>
  </dataValidations>
  <hyperlinks>
    <hyperlink ref="N2" r:id="rId1" xr:uid="{D598721D-5CF1-4A1E-87B6-ECF59CFE8153}"/>
    <hyperlink ref="N4" r:id="rId2" xr:uid="{99F3025E-A74D-4D65-BF0D-0E524C26B8B2}"/>
    <hyperlink ref="N5" r:id="rId3" xr:uid="{A19C5F9E-7608-4359-9CA7-5748B9C567CC}"/>
    <hyperlink ref="N7" r:id="rId4" xr:uid="{3BAC56C5-C1B4-4F27-AF04-7F9ADC1C0429}"/>
    <hyperlink ref="N3" r:id="rId5" xr:uid="{5293AADD-524D-4AC7-A304-3936D0E53F80}"/>
    <hyperlink ref="N8" r:id="rId6" xr:uid="{D12D321D-A97B-4ACC-935C-7C3790B2D0B4}"/>
    <hyperlink ref="N6" r:id="rId7" xr:uid="{D9D0F66E-E714-4D7B-9712-2BF419DC2705}"/>
    <hyperlink ref="D10" r:id="rId8" display="24226" xr:uid="{8860E0A3-CEAA-4999-A49D-5FC943E6362B}"/>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CC8C-30C8-43A5-BFE1-C7CF70B4A487}">
  <sheetPr>
    <outlinePr summaryBelow="0" summaryRight="0"/>
  </sheetPr>
  <dimension ref="A3:Z43"/>
  <sheetViews>
    <sheetView workbookViewId="0">
      <selection activeCell="J4" sqref="J4"/>
    </sheetView>
  </sheetViews>
  <sheetFormatPr defaultColWidth="12.5703125" defaultRowHeight="15.75" customHeight="1"/>
  <cols>
    <col min="1" max="1" width="6.7109375" style="48" customWidth="1"/>
    <col min="2" max="4" width="9.140625" style="48"/>
    <col min="5" max="5" width="9.140625" style="48" bestFit="1" customWidth="1"/>
    <col min="6" max="6" width="74.42578125" style="70" bestFit="1" customWidth="1"/>
    <col min="7" max="7" width="14.7109375" style="48" customWidth="1"/>
    <col min="8" max="9" width="9.140625" style="48" bestFit="1" customWidth="1"/>
    <col min="10" max="10" width="15.85546875" style="48" customWidth="1"/>
    <col min="11" max="11" width="39.7109375" style="70" customWidth="1"/>
    <col min="12" max="16384" width="12.5703125" style="70"/>
  </cols>
  <sheetData>
    <row r="3" spans="1:26" s="48" customFormat="1" ht="27">
      <c r="A3" s="88" t="s">
        <v>243</v>
      </c>
      <c r="B3" s="209" t="s">
        <v>11</v>
      </c>
      <c r="C3" s="209" t="s">
        <v>297</v>
      </c>
      <c r="D3" s="209" t="s">
        <v>245</v>
      </c>
      <c r="E3" s="209" t="s">
        <v>299</v>
      </c>
      <c r="F3" s="209" t="s">
        <v>300</v>
      </c>
      <c r="G3" s="209" t="s">
        <v>301</v>
      </c>
      <c r="H3" s="209" t="s">
        <v>303</v>
      </c>
      <c r="I3" s="209" t="s">
        <v>248</v>
      </c>
      <c r="J3" s="213" t="s">
        <v>305</v>
      </c>
      <c r="K3" s="214" t="s">
        <v>269</v>
      </c>
      <c r="L3" s="210"/>
      <c r="M3" s="210"/>
      <c r="N3" s="210"/>
      <c r="O3" s="210"/>
      <c r="P3" s="210"/>
      <c r="Q3" s="210"/>
      <c r="R3" s="210"/>
      <c r="S3" s="210"/>
      <c r="T3" s="210"/>
      <c r="U3" s="210"/>
      <c r="V3" s="210"/>
      <c r="W3" s="210"/>
      <c r="X3" s="210"/>
      <c r="Y3" s="210"/>
      <c r="Z3" s="210"/>
    </row>
    <row r="4" spans="1:26" s="67" customFormat="1" ht="24">
      <c r="A4" s="222">
        <v>1</v>
      </c>
      <c r="B4" s="127" t="s">
        <v>80</v>
      </c>
      <c r="C4" s="193">
        <v>24115</v>
      </c>
      <c r="D4" s="222" t="s">
        <v>275</v>
      </c>
      <c r="E4" s="222" t="s">
        <v>715</v>
      </c>
      <c r="F4" s="193" t="s">
        <v>1058</v>
      </c>
      <c r="G4" s="222" t="s">
        <v>784</v>
      </c>
      <c r="H4" s="222" t="s">
        <v>311</v>
      </c>
      <c r="I4" s="197" t="s">
        <v>13</v>
      </c>
      <c r="J4" s="222" t="s">
        <v>859</v>
      </c>
    </row>
    <row r="5" spans="1:26" s="67" customFormat="1" ht="24">
      <c r="A5" s="222">
        <v>2</v>
      </c>
      <c r="B5" s="127" t="s">
        <v>80</v>
      </c>
      <c r="C5" s="193">
        <v>24212</v>
      </c>
      <c r="D5" s="222" t="s">
        <v>1019</v>
      </c>
      <c r="E5" s="222" t="s">
        <v>715</v>
      </c>
      <c r="F5" s="49" t="s">
        <v>1064</v>
      </c>
      <c r="G5" s="222" t="s">
        <v>784</v>
      </c>
      <c r="H5" s="222" t="s">
        <v>371</v>
      </c>
      <c r="I5" s="197" t="s">
        <v>13</v>
      </c>
      <c r="J5" s="222" t="s">
        <v>859</v>
      </c>
    </row>
    <row r="6" spans="1:26" s="67" customFormat="1" ht="24">
      <c r="A6" s="222">
        <v>3</v>
      </c>
      <c r="B6" s="127" t="s">
        <v>80</v>
      </c>
      <c r="C6" s="193">
        <v>24224</v>
      </c>
      <c r="D6" s="222" t="s">
        <v>1019</v>
      </c>
      <c r="E6" s="222" t="s">
        <v>715</v>
      </c>
      <c r="F6" s="193" t="s">
        <v>1068</v>
      </c>
      <c r="G6" s="222" t="s">
        <v>784</v>
      </c>
      <c r="H6" s="222" t="s">
        <v>371</v>
      </c>
      <c r="I6" s="197" t="s">
        <v>13</v>
      </c>
      <c r="J6" s="222" t="s">
        <v>859</v>
      </c>
    </row>
    <row r="7" spans="1:26" s="67" customFormat="1" ht="12.75">
      <c r="A7" s="222"/>
      <c r="B7" s="127"/>
      <c r="C7" s="193"/>
      <c r="D7" s="222"/>
      <c r="E7" s="222"/>
      <c r="F7" s="194"/>
      <c r="G7" s="222"/>
      <c r="H7" s="222"/>
      <c r="I7" s="222"/>
      <c r="J7" s="222"/>
    </row>
    <row r="8" spans="1:26" s="67" customFormat="1" ht="12.75">
      <c r="A8" s="222"/>
      <c r="B8" s="127"/>
      <c r="C8" s="193"/>
      <c r="D8" s="222"/>
      <c r="E8" s="222"/>
      <c r="F8" s="194"/>
      <c r="G8" s="222"/>
      <c r="H8" s="222"/>
      <c r="I8" s="222"/>
      <c r="J8" s="222"/>
    </row>
    <row r="9" spans="1:26" s="67" customFormat="1" ht="12.75">
      <c r="A9" s="83"/>
      <c r="B9" s="215"/>
      <c r="C9" s="83"/>
      <c r="D9" s="83"/>
      <c r="E9" s="83"/>
      <c r="F9" s="212"/>
      <c r="G9" s="83"/>
      <c r="H9" s="83"/>
      <c r="I9" s="83"/>
      <c r="J9" s="222"/>
    </row>
    <row r="10" spans="1:26" s="67" customFormat="1" ht="12.75">
      <c r="A10" s="83"/>
      <c r="B10" s="83"/>
      <c r="C10" s="83"/>
      <c r="D10" s="83"/>
      <c r="E10" s="83"/>
      <c r="F10" s="86"/>
      <c r="G10" s="83"/>
      <c r="H10" s="83"/>
      <c r="I10" s="83"/>
      <c r="J10" s="33"/>
    </row>
    <row r="11" spans="1:26" ht="12.75">
      <c r="A11" s="223"/>
      <c r="B11" s="224"/>
      <c r="C11" s="224"/>
      <c r="D11" s="224"/>
      <c r="E11" s="224"/>
      <c r="F11" s="218"/>
      <c r="G11" s="224"/>
      <c r="H11" s="224"/>
      <c r="I11" s="224"/>
      <c r="J11" s="224"/>
      <c r="K11" s="217"/>
      <c r="L11" s="219"/>
      <c r="M11" s="219"/>
      <c r="N11" s="219"/>
      <c r="O11" s="219"/>
      <c r="P11" s="219"/>
      <c r="Q11" s="219"/>
      <c r="R11" s="219"/>
      <c r="S11" s="219"/>
      <c r="T11" s="219"/>
      <c r="U11" s="219"/>
      <c r="V11" s="219"/>
      <c r="W11" s="219"/>
      <c r="X11" s="219"/>
      <c r="Y11" s="219"/>
      <c r="Z11" s="219"/>
    </row>
    <row r="34" spans="1:1" ht="15.75" customHeight="1">
      <c r="A34" s="220" t="s">
        <v>930</v>
      </c>
    </row>
    <row r="35" spans="1:1" ht="15.75" customHeight="1">
      <c r="A35" s="221" t="s">
        <v>931</v>
      </c>
    </row>
    <row r="36" spans="1:1" ht="15.75" customHeight="1">
      <c r="A36" s="221" t="s">
        <v>859</v>
      </c>
    </row>
    <row r="37" spans="1:1" ht="15.75" customHeight="1">
      <c r="A37" s="221" t="s">
        <v>932</v>
      </c>
    </row>
    <row r="38" spans="1:1" ht="15.75" customHeight="1">
      <c r="A38" s="221" t="s">
        <v>933</v>
      </c>
    </row>
    <row r="39" spans="1:1" ht="15.75" customHeight="1">
      <c r="A39" s="221" t="s">
        <v>902</v>
      </c>
    </row>
    <row r="40" spans="1:1" ht="15.75" customHeight="1">
      <c r="A40" s="221" t="s">
        <v>934</v>
      </c>
    </row>
    <row r="41" spans="1:1" ht="15.75" customHeight="1">
      <c r="A41" s="221" t="s">
        <v>935</v>
      </c>
    </row>
    <row r="42" spans="1:1" ht="15.75" customHeight="1">
      <c r="A42" s="221" t="s">
        <v>936</v>
      </c>
    </row>
    <row r="43" spans="1:1" ht="15.75" customHeight="1">
      <c r="A43" s="221" t="s">
        <v>937</v>
      </c>
    </row>
  </sheetData>
  <dataValidations count="5">
    <dataValidation type="list" allowBlank="1" showErrorMessage="1" sqref="J4:J10" xr:uid="{0809FE44-C3D1-4B34-B187-E6369E2F7D6A}">
      <formula1>$A$35:$A$43</formula1>
    </dataValidation>
    <dataValidation type="list" allowBlank="1" showErrorMessage="1" sqref="E11 E4:E8" xr:uid="{52D73A56-689D-4FE9-9ED1-EF3272C30123}">
      <formula1>"Bounceback,Defect,None"</formula1>
    </dataValidation>
    <dataValidation type="list" allowBlank="1" showErrorMessage="1" sqref="I11 I4:I8" xr:uid="{D404E769-BFD1-458E-BA41-770324F6D880}">
      <formula1>"Open,Inprogress,Closed"</formula1>
    </dataValidation>
    <dataValidation type="list" allowBlank="1" showErrorMessage="1" sqref="H11 H4:H8" xr:uid="{8ED23E06-FC53-4401-AABD-1951F7EF299E}">
      <formula1>"Internal,External"</formula1>
    </dataValidation>
    <dataValidation type="list" allowBlank="1" showErrorMessage="1" sqref="G11 G4:G8" xr:uid="{B8746BEE-5B24-4AD3-9508-5A0E0E6FCA80}">
      <formula1>"Minor,Significant,Major"</formula1>
    </dataValidation>
  </dataValidations>
  <pageMargins left="0" right="0" top="0" bottom="0" header="0" footer="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AE52C-8FE5-4A79-A751-8B36B6DA83F5}">
  <sheetPr>
    <outlinePr summaryBelow="0" summaryRight="0"/>
  </sheetPr>
  <dimension ref="A3:Z43"/>
  <sheetViews>
    <sheetView workbookViewId="0">
      <selection activeCell="A6" sqref="A6"/>
    </sheetView>
  </sheetViews>
  <sheetFormatPr defaultColWidth="12.5703125" defaultRowHeight="15.75" customHeight="1"/>
  <cols>
    <col min="1" max="1" width="6.7109375" style="48" customWidth="1"/>
    <col min="2" max="4" width="9.140625" style="48"/>
    <col min="5" max="5" width="9.140625" style="48" bestFit="1" customWidth="1"/>
    <col min="6" max="6" width="74.42578125" style="70" bestFit="1" customWidth="1"/>
    <col min="7" max="7" width="14.7109375" style="48" customWidth="1"/>
    <col min="8" max="9" width="9.140625" style="48" bestFit="1" customWidth="1"/>
    <col min="10" max="10" width="15.85546875" style="48" customWidth="1"/>
    <col min="11" max="11" width="39.7109375" style="70" customWidth="1"/>
    <col min="12" max="16384" width="12.5703125" style="70"/>
  </cols>
  <sheetData>
    <row r="3" spans="1:26" s="48" customFormat="1" ht="27">
      <c r="A3" s="88" t="s">
        <v>243</v>
      </c>
      <c r="B3" s="209" t="s">
        <v>11</v>
      </c>
      <c r="C3" s="209" t="s">
        <v>297</v>
      </c>
      <c r="D3" s="209" t="s">
        <v>245</v>
      </c>
      <c r="E3" s="209" t="s">
        <v>299</v>
      </c>
      <c r="F3" s="209" t="s">
        <v>300</v>
      </c>
      <c r="G3" s="209" t="s">
        <v>301</v>
      </c>
      <c r="H3" s="209" t="s">
        <v>303</v>
      </c>
      <c r="I3" s="209" t="s">
        <v>248</v>
      </c>
      <c r="J3" s="213" t="s">
        <v>305</v>
      </c>
      <c r="K3" s="214" t="s">
        <v>269</v>
      </c>
      <c r="L3" s="210"/>
      <c r="M3" s="210"/>
      <c r="N3" s="210"/>
      <c r="O3" s="210"/>
      <c r="P3" s="210"/>
      <c r="Q3" s="210"/>
      <c r="R3" s="210"/>
      <c r="S3" s="210"/>
      <c r="T3" s="210"/>
      <c r="U3" s="210"/>
      <c r="V3" s="210"/>
      <c r="W3" s="210"/>
      <c r="X3" s="210"/>
      <c r="Y3" s="210"/>
      <c r="Z3" s="210"/>
    </row>
    <row r="4" spans="1:26" s="67" customFormat="1" ht="24">
      <c r="A4" s="222">
        <v>1</v>
      </c>
      <c r="B4" s="127" t="s">
        <v>76</v>
      </c>
      <c r="C4" s="193">
        <v>24068</v>
      </c>
      <c r="D4" s="222" t="s">
        <v>275</v>
      </c>
      <c r="E4" s="222" t="s">
        <v>715</v>
      </c>
      <c r="F4" s="193" t="s">
        <v>1071</v>
      </c>
      <c r="G4" s="222" t="s">
        <v>784</v>
      </c>
      <c r="H4" s="222" t="s">
        <v>371</v>
      </c>
      <c r="I4" s="255" t="s">
        <v>780</v>
      </c>
      <c r="J4" s="222" t="s">
        <v>859</v>
      </c>
    </row>
    <row r="5" spans="1:26" s="67" customFormat="1" ht="24">
      <c r="A5" s="222">
        <v>3</v>
      </c>
      <c r="B5" s="127" t="s">
        <v>76</v>
      </c>
      <c r="C5" s="193">
        <v>24201</v>
      </c>
      <c r="D5" s="222" t="s">
        <v>1019</v>
      </c>
      <c r="E5" s="222" t="s">
        <v>715</v>
      </c>
      <c r="F5" s="49" t="s">
        <v>1072</v>
      </c>
      <c r="G5" s="222" t="s">
        <v>784</v>
      </c>
      <c r="H5" s="222" t="s">
        <v>371</v>
      </c>
      <c r="I5" s="255" t="s">
        <v>780</v>
      </c>
      <c r="J5" s="222" t="s">
        <v>859</v>
      </c>
    </row>
    <row r="6" spans="1:26" s="67" customFormat="1" ht="24">
      <c r="A6" s="222">
        <v>2</v>
      </c>
      <c r="B6" s="127" t="s">
        <v>1073</v>
      </c>
      <c r="C6" s="193">
        <v>24115</v>
      </c>
      <c r="D6" s="222" t="s">
        <v>275</v>
      </c>
      <c r="E6" s="222" t="s">
        <v>715</v>
      </c>
      <c r="F6" s="193" t="s">
        <v>1058</v>
      </c>
      <c r="G6" s="222" t="s">
        <v>784</v>
      </c>
      <c r="H6" s="222" t="s">
        <v>311</v>
      </c>
      <c r="I6" s="222" t="s">
        <v>952</v>
      </c>
      <c r="J6" s="222" t="s">
        <v>859</v>
      </c>
    </row>
    <row r="7" spans="1:26" s="67" customFormat="1" ht="24">
      <c r="A7" s="222">
        <v>4</v>
      </c>
      <c r="B7" s="127" t="s">
        <v>1073</v>
      </c>
      <c r="C7" s="193">
        <v>24212</v>
      </c>
      <c r="D7" s="222" t="s">
        <v>1019</v>
      </c>
      <c r="E7" s="222" t="s">
        <v>715</v>
      </c>
      <c r="F7" s="194" t="s">
        <v>1064</v>
      </c>
      <c r="G7" s="222" t="s">
        <v>784</v>
      </c>
      <c r="H7" s="222" t="s">
        <v>371</v>
      </c>
      <c r="I7" s="222" t="s">
        <v>952</v>
      </c>
      <c r="J7" s="222" t="s">
        <v>859</v>
      </c>
    </row>
    <row r="8" spans="1:26" s="67" customFormat="1" ht="12.75">
      <c r="A8" s="222"/>
      <c r="B8" s="127"/>
      <c r="C8" s="193"/>
      <c r="D8" s="222"/>
      <c r="E8" s="222"/>
      <c r="F8" s="194"/>
      <c r="G8" s="222"/>
      <c r="H8" s="222"/>
      <c r="I8" s="222"/>
      <c r="J8" s="222"/>
    </row>
    <row r="9" spans="1:26" s="67" customFormat="1" ht="12.75">
      <c r="A9" s="83"/>
      <c r="B9" s="215"/>
      <c r="C9" s="83"/>
      <c r="D9" s="83"/>
      <c r="E9" s="83"/>
      <c r="F9" s="212"/>
      <c r="G9" s="83"/>
      <c r="H9" s="83"/>
      <c r="I9" s="83"/>
      <c r="J9" s="222"/>
    </row>
    <row r="10" spans="1:26" s="67" customFormat="1" ht="12.75">
      <c r="A10" s="83"/>
      <c r="B10" s="83"/>
      <c r="C10" s="83"/>
      <c r="D10" s="83"/>
      <c r="E10" s="83"/>
      <c r="F10" s="86"/>
      <c r="G10" s="83"/>
      <c r="H10" s="83"/>
      <c r="I10" s="83"/>
      <c r="J10" s="33"/>
    </row>
    <row r="11" spans="1:26" ht="12.75">
      <c r="A11" s="223"/>
      <c r="B11" s="224"/>
      <c r="C11" s="224"/>
      <c r="D11" s="224"/>
      <c r="E11" s="224"/>
      <c r="F11" s="218"/>
      <c r="G11" s="224"/>
      <c r="H11" s="224"/>
      <c r="I11" s="224"/>
      <c r="J11" s="224"/>
      <c r="K11" s="217"/>
      <c r="L11" s="219"/>
      <c r="M11" s="219"/>
      <c r="N11" s="219"/>
      <c r="O11" s="219"/>
      <c r="P11" s="219"/>
      <c r="Q11" s="219"/>
      <c r="R11" s="219"/>
      <c r="S11" s="219"/>
      <c r="T11" s="219"/>
      <c r="U11" s="219"/>
      <c r="V11" s="219"/>
      <c r="W11" s="219"/>
      <c r="X11" s="219"/>
      <c r="Y11" s="219"/>
      <c r="Z11" s="219"/>
    </row>
    <row r="34" spans="1:1" ht="15.75" customHeight="1">
      <c r="A34" s="220" t="s">
        <v>930</v>
      </c>
    </row>
    <row r="35" spans="1:1" ht="15.75" customHeight="1">
      <c r="A35" s="221" t="s">
        <v>931</v>
      </c>
    </row>
    <row r="36" spans="1:1" ht="15.75" customHeight="1">
      <c r="A36" s="221" t="s">
        <v>859</v>
      </c>
    </row>
    <row r="37" spans="1:1" ht="15.75" customHeight="1">
      <c r="A37" s="221" t="s">
        <v>932</v>
      </c>
    </row>
    <row r="38" spans="1:1" ht="15.75" customHeight="1">
      <c r="A38" s="221" t="s">
        <v>933</v>
      </c>
    </row>
    <row r="39" spans="1:1" ht="15.75" customHeight="1">
      <c r="A39" s="221" t="s">
        <v>902</v>
      </c>
    </row>
    <row r="40" spans="1:1" ht="15.75" customHeight="1">
      <c r="A40" s="221" t="s">
        <v>934</v>
      </c>
    </row>
    <row r="41" spans="1:1" ht="15.75" customHeight="1">
      <c r="A41" s="221" t="s">
        <v>935</v>
      </c>
    </row>
    <row r="42" spans="1:1" ht="15.75" customHeight="1">
      <c r="A42" s="221" t="s">
        <v>936</v>
      </c>
    </row>
    <row r="43" spans="1:1" ht="15.75" customHeight="1">
      <c r="A43" s="221" t="s">
        <v>937</v>
      </c>
    </row>
  </sheetData>
  <dataValidations count="5">
    <dataValidation type="list" allowBlank="1" showErrorMessage="1" sqref="G11 F4:G5 G5:G6 G7:G8" xr:uid="{4B264DFD-5D7A-421D-8BAB-9AB3A516AD7F}">
      <formula1>"Minor,Significant,Major"</formula1>
    </dataValidation>
    <dataValidation type="list" allowBlank="1" showErrorMessage="1" sqref="H11 H7:H8 H4:H6" xr:uid="{882AC895-C8D7-4D09-8A72-EE0F159EAE46}">
      <formula1>"Internal,External"</formula1>
    </dataValidation>
    <dataValidation type="list" allowBlank="1" showErrorMessage="1" sqref="I11 I7:I8 I4:I6" xr:uid="{7CD646D5-0FED-4ADD-88DA-8B86AC9D3969}">
      <formula1>"Open,Inprogress,Closed"</formula1>
    </dataValidation>
    <dataValidation type="list" allowBlank="1" showErrorMessage="1" sqref="E11 E7:E8 E4:E6" xr:uid="{1DDEBB2A-8B6C-457F-8986-EA093CF6B713}">
      <formula1>"Bounceback,Defect,None"</formula1>
    </dataValidation>
    <dataValidation type="list" allowBlank="1" showErrorMessage="1" sqref="J4:J10" xr:uid="{394571AA-FE08-41BC-9419-D1FB9CC6FFEB}">
      <formula1>$A$35:$A$43</formula1>
    </dataValidation>
  </dataValidations>
  <pageMargins left="0" right="0" top="0" bottom="0" header="0" footer="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01FF4-9794-45BC-8A52-ECFE0BEA10A6}">
  <dimension ref="A1:X12"/>
  <sheetViews>
    <sheetView workbookViewId="0">
      <pane xSplit="4" topLeftCell="E1" activePane="topRight" state="frozen"/>
      <selection pane="topRight" activeCell="E5" sqref="E5"/>
    </sheetView>
  </sheetViews>
  <sheetFormatPr defaultRowHeight="12.75"/>
  <cols>
    <col min="1" max="1" width="5.42578125" style="133" bestFit="1" customWidth="1"/>
    <col min="2" max="2" width="11.85546875" style="133" customWidth="1"/>
    <col min="3" max="3" width="10.140625" style="133" bestFit="1" customWidth="1"/>
    <col min="4" max="4" width="9.5703125" style="133" customWidth="1"/>
    <col min="5" max="5" width="73" style="168" customWidth="1"/>
    <col min="6" max="6" width="18.85546875" style="133" customWidth="1"/>
    <col min="7" max="7" width="10.140625" style="133" customWidth="1"/>
    <col min="8" max="8" width="9.140625" style="133"/>
    <col min="9" max="9" width="10.140625" style="133" bestFit="1" customWidth="1"/>
    <col min="10" max="10" width="14.42578125" style="133" customWidth="1"/>
    <col min="11" max="11" width="12.42578125" style="168" customWidth="1"/>
    <col min="12" max="12" width="10.140625" style="133" customWidth="1"/>
    <col min="13" max="13" width="24" style="168" customWidth="1"/>
    <col min="14" max="14" width="45.5703125" style="168" customWidth="1"/>
    <col min="15" max="16" width="11.140625" style="168" bestFit="1" customWidth="1"/>
    <col min="17" max="17" width="9.140625" style="168"/>
    <col min="18" max="18" width="9.140625" style="178"/>
    <col min="19" max="19" width="9.140625" style="168"/>
    <col min="20" max="20" width="11.140625" style="168" bestFit="1" customWidth="1"/>
    <col min="21" max="21" width="9.140625" style="168"/>
    <col min="22" max="22" width="18.28515625" style="168" customWidth="1"/>
    <col min="23" max="23" width="59.5703125" style="168" customWidth="1"/>
    <col min="24" max="24" width="50.5703125" style="168" customWidth="1"/>
    <col min="25" max="16384" width="9.140625" style="168"/>
  </cols>
  <sheetData>
    <row r="1" spans="1:24" s="133" customFormat="1" ht="48">
      <c r="A1" s="167" t="s">
        <v>243</v>
      </c>
      <c r="B1" s="167" t="s">
        <v>244</v>
      </c>
      <c r="C1" s="167" t="s">
        <v>245</v>
      </c>
      <c r="D1" s="167" t="s">
        <v>246</v>
      </c>
      <c r="E1" s="167" t="s">
        <v>247</v>
      </c>
      <c r="F1" s="167" t="s">
        <v>248</v>
      </c>
      <c r="G1" s="167" t="s">
        <v>966</v>
      </c>
      <c r="H1" s="167" t="s">
        <v>967</v>
      </c>
      <c r="I1" s="167" t="s">
        <v>254</v>
      </c>
      <c r="J1" s="167" t="s">
        <v>255</v>
      </c>
      <c r="K1" s="167" t="s">
        <v>256</v>
      </c>
      <c r="L1" s="167" t="s">
        <v>257</v>
      </c>
      <c r="M1" s="167" t="s">
        <v>258</v>
      </c>
      <c r="N1" s="167" t="s">
        <v>259</v>
      </c>
      <c r="O1" s="167" t="s">
        <v>260</v>
      </c>
      <c r="P1" s="167" t="s">
        <v>261</v>
      </c>
      <c r="Q1" s="167" t="s">
        <v>262</v>
      </c>
      <c r="R1" s="167" t="s">
        <v>263</v>
      </c>
      <c r="S1" s="167" t="s">
        <v>264</v>
      </c>
      <c r="T1" s="167" t="s">
        <v>265</v>
      </c>
      <c r="U1" s="167" t="s">
        <v>263</v>
      </c>
      <c r="V1" s="167" t="s">
        <v>267</v>
      </c>
      <c r="W1" s="167" t="s">
        <v>268</v>
      </c>
      <c r="X1" s="211" t="s">
        <v>269</v>
      </c>
    </row>
    <row r="2" spans="1:24" s="194" customFormat="1" ht="24">
      <c r="A2" s="193">
        <v>1</v>
      </c>
      <c r="B2" s="248" t="s">
        <v>1074</v>
      </c>
      <c r="C2" s="193" t="s">
        <v>275</v>
      </c>
      <c r="D2" s="193">
        <v>24068</v>
      </c>
      <c r="E2" s="193" t="s">
        <v>1071</v>
      </c>
      <c r="F2" s="247" t="s">
        <v>13</v>
      </c>
      <c r="G2" s="193">
        <v>3</v>
      </c>
      <c r="H2" s="193">
        <v>3</v>
      </c>
      <c r="I2" s="204" t="s">
        <v>13</v>
      </c>
      <c r="J2" s="193" t="s">
        <v>287</v>
      </c>
      <c r="L2" s="193" t="s">
        <v>287</v>
      </c>
      <c r="N2" s="236" t="s">
        <v>1075</v>
      </c>
      <c r="O2" s="249">
        <v>45583</v>
      </c>
      <c r="P2" s="206">
        <v>45587</v>
      </c>
      <c r="Q2" s="194" t="s">
        <v>287</v>
      </c>
      <c r="S2" s="194" t="s">
        <v>441</v>
      </c>
      <c r="T2" s="206">
        <v>45588</v>
      </c>
    </row>
    <row r="3" spans="1:24" s="194" customFormat="1" ht="24">
      <c r="A3" s="193">
        <f>A5+1</f>
        <v>3</v>
      </c>
      <c r="B3" s="248" t="s">
        <v>1074</v>
      </c>
      <c r="C3" s="193" t="s">
        <v>275</v>
      </c>
      <c r="D3" s="251">
        <v>45666</v>
      </c>
      <c r="E3" s="194" t="s">
        <v>1076</v>
      </c>
      <c r="F3" s="247" t="s">
        <v>13</v>
      </c>
      <c r="G3" s="193">
        <v>3</v>
      </c>
      <c r="H3" s="193">
        <v>3</v>
      </c>
      <c r="I3" s="193" t="s">
        <v>628</v>
      </c>
      <c r="J3" s="193" t="s">
        <v>275</v>
      </c>
      <c r="L3" s="193" t="s">
        <v>287</v>
      </c>
      <c r="N3" s="236" t="s">
        <v>1077</v>
      </c>
      <c r="O3" s="206">
        <v>45594</v>
      </c>
      <c r="P3" s="206">
        <v>45594</v>
      </c>
      <c r="Q3" s="194" t="s">
        <v>287</v>
      </c>
      <c r="S3" s="194" t="s">
        <v>441</v>
      </c>
      <c r="T3" s="206">
        <v>45594</v>
      </c>
    </row>
    <row r="4" spans="1:24" s="194" customFormat="1" ht="24">
      <c r="A4" s="193">
        <f t="shared" ref="A4:A9" si="0">A3+1</f>
        <v>4</v>
      </c>
      <c r="B4" s="248" t="s">
        <v>76</v>
      </c>
      <c r="C4" s="193" t="s">
        <v>1019</v>
      </c>
      <c r="D4" s="254">
        <v>24201</v>
      </c>
      <c r="E4" s="252" t="s">
        <v>1072</v>
      </c>
      <c r="F4" s="247" t="s">
        <v>13</v>
      </c>
      <c r="G4" s="193">
        <v>3</v>
      </c>
      <c r="H4" s="193">
        <v>3</v>
      </c>
      <c r="I4" s="193" t="s">
        <v>13</v>
      </c>
      <c r="J4" s="193" t="s">
        <v>275</v>
      </c>
      <c r="L4" s="193" t="s">
        <v>275</v>
      </c>
      <c r="N4" s="236" t="s">
        <v>1078</v>
      </c>
      <c r="O4" s="250">
        <v>45587</v>
      </c>
      <c r="P4" s="250">
        <v>45588</v>
      </c>
      <c r="Q4" s="194" t="s">
        <v>287</v>
      </c>
      <c r="S4" s="194" t="s">
        <v>441</v>
      </c>
      <c r="T4" s="250">
        <v>45588</v>
      </c>
    </row>
    <row r="5" spans="1:24" s="194" customFormat="1" ht="24">
      <c r="A5" s="193">
        <f>A2+1</f>
        <v>2</v>
      </c>
      <c r="B5" s="248" t="s">
        <v>76</v>
      </c>
      <c r="C5" s="193" t="s">
        <v>287</v>
      </c>
      <c r="D5" s="254">
        <v>24207</v>
      </c>
      <c r="E5" s="194" t="s">
        <v>1079</v>
      </c>
      <c r="F5" s="247" t="s">
        <v>13</v>
      </c>
      <c r="G5" s="193">
        <v>8</v>
      </c>
      <c r="H5" s="193">
        <v>8</v>
      </c>
      <c r="I5" s="193" t="s">
        <v>13</v>
      </c>
      <c r="J5" s="193" t="s">
        <v>287</v>
      </c>
      <c r="L5" s="193" t="s">
        <v>287</v>
      </c>
      <c r="N5" s="236" t="s">
        <v>1080</v>
      </c>
      <c r="O5" s="250">
        <v>45588</v>
      </c>
      <c r="P5" s="250">
        <v>45588</v>
      </c>
      <c r="Q5" s="194" t="s">
        <v>287</v>
      </c>
      <c r="S5" s="194" t="s">
        <v>441</v>
      </c>
      <c r="T5" s="250">
        <v>45588</v>
      </c>
    </row>
    <row r="6" spans="1:24" s="207" customFormat="1" ht="36">
      <c r="A6" s="193">
        <f>A7+1</f>
        <v>6</v>
      </c>
      <c r="B6" s="248" t="s">
        <v>76</v>
      </c>
      <c r="C6" s="204" t="s">
        <v>272</v>
      </c>
      <c r="D6" s="193">
        <v>46233</v>
      </c>
      <c r="E6" s="194" t="s">
        <v>1081</v>
      </c>
      <c r="F6" s="193" t="s">
        <v>1082</v>
      </c>
      <c r="G6" s="204">
        <v>3</v>
      </c>
      <c r="H6" s="204"/>
      <c r="I6" s="204"/>
      <c r="J6" s="204"/>
      <c r="L6" s="204"/>
      <c r="N6" s="253"/>
      <c r="O6" s="208"/>
      <c r="P6" s="208"/>
      <c r="T6" s="208"/>
    </row>
    <row r="7" spans="1:24" s="194" customFormat="1" ht="24">
      <c r="A7" s="193">
        <f>A4+1</f>
        <v>5</v>
      </c>
      <c r="B7" s="193" t="s">
        <v>1073</v>
      </c>
      <c r="C7" s="193" t="s">
        <v>1019</v>
      </c>
      <c r="D7" s="193">
        <v>24212</v>
      </c>
      <c r="E7" s="194" t="s">
        <v>1064</v>
      </c>
      <c r="F7" s="193" t="s">
        <v>628</v>
      </c>
      <c r="G7" s="193">
        <v>5</v>
      </c>
      <c r="H7" s="193"/>
      <c r="I7" s="193" t="s">
        <v>628</v>
      </c>
      <c r="J7" s="193"/>
      <c r="L7" s="193"/>
      <c r="N7" s="236"/>
      <c r="O7" s="206"/>
      <c r="P7" s="206"/>
      <c r="T7" s="206"/>
    </row>
    <row r="8" spans="1:24" s="194" customFormat="1" ht="24">
      <c r="A8" s="193">
        <f>A6+1</f>
        <v>7</v>
      </c>
      <c r="B8" s="127" t="s">
        <v>1073</v>
      </c>
      <c r="C8" s="193" t="s">
        <v>275</v>
      </c>
      <c r="D8" s="193">
        <v>46398</v>
      </c>
      <c r="E8" s="194" t="s">
        <v>1060</v>
      </c>
      <c r="F8" s="193" t="s">
        <v>628</v>
      </c>
      <c r="G8" s="193">
        <v>13</v>
      </c>
      <c r="H8" s="193"/>
      <c r="I8" s="193" t="s">
        <v>628</v>
      </c>
      <c r="J8" s="193"/>
      <c r="L8" s="193"/>
      <c r="N8" s="236"/>
      <c r="O8" s="206"/>
      <c r="P8" s="206"/>
      <c r="T8" s="206"/>
    </row>
    <row r="9" spans="1:24" s="194" customFormat="1" ht="24">
      <c r="A9" s="193">
        <f t="shared" si="0"/>
        <v>8</v>
      </c>
      <c r="B9" s="127" t="s">
        <v>1073</v>
      </c>
      <c r="C9" s="193" t="s">
        <v>275</v>
      </c>
      <c r="D9" s="193">
        <v>24115</v>
      </c>
      <c r="E9" s="212" t="s">
        <v>1058</v>
      </c>
      <c r="F9" s="193" t="s">
        <v>628</v>
      </c>
      <c r="G9" s="193">
        <v>3</v>
      </c>
      <c r="H9" s="193"/>
      <c r="I9" s="193" t="s">
        <v>628</v>
      </c>
      <c r="J9" s="193" t="s">
        <v>287</v>
      </c>
      <c r="L9" s="193" t="s">
        <v>287</v>
      </c>
      <c r="N9" s="236" t="s">
        <v>1083</v>
      </c>
      <c r="O9" s="249">
        <v>45589</v>
      </c>
      <c r="Q9" s="194" t="s">
        <v>287</v>
      </c>
      <c r="S9" s="194" t="s">
        <v>441</v>
      </c>
    </row>
    <row r="10" spans="1:24" s="194" customFormat="1" ht="15">
      <c r="A10" s="193"/>
      <c r="B10" s="193"/>
      <c r="C10" s="193"/>
      <c r="D10" s="193"/>
      <c r="F10" s="193"/>
      <c r="G10" s="193"/>
      <c r="H10" s="193"/>
      <c r="I10" s="193"/>
      <c r="J10" s="193"/>
      <c r="L10" s="193"/>
      <c r="N10" s="236"/>
      <c r="O10" s="250"/>
      <c r="P10" s="250"/>
      <c r="T10" s="250"/>
    </row>
    <row r="11" spans="1:24" s="194" customFormat="1" ht="15">
      <c r="A11" s="193"/>
      <c r="B11" s="193"/>
      <c r="C11" s="193"/>
      <c r="D11" s="193"/>
      <c r="F11" s="193"/>
      <c r="G11" s="193"/>
      <c r="H11" s="193"/>
      <c r="I11" s="193"/>
      <c r="J11" s="193"/>
      <c r="L11" s="193"/>
      <c r="N11" s="236"/>
      <c r="O11" s="250"/>
      <c r="P11" s="250"/>
      <c r="T11" s="250"/>
    </row>
    <row r="12" spans="1:24" s="86" customFormat="1">
      <c r="A12" s="127"/>
      <c r="B12" s="127"/>
      <c r="C12" s="127"/>
      <c r="D12" s="127"/>
      <c r="F12" s="127"/>
      <c r="G12" s="127"/>
      <c r="H12" s="127"/>
      <c r="I12" s="127"/>
      <c r="J12" s="127"/>
      <c r="L12" s="127"/>
    </row>
  </sheetData>
  <autoFilter ref="A1:Y1" xr:uid="{943457D4-1439-4484-90F4-92F908970FCB}"/>
  <hyperlinks>
    <hyperlink ref="N2" r:id="rId1" xr:uid="{39AB3467-D3B7-40EA-8C7F-35E68C891377}"/>
    <hyperlink ref="N9" r:id="rId2" xr:uid="{CBF86C34-301E-4A4A-BD47-78F6CD49DDD8}"/>
    <hyperlink ref="N4" r:id="rId3" xr:uid="{88F97585-F0E8-4B36-B245-2AFF226901BD}"/>
    <hyperlink ref="N5" r:id="rId4" xr:uid="{108BF8FF-AFD7-47FB-AA9B-F0D7CCD82317}"/>
    <hyperlink ref="N3" r:id="rId5" xr:uid="{032A859E-D75E-4F3D-AB96-82EB11A26937}"/>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58C5-E4BD-4F2F-B0D9-F2FA0DB21F24}">
  <dimension ref="A1:X19"/>
  <sheetViews>
    <sheetView workbookViewId="0">
      <pane xSplit="4" topLeftCell="E1" activePane="topRight" state="frozen"/>
      <selection pane="topRight" activeCell="E2" sqref="E2"/>
    </sheetView>
  </sheetViews>
  <sheetFormatPr defaultRowHeight="12.75"/>
  <cols>
    <col min="1" max="1" width="5.42578125" style="133" bestFit="1" customWidth="1"/>
    <col min="2" max="2" width="11.85546875" style="133" customWidth="1"/>
    <col min="3" max="3" width="10.140625" style="133" bestFit="1" customWidth="1"/>
    <col min="4" max="4" width="9.5703125" style="133" customWidth="1"/>
    <col min="5" max="5" width="73" style="168" customWidth="1"/>
    <col min="6" max="6" width="10.5703125" style="133" bestFit="1" customWidth="1"/>
    <col min="7" max="7" width="10.140625" style="133" customWidth="1"/>
    <col min="8" max="8" width="9.140625" style="133"/>
    <col min="9" max="9" width="10.140625" style="133" bestFit="1" customWidth="1"/>
    <col min="10" max="10" width="14.42578125" style="133" customWidth="1"/>
    <col min="11" max="11" width="12.42578125" style="168" customWidth="1"/>
    <col min="12" max="12" width="10.140625" style="168" customWidth="1"/>
    <col min="13" max="13" width="24" style="168" customWidth="1"/>
    <col min="14" max="14" width="45.5703125" style="168" customWidth="1"/>
    <col min="15" max="16" width="11.140625" style="168" bestFit="1" customWidth="1"/>
    <col min="17" max="17" width="9.140625" style="168"/>
    <col min="18" max="18" width="9.140625" style="178"/>
    <col min="19" max="19" width="9.140625" style="168"/>
    <col min="20" max="20" width="11.140625" style="168" bestFit="1" customWidth="1"/>
    <col min="21" max="21" width="9.140625" style="168"/>
    <col min="22" max="22" width="18.28515625" style="168" customWidth="1"/>
    <col min="23" max="23" width="59.5703125" style="168" customWidth="1"/>
    <col min="24" max="24" width="50.5703125" style="168" customWidth="1"/>
    <col min="25" max="16384" width="9.140625" style="168"/>
  </cols>
  <sheetData>
    <row r="1" spans="1:24" s="133" customFormat="1" ht="48">
      <c r="A1" s="167" t="s">
        <v>243</v>
      </c>
      <c r="B1" s="167" t="s">
        <v>244</v>
      </c>
      <c r="C1" s="167" t="s">
        <v>245</v>
      </c>
      <c r="D1" s="167" t="s">
        <v>246</v>
      </c>
      <c r="E1" s="167" t="s">
        <v>247</v>
      </c>
      <c r="F1" s="167" t="s">
        <v>248</v>
      </c>
      <c r="G1" s="167" t="s">
        <v>966</v>
      </c>
      <c r="H1" s="167" t="s">
        <v>967</v>
      </c>
      <c r="I1" s="167" t="s">
        <v>254</v>
      </c>
      <c r="J1" s="167" t="s">
        <v>255</v>
      </c>
      <c r="K1" s="167" t="s">
        <v>256</v>
      </c>
      <c r="L1" s="167" t="s">
        <v>257</v>
      </c>
      <c r="M1" s="167" t="s">
        <v>258</v>
      </c>
      <c r="N1" s="167" t="s">
        <v>259</v>
      </c>
      <c r="O1" s="167" t="s">
        <v>260</v>
      </c>
      <c r="P1" s="167" t="s">
        <v>261</v>
      </c>
      <c r="Q1" s="167" t="s">
        <v>262</v>
      </c>
      <c r="R1" s="167" t="s">
        <v>263</v>
      </c>
      <c r="S1" s="167" t="s">
        <v>264</v>
      </c>
      <c r="T1" s="167" t="s">
        <v>265</v>
      </c>
      <c r="U1" s="167" t="s">
        <v>263</v>
      </c>
      <c r="V1" s="167" t="s">
        <v>267</v>
      </c>
      <c r="W1" s="167" t="s">
        <v>268</v>
      </c>
      <c r="X1" s="211" t="s">
        <v>269</v>
      </c>
    </row>
    <row r="2" spans="1:24" s="194" customFormat="1" ht="15">
      <c r="A2" s="127">
        <v>1</v>
      </c>
      <c r="B2" s="231" t="s">
        <v>72</v>
      </c>
      <c r="C2" s="193" t="s">
        <v>275</v>
      </c>
      <c r="D2" s="193">
        <v>46208</v>
      </c>
      <c r="E2" s="193" t="s">
        <v>1084</v>
      </c>
      <c r="F2" s="240" t="s">
        <v>13</v>
      </c>
      <c r="G2" s="193">
        <v>5</v>
      </c>
      <c r="H2" s="193">
        <v>5</v>
      </c>
      <c r="I2" s="193" t="s">
        <v>13</v>
      </c>
      <c r="J2" s="193" t="s">
        <v>272</v>
      </c>
      <c r="L2" s="194" t="s">
        <v>287</v>
      </c>
      <c r="N2" s="225" t="s">
        <v>1085</v>
      </c>
      <c r="O2" s="201">
        <v>45580</v>
      </c>
      <c r="P2" s="201">
        <v>45580</v>
      </c>
      <c r="Q2" s="194" t="s">
        <v>287</v>
      </c>
      <c r="S2" s="194" t="s">
        <v>441</v>
      </c>
      <c r="T2" s="201">
        <v>45580</v>
      </c>
    </row>
    <row r="3" spans="1:24" s="194" customFormat="1">
      <c r="A3" s="193">
        <v>8</v>
      </c>
      <c r="B3" s="231" t="s">
        <v>72</v>
      </c>
      <c r="C3" s="193" t="s">
        <v>287</v>
      </c>
      <c r="D3" s="238">
        <v>46207</v>
      </c>
      <c r="E3" s="239" t="s">
        <v>1086</v>
      </c>
      <c r="F3" s="241" t="s">
        <v>13</v>
      </c>
      <c r="G3" s="193">
        <v>8</v>
      </c>
      <c r="H3" s="193">
        <v>8</v>
      </c>
      <c r="I3" s="204" t="s">
        <v>13</v>
      </c>
      <c r="J3" s="193" t="s">
        <v>275</v>
      </c>
      <c r="L3" s="194" t="s">
        <v>287</v>
      </c>
      <c r="N3" s="234" t="s">
        <v>1085</v>
      </c>
      <c r="O3" s="206">
        <v>45580</v>
      </c>
      <c r="P3" s="206">
        <v>45580</v>
      </c>
      <c r="Q3" s="194" t="s">
        <v>287</v>
      </c>
      <c r="S3" s="194" t="s">
        <v>441</v>
      </c>
      <c r="T3" s="206">
        <v>45580</v>
      </c>
    </row>
    <row r="4" spans="1:24" s="194" customFormat="1" ht="23.25" customHeight="1">
      <c r="A4" s="193">
        <v>3</v>
      </c>
      <c r="B4" s="231" t="s">
        <v>72</v>
      </c>
      <c r="C4" s="193" t="s">
        <v>1019</v>
      </c>
      <c r="D4" s="139">
        <v>24052</v>
      </c>
      <c r="E4" s="237" t="s">
        <v>1087</v>
      </c>
      <c r="F4" s="240" t="s">
        <v>13</v>
      </c>
      <c r="G4" s="193">
        <v>2</v>
      </c>
      <c r="H4" s="193">
        <v>2</v>
      </c>
      <c r="I4" s="193" t="s">
        <v>13</v>
      </c>
      <c r="J4" s="193" t="s">
        <v>287</v>
      </c>
      <c r="L4" s="194" t="s">
        <v>287</v>
      </c>
      <c r="N4" s="225" t="s">
        <v>1088</v>
      </c>
      <c r="O4" s="201">
        <v>45580</v>
      </c>
      <c r="P4" s="206">
        <v>45581</v>
      </c>
      <c r="Q4" s="194" t="s">
        <v>287</v>
      </c>
      <c r="S4" s="194" t="s">
        <v>441</v>
      </c>
      <c r="T4" s="206">
        <v>45581</v>
      </c>
    </row>
    <row r="5" spans="1:24" s="194" customFormat="1" ht="24">
      <c r="A5" s="193">
        <v>4</v>
      </c>
      <c r="B5" s="127" t="s">
        <v>1089</v>
      </c>
      <c r="C5" s="193" t="s">
        <v>1019</v>
      </c>
      <c r="D5" s="139">
        <v>24032</v>
      </c>
      <c r="E5" s="237" t="s">
        <v>1090</v>
      </c>
      <c r="F5" s="240" t="s">
        <v>13</v>
      </c>
      <c r="G5" s="193">
        <v>2</v>
      </c>
      <c r="H5" s="193">
        <v>2</v>
      </c>
      <c r="I5" s="193" t="s">
        <v>13</v>
      </c>
      <c r="J5" s="193" t="s">
        <v>287</v>
      </c>
      <c r="L5" s="194" t="s">
        <v>287</v>
      </c>
      <c r="N5" s="225" t="s">
        <v>1088</v>
      </c>
      <c r="O5" s="206">
        <v>45580</v>
      </c>
      <c r="P5" s="206">
        <v>45581</v>
      </c>
      <c r="Q5" s="194" t="s">
        <v>287</v>
      </c>
      <c r="S5" s="194" t="s">
        <v>441</v>
      </c>
      <c r="T5" s="206">
        <v>45581</v>
      </c>
    </row>
    <row r="6" spans="1:24" s="194" customFormat="1" ht="24">
      <c r="A6" s="193">
        <v>5</v>
      </c>
      <c r="B6" s="127" t="s">
        <v>1089</v>
      </c>
      <c r="C6" s="193" t="s">
        <v>1019</v>
      </c>
      <c r="D6" s="238">
        <v>24058</v>
      </c>
      <c r="E6" s="239" t="s">
        <v>1091</v>
      </c>
      <c r="F6" s="240" t="s">
        <v>13</v>
      </c>
      <c r="G6" s="193">
        <v>2</v>
      </c>
      <c r="H6" s="193">
        <v>2</v>
      </c>
      <c r="I6" s="193" t="s">
        <v>13</v>
      </c>
      <c r="J6" s="193" t="s">
        <v>287</v>
      </c>
      <c r="L6" s="194" t="s">
        <v>287</v>
      </c>
      <c r="N6" s="225" t="s">
        <v>1088</v>
      </c>
      <c r="O6" s="206">
        <v>45580</v>
      </c>
      <c r="P6" s="206">
        <v>45581</v>
      </c>
      <c r="Q6" s="194" t="s">
        <v>287</v>
      </c>
      <c r="S6" s="194" t="s">
        <v>441</v>
      </c>
      <c r="T6" s="206">
        <v>45581</v>
      </c>
    </row>
    <row r="7" spans="1:24" s="194" customFormat="1" ht="24">
      <c r="A7" s="193">
        <v>6</v>
      </c>
      <c r="B7" s="127" t="s">
        <v>1089</v>
      </c>
      <c r="C7" s="193" t="s">
        <v>1019</v>
      </c>
      <c r="D7" s="238">
        <v>24132</v>
      </c>
      <c r="E7" s="239" t="s">
        <v>1092</v>
      </c>
      <c r="F7" s="241" t="s">
        <v>13</v>
      </c>
      <c r="G7" s="193">
        <v>1</v>
      </c>
      <c r="H7" s="193">
        <v>1</v>
      </c>
      <c r="I7" s="204" t="s">
        <v>13</v>
      </c>
      <c r="J7" s="193" t="s">
        <v>287</v>
      </c>
      <c r="L7" s="194" t="s">
        <v>287</v>
      </c>
      <c r="N7" s="225" t="s">
        <v>1088</v>
      </c>
      <c r="O7" s="206">
        <v>45580</v>
      </c>
      <c r="P7" s="206">
        <v>45581</v>
      </c>
      <c r="Q7" s="194" t="s">
        <v>287</v>
      </c>
      <c r="S7" s="194" t="s">
        <v>441</v>
      </c>
      <c r="T7" s="206">
        <v>45581</v>
      </c>
    </row>
    <row r="8" spans="1:24" s="194" customFormat="1" ht="24">
      <c r="A8" s="193">
        <v>7</v>
      </c>
      <c r="B8" s="127" t="s">
        <v>1089</v>
      </c>
      <c r="C8" s="193" t="s">
        <v>1019</v>
      </c>
      <c r="D8" s="238">
        <v>24201</v>
      </c>
      <c r="E8" s="239" t="s">
        <v>1072</v>
      </c>
      <c r="F8" s="243" t="s">
        <v>628</v>
      </c>
      <c r="G8" s="193">
        <v>2</v>
      </c>
      <c r="H8" s="193">
        <v>2</v>
      </c>
      <c r="I8" s="204" t="s">
        <v>1093</v>
      </c>
      <c r="J8" s="193"/>
      <c r="N8" s="234"/>
    </row>
    <row r="9" spans="1:24" s="194" customFormat="1" ht="24">
      <c r="A9" s="193">
        <v>2</v>
      </c>
      <c r="B9" s="127" t="s">
        <v>1089</v>
      </c>
      <c r="C9" s="193" t="s">
        <v>275</v>
      </c>
      <c r="D9" s="193">
        <v>24068</v>
      </c>
      <c r="E9" s="193" t="s">
        <v>1071</v>
      </c>
      <c r="F9" s="243" t="s">
        <v>628</v>
      </c>
      <c r="G9" s="193">
        <v>3</v>
      </c>
      <c r="H9" s="193">
        <v>2</v>
      </c>
      <c r="I9" s="204" t="s">
        <v>628</v>
      </c>
      <c r="J9" s="193" t="s">
        <v>287</v>
      </c>
      <c r="L9" s="194" t="s">
        <v>287</v>
      </c>
      <c r="N9" s="225"/>
      <c r="O9" s="201"/>
      <c r="P9" s="206"/>
      <c r="T9" s="206"/>
    </row>
    <row r="10" spans="1:24" s="194" customFormat="1">
      <c r="A10" s="193"/>
      <c r="B10" s="193"/>
      <c r="C10" s="193"/>
      <c r="D10" s="193"/>
      <c r="F10" s="204"/>
      <c r="G10" s="193"/>
      <c r="H10" s="193"/>
      <c r="I10" s="204"/>
      <c r="J10" s="193"/>
    </row>
    <row r="11" spans="1:24" s="194" customFormat="1">
      <c r="A11" s="193"/>
      <c r="B11" s="193"/>
      <c r="C11" s="193"/>
      <c r="D11" s="235"/>
      <c r="F11" s="193"/>
      <c r="G11" s="193"/>
      <c r="H11" s="193"/>
      <c r="I11" s="193"/>
      <c r="J11" s="193"/>
      <c r="N11" s="225"/>
      <c r="O11" s="206"/>
      <c r="P11" s="206"/>
      <c r="T11" s="206"/>
    </row>
    <row r="12" spans="1:24" s="194" customFormat="1">
      <c r="A12" s="193"/>
      <c r="B12" s="193"/>
      <c r="C12" s="193"/>
      <c r="D12" s="193"/>
      <c r="F12" s="204"/>
      <c r="G12" s="193"/>
      <c r="H12" s="193"/>
      <c r="I12" s="204"/>
      <c r="J12" s="193"/>
      <c r="N12" s="236"/>
      <c r="O12" s="206"/>
      <c r="P12" s="206"/>
      <c r="T12" s="206"/>
    </row>
    <row r="13" spans="1:24" s="194" customFormat="1" ht="15">
      <c r="A13" s="193"/>
      <c r="B13" s="193"/>
      <c r="C13" s="193"/>
      <c r="D13" s="193"/>
      <c r="F13" s="193"/>
      <c r="G13" s="193"/>
      <c r="H13" s="193"/>
      <c r="I13" s="193"/>
      <c r="J13" s="193"/>
      <c r="N13" s="225"/>
      <c r="O13" s="233"/>
      <c r="P13" s="233"/>
      <c r="T13" s="233"/>
    </row>
    <row r="14" spans="1:24" s="194" customFormat="1">
      <c r="A14" s="193"/>
      <c r="B14" s="193"/>
      <c r="C14" s="193"/>
      <c r="D14" s="193"/>
      <c r="F14" s="193"/>
      <c r="G14" s="193"/>
      <c r="H14" s="193"/>
      <c r="I14" s="193"/>
      <c r="J14" s="193"/>
      <c r="N14" s="225"/>
      <c r="O14" s="206"/>
      <c r="P14" s="206"/>
      <c r="T14" s="206"/>
    </row>
    <row r="15" spans="1:24" s="207" customFormat="1">
      <c r="A15" s="204"/>
      <c r="B15" s="204"/>
      <c r="C15" s="204"/>
      <c r="D15" s="204"/>
      <c r="F15" s="204"/>
      <c r="G15" s="204"/>
      <c r="H15" s="204"/>
      <c r="I15" s="204"/>
      <c r="J15" s="204"/>
      <c r="N15" s="226"/>
      <c r="O15" s="208"/>
      <c r="P15" s="208"/>
      <c r="T15" s="208"/>
    </row>
    <row r="16" spans="1:24" s="194" customFormat="1" ht="15">
      <c r="A16" s="193"/>
      <c r="B16" s="193"/>
      <c r="C16" s="193"/>
      <c r="D16" s="193"/>
      <c r="F16" s="193"/>
      <c r="G16" s="193"/>
      <c r="H16" s="193"/>
      <c r="I16" s="193"/>
      <c r="J16" s="193"/>
      <c r="N16" s="225"/>
      <c r="O16" s="233"/>
      <c r="P16" s="233"/>
      <c r="T16" s="233"/>
    </row>
    <row r="17" spans="1:20" s="194" customFormat="1" ht="15">
      <c r="A17" s="193"/>
      <c r="B17" s="193"/>
      <c r="C17" s="193"/>
      <c r="D17" s="193"/>
      <c r="F17" s="193"/>
      <c r="G17" s="193"/>
      <c r="H17" s="193"/>
      <c r="I17" s="193"/>
      <c r="J17" s="193"/>
      <c r="N17" s="225"/>
      <c r="O17" s="233"/>
      <c r="P17" s="233"/>
      <c r="T17" s="233"/>
    </row>
    <row r="18" spans="1:20" s="194" customFormat="1" ht="15">
      <c r="A18" s="193"/>
      <c r="B18" s="193"/>
      <c r="C18" s="193"/>
      <c r="D18" s="193"/>
      <c r="F18" s="193"/>
      <c r="G18" s="193"/>
      <c r="H18" s="193"/>
      <c r="I18" s="193"/>
      <c r="J18" s="193"/>
      <c r="N18" s="225"/>
      <c r="O18" s="233"/>
      <c r="P18" s="233"/>
      <c r="T18" s="233"/>
    </row>
    <row r="19" spans="1:20" s="86" customFormat="1">
      <c r="A19" s="127"/>
      <c r="B19" s="127"/>
      <c r="C19" s="127"/>
      <c r="D19" s="127"/>
      <c r="F19" s="127"/>
      <c r="G19" s="127"/>
      <c r="H19" s="127"/>
      <c r="I19" s="127"/>
      <c r="J19" s="127"/>
    </row>
  </sheetData>
  <autoFilter ref="A1:Y1" xr:uid="{943457D4-1439-4484-90F4-92F908970FCB}"/>
  <hyperlinks>
    <hyperlink ref="N2" r:id="rId1" xr:uid="{0CD8E5CA-C8D0-4445-A9C0-8040EA834A32}"/>
    <hyperlink ref="D5" r:id="rId2" display="24032" xr:uid="{65D2C9F8-026E-4CB9-AD84-2B7A49EA52E9}"/>
    <hyperlink ref="D6" r:id="rId3" display="24058" xr:uid="{7F456191-25C5-4322-A8B8-1F6F906C7CAC}"/>
    <hyperlink ref="D7" r:id="rId4" display="24132" xr:uid="{74699D7F-DC61-4697-B601-D966DF76E6B4}"/>
    <hyperlink ref="D8" r:id="rId5" display="24201" xr:uid="{E9FDD005-7620-455E-A6FA-4F60055AEFAA}"/>
    <hyperlink ref="D4" r:id="rId6" display="24052" xr:uid="{7F9160EB-A4B7-402F-A717-9FFF8C33FCC4}"/>
    <hyperlink ref="N4" r:id="rId7" xr:uid="{3E2DDDDD-E646-4E56-8749-2995BF1F87AC}"/>
    <hyperlink ref="N5" r:id="rId8" xr:uid="{1D1C3BBB-7662-46CF-9820-A6738C6D8DD5}"/>
    <hyperlink ref="N6" r:id="rId9" xr:uid="{339647FD-8F28-493B-8594-78876463FF33}"/>
    <hyperlink ref="N7" r:id="rId10" xr:uid="{027CCE3D-C357-4056-BA10-F415A72C8BA2}"/>
    <hyperlink ref="N3" r:id="rId11" xr:uid="{02ECFB31-A1C2-46DE-8542-88A6F5F9808F}"/>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A08A-AFC3-423B-AB8F-D419930014F8}">
  <sheetPr>
    <outlinePr summaryBelow="0" summaryRight="0"/>
  </sheetPr>
  <dimension ref="A3:Z48"/>
  <sheetViews>
    <sheetView workbookViewId="0">
      <selection activeCell="K8" sqref="K8"/>
    </sheetView>
  </sheetViews>
  <sheetFormatPr defaultColWidth="12.5703125" defaultRowHeight="15.75" customHeight="1"/>
  <cols>
    <col min="1" max="1" width="6.7109375" style="48" customWidth="1"/>
    <col min="2" max="4" width="9.140625" style="48"/>
    <col min="5" max="5" width="9.140625" style="48" bestFit="1" customWidth="1"/>
    <col min="6" max="6" width="74.42578125" style="70" bestFit="1" customWidth="1"/>
    <col min="7" max="7" width="14.7109375" style="48" customWidth="1"/>
    <col min="8" max="9" width="9.140625" style="48" bestFit="1" customWidth="1"/>
    <col min="10" max="10" width="15.85546875" style="48" customWidth="1"/>
    <col min="11" max="11" width="39.7109375" style="70" customWidth="1"/>
    <col min="12" max="16384" width="12.5703125" style="70"/>
  </cols>
  <sheetData>
    <row r="3" spans="1:26" s="48" customFormat="1" ht="27">
      <c r="A3" s="88" t="s">
        <v>243</v>
      </c>
      <c r="B3" s="209" t="s">
        <v>11</v>
      </c>
      <c r="C3" s="209" t="s">
        <v>297</v>
      </c>
      <c r="D3" s="209" t="s">
        <v>245</v>
      </c>
      <c r="E3" s="209" t="s">
        <v>299</v>
      </c>
      <c r="F3" s="209" t="s">
        <v>300</v>
      </c>
      <c r="G3" s="209" t="s">
        <v>301</v>
      </c>
      <c r="H3" s="209" t="s">
        <v>303</v>
      </c>
      <c r="I3" s="209" t="s">
        <v>248</v>
      </c>
      <c r="J3" s="213" t="s">
        <v>305</v>
      </c>
      <c r="K3" s="214" t="s">
        <v>269</v>
      </c>
      <c r="L3" s="210"/>
      <c r="M3" s="210"/>
      <c r="N3" s="210"/>
      <c r="O3" s="210"/>
      <c r="P3" s="210"/>
      <c r="Q3" s="210"/>
      <c r="R3" s="210"/>
      <c r="S3" s="210"/>
      <c r="T3" s="210"/>
      <c r="U3" s="210"/>
      <c r="V3" s="210"/>
      <c r="W3" s="210"/>
      <c r="X3" s="210"/>
      <c r="Y3" s="210"/>
      <c r="Z3" s="210"/>
    </row>
    <row r="4" spans="1:26" s="67" customFormat="1" ht="24">
      <c r="A4" s="222">
        <v>1</v>
      </c>
      <c r="B4" s="127" t="s">
        <v>72</v>
      </c>
      <c r="C4" s="139">
        <v>24052</v>
      </c>
      <c r="D4" s="222" t="s">
        <v>1019</v>
      </c>
      <c r="E4" s="222" t="s">
        <v>715</v>
      </c>
      <c r="F4" s="237" t="s">
        <v>1087</v>
      </c>
      <c r="G4" s="222" t="s">
        <v>784</v>
      </c>
      <c r="H4" s="222" t="s">
        <v>371</v>
      </c>
      <c r="I4" s="242" t="s">
        <v>780</v>
      </c>
      <c r="J4" s="222" t="s">
        <v>902</v>
      </c>
      <c r="K4" s="32"/>
      <c r="L4" s="216"/>
      <c r="M4" s="216"/>
      <c r="N4" s="216"/>
      <c r="O4" s="216"/>
      <c r="P4" s="216"/>
      <c r="Q4" s="216"/>
      <c r="R4" s="216"/>
      <c r="S4" s="216"/>
      <c r="T4" s="216"/>
      <c r="U4" s="216"/>
      <c r="V4" s="216"/>
      <c r="W4" s="216"/>
      <c r="X4" s="216"/>
      <c r="Y4" s="216"/>
      <c r="Z4" s="216"/>
    </row>
    <row r="5" spans="1:26" s="67" customFormat="1" ht="24">
      <c r="A5" s="222">
        <v>2</v>
      </c>
      <c r="B5" s="127" t="s">
        <v>1089</v>
      </c>
      <c r="C5" s="139">
        <v>24032</v>
      </c>
      <c r="D5" s="222" t="s">
        <v>1019</v>
      </c>
      <c r="E5" s="222" t="s">
        <v>715</v>
      </c>
      <c r="F5" s="237" t="s">
        <v>1090</v>
      </c>
      <c r="G5" s="222" t="s">
        <v>307</v>
      </c>
      <c r="H5" s="222" t="s">
        <v>371</v>
      </c>
      <c r="I5" s="242" t="s">
        <v>780</v>
      </c>
      <c r="J5" s="222" t="s">
        <v>859</v>
      </c>
      <c r="K5" s="216"/>
      <c r="L5" s="216"/>
      <c r="M5" s="216"/>
      <c r="N5" s="216"/>
      <c r="O5" s="216"/>
      <c r="P5" s="216"/>
      <c r="Q5" s="216"/>
      <c r="R5" s="216"/>
      <c r="S5" s="216"/>
      <c r="T5" s="216"/>
      <c r="U5" s="216"/>
      <c r="V5" s="216"/>
      <c r="W5" s="216"/>
      <c r="X5" s="216"/>
      <c r="Y5" s="216"/>
      <c r="Z5" s="216"/>
    </row>
    <row r="6" spans="1:26" s="67" customFormat="1" ht="24">
      <c r="A6" s="222">
        <v>3</v>
      </c>
      <c r="B6" s="127" t="s">
        <v>1089</v>
      </c>
      <c r="C6" s="238">
        <v>24058</v>
      </c>
      <c r="D6" s="222" t="s">
        <v>1019</v>
      </c>
      <c r="E6" s="222" t="s">
        <v>715</v>
      </c>
      <c r="F6" s="239" t="s">
        <v>1091</v>
      </c>
      <c r="G6" s="222" t="s">
        <v>784</v>
      </c>
      <c r="H6" s="222" t="s">
        <v>371</v>
      </c>
      <c r="I6" s="242" t="s">
        <v>780</v>
      </c>
      <c r="J6" s="222" t="s">
        <v>859</v>
      </c>
      <c r="K6" s="216"/>
      <c r="L6" s="216"/>
      <c r="M6" s="216"/>
      <c r="N6" s="216"/>
      <c r="O6" s="216"/>
      <c r="P6" s="216"/>
      <c r="Q6" s="216"/>
      <c r="R6" s="216"/>
      <c r="S6" s="216"/>
      <c r="T6" s="216"/>
      <c r="U6" s="216"/>
      <c r="V6" s="216"/>
      <c r="W6" s="216"/>
      <c r="X6" s="216"/>
      <c r="Y6" s="216"/>
      <c r="Z6" s="216"/>
    </row>
    <row r="7" spans="1:26" s="67" customFormat="1" ht="24">
      <c r="A7" s="222">
        <v>4</v>
      </c>
      <c r="B7" s="127" t="s">
        <v>1089</v>
      </c>
      <c r="C7" s="238">
        <v>24132</v>
      </c>
      <c r="D7" s="222" t="s">
        <v>1019</v>
      </c>
      <c r="E7" s="222" t="s">
        <v>715</v>
      </c>
      <c r="F7" s="239" t="s">
        <v>1092</v>
      </c>
      <c r="G7" s="222" t="s">
        <v>307</v>
      </c>
      <c r="H7" s="222" t="s">
        <v>371</v>
      </c>
      <c r="I7" s="242" t="s">
        <v>780</v>
      </c>
      <c r="J7" s="222" t="s">
        <v>902</v>
      </c>
      <c r="K7" s="216"/>
      <c r="L7" s="216"/>
      <c r="M7" s="216"/>
      <c r="N7" s="216"/>
      <c r="O7" s="216"/>
      <c r="P7" s="216"/>
      <c r="Q7" s="216"/>
      <c r="R7" s="216"/>
      <c r="S7" s="216"/>
      <c r="T7" s="216"/>
      <c r="U7" s="216"/>
      <c r="V7" s="216"/>
      <c r="W7" s="216"/>
      <c r="X7" s="216"/>
      <c r="Y7" s="216"/>
      <c r="Z7" s="216"/>
    </row>
    <row r="8" spans="1:26" s="67" customFormat="1" ht="36">
      <c r="A8" s="222">
        <v>5</v>
      </c>
      <c r="B8" s="127" t="s">
        <v>1089</v>
      </c>
      <c r="C8" s="238">
        <v>24201</v>
      </c>
      <c r="D8" s="222" t="s">
        <v>1019</v>
      </c>
      <c r="E8" s="222" t="s">
        <v>715</v>
      </c>
      <c r="F8" s="239" t="s">
        <v>1072</v>
      </c>
      <c r="G8" s="222" t="s">
        <v>784</v>
      </c>
      <c r="H8" s="222" t="s">
        <v>371</v>
      </c>
      <c r="I8" s="222" t="s">
        <v>952</v>
      </c>
      <c r="J8" s="222" t="s">
        <v>859</v>
      </c>
      <c r="K8" s="86" t="s">
        <v>1094</v>
      </c>
    </row>
    <row r="9" spans="1:26" s="67" customFormat="1" ht="24">
      <c r="A9" s="222">
        <v>6</v>
      </c>
      <c r="B9" s="127" t="s">
        <v>1089</v>
      </c>
      <c r="C9" s="193">
        <v>24068</v>
      </c>
      <c r="D9" s="222" t="s">
        <v>275</v>
      </c>
      <c r="E9" s="222" t="s">
        <v>715</v>
      </c>
      <c r="F9" s="193" t="s">
        <v>1071</v>
      </c>
      <c r="G9" s="222" t="s">
        <v>784</v>
      </c>
      <c r="H9" s="222" t="s">
        <v>371</v>
      </c>
      <c r="I9" s="222" t="s">
        <v>952</v>
      </c>
      <c r="J9" s="222" t="s">
        <v>859</v>
      </c>
    </row>
    <row r="10" spans="1:26" s="67" customFormat="1" ht="15.75" customHeight="1">
      <c r="A10" s="222"/>
      <c r="B10" s="127"/>
      <c r="C10" s="193"/>
      <c r="D10" s="222"/>
      <c r="E10" s="222"/>
      <c r="F10" s="194"/>
      <c r="G10" s="222"/>
      <c r="H10" s="222"/>
      <c r="I10" s="222"/>
      <c r="J10" s="222"/>
    </row>
    <row r="11" spans="1:26" s="67" customFormat="1" ht="12.75">
      <c r="A11" s="222"/>
      <c r="B11" s="127"/>
      <c r="C11" s="193"/>
      <c r="D11" s="222"/>
      <c r="E11" s="222"/>
      <c r="F11" s="194"/>
      <c r="G11" s="222"/>
      <c r="H11" s="222"/>
      <c r="I11" s="222"/>
      <c r="J11" s="222"/>
    </row>
    <row r="12" spans="1:26" s="67" customFormat="1" ht="12.75">
      <c r="A12" s="222"/>
      <c r="B12" s="127"/>
      <c r="C12" s="193"/>
      <c r="D12" s="222"/>
      <c r="E12" s="222"/>
      <c r="F12" s="194"/>
      <c r="G12" s="222"/>
      <c r="H12" s="222"/>
      <c r="I12" s="222"/>
      <c r="J12" s="222"/>
    </row>
    <row r="13" spans="1:26" s="67" customFormat="1" ht="12.75">
      <c r="A13" s="222"/>
      <c r="B13" s="127"/>
      <c r="C13" s="193"/>
      <c r="D13" s="222"/>
      <c r="E13" s="222"/>
      <c r="F13" s="194"/>
      <c r="G13" s="222"/>
      <c r="H13" s="222"/>
      <c r="I13" s="222"/>
      <c r="J13" s="222"/>
    </row>
    <row r="14" spans="1:26" s="67" customFormat="1" ht="12.75">
      <c r="A14" s="83"/>
      <c r="B14" s="215"/>
      <c r="C14" s="83"/>
      <c r="D14" s="83"/>
      <c r="E14" s="83"/>
      <c r="F14" s="212"/>
      <c r="G14" s="83"/>
      <c r="H14" s="83"/>
      <c r="I14" s="83"/>
      <c r="J14" s="222"/>
    </row>
    <row r="15" spans="1:26" s="67" customFormat="1" ht="12.75">
      <c r="A15" s="83"/>
      <c r="B15" s="83"/>
      <c r="C15" s="83"/>
      <c r="D15" s="83"/>
      <c r="E15" s="83"/>
      <c r="F15" s="86"/>
      <c r="G15" s="83"/>
      <c r="H15" s="83"/>
      <c r="I15" s="83"/>
      <c r="J15" s="33"/>
    </row>
    <row r="16" spans="1:26" ht="12.75">
      <c r="A16" s="223"/>
      <c r="B16" s="224"/>
      <c r="C16" s="224"/>
      <c r="D16" s="224"/>
      <c r="E16" s="224"/>
      <c r="F16" s="218"/>
      <c r="G16" s="224"/>
      <c r="H16" s="224"/>
      <c r="I16" s="224"/>
      <c r="J16" s="224"/>
      <c r="K16" s="217"/>
      <c r="L16" s="219"/>
      <c r="M16" s="219"/>
      <c r="N16" s="219"/>
      <c r="O16" s="219"/>
      <c r="P16" s="219"/>
      <c r="Q16" s="219"/>
      <c r="R16" s="219"/>
      <c r="S16" s="219"/>
      <c r="T16" s="219"/>
      <c r="U16" s="219"/>
      <c r="V16" s="219"/>
      <c r="W16" s="219"/>
      <c r="X16" s="219"/>
      <c r="Y16" s="219"/>
      <c r="Z16" s="219"/>
    </row>
    <row r="39" spans="1:1" ht="15.75" customHeight="1">
      <c r="A39" s="220" t="s">
        <v>930</v>
      </c>
    </row>
    <row r="40" spans="1:1" ht="15.75" customHeight="1">
      <c r="A40" s="221" t="s">
        <v>931</v>
      </c>
    </row>
    <row r="41" spans="1:1" ht="15.75" customHeight="1">
      <c r="A41" s="221" t="s">
        <v>859</v>
      </c>
    </row>
    <row r="42" spans="1:1" ht="15.75" customHeight="1">
      <c r="A42" s="221" t="s">
        <v>932</v>
      </c>
    </row>
    <row r="43" spans="1:1" ht="15.75" customHeight="1">
      <c r="A43" s="221" t="s">
        <v>933</v>
      </c>
    </row>
    <row r="44" spans="1:1" ht="15.75" customHeight="1">
      <c r="A44" s="221" t="s">
        <v>902</v>
      </c>
    </row>
    <row r="45" spans="1:1" ht="15.75" customHeight="1">
      <c r="A45" s="221" t="s">
        <v>934</v>
      </c>
    </row>
    <row r="46" spans="1:1" ht="15.75" customHeight="1">
      <c r="A46" s="221" t="s">
        <v>935</v>
      </c>
    </row>
    <row r="47" spans="1:1" ht="15.75" customHeight="1">
      <c r="A47" s="221" t="s">
        <v>936</v>
      </c>
    </row>
    <row r="48" spans="1:1" ht="15.75" customHeight="1">
      <c r="A48" s="221" t="s">
        <v>937</v>
      </c>
    </row>
  </sheetData>
  <dataValidations count="5">
    <dataValidation type="list" allowBlank="1" showErrorMessage="1" sqref="J4:J15" xr:uid="{F65F9A72-3C59-4E29-A356-825906CE7DB5}">
      <formula1>$A$40:$A$48</formula1>
    </dataValidation>
    <dataValidation type="list" allowBlank="1" showErrorMessage="1" sqref="E4:E13 E16" xr:uid="{822C3C67-450E-4DF9-9E3E-603DCE920553}">
      <formula1>"Bounceback,Defect,None"</formula1>
    </dataValidation>
    <dataValidation type="list" allowBlank="1" showErrorMessage="1" sqref="I16 I4:I13" xr:uid="{458D2349-6886-4C6D-8D3F-27624E5A9BB3}">
      <formula1>"Open,Inprogress,Closed"</formula1>
    </dataValidation>
    <dataValidation type="list" allowBlank="1" showErrorMessage="1" sqref="H16 H4:H13" xr:uid="{47E6CEA3-3BB7-4F86-BD90-5D0FB193940F}">
      <formula1>"Internal,External"</formula1>
    </dataValidation>
    <dataValidation type="list" allowBlank="1" showErrorMessage="1" sqref="G16 F9:G9 G4:G8 G10:G13" xr:uid="{45ACEF62-BD86-41A8-AD76-3A465EC39089}">
      <formula1>"Minor,Significant,Major"</formula1>
    </dataValidation>
  </dataValidations>
  <hyperlinks>
    <hyperlink ref="C5" r:id="rId1" display="24032" xr:uid="{90CFEE22-44F4-4717-883F-014674BB6EE7}"/>
    <hyperlink ref="C6" r:id="rId2" display="24058" xr:uid="{BF91CC07-01F3-4925-98DD-8338D38D5931}"/>
    <hyperlink ref="C7" r:id="rId3" display="24132" xr:uid="{130AEBA4-9078-4290-9A17-994406EDC813}"/>
    <hyperlink ref="C8" r:id="rId4" display="24201" xr:uid="{78D57D53-EA5E-4ADF-AAAA-55CF00E531BB}"/>
    <hyperlink ref="C4" r:id="rId5" display="24052" xr:uid="{A7B277F8-336D-4D28-9CE9-2C77108FFC0C}"/>
  </hyperlinks>
  <pageMargins left="0" right="0" top="0" bottom="0" header="0" footer="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BEEF4-BE40-4420-A7E2-D1D551AFACF0}">
  <dimension ref="A1:X18"/>
  <sheetViews>
    <sheetView workbookViewId="0">
      <pane xSplit="4" topLeftCell="E1" activePane="topRight" state="frozen"/>
      <selection pane="topRight" activeCell="M1" sqref="M1"/>
    </sheetView>
  </sheetViews>
  <sheetFormatPr defaultRowHeight="12.75"/>
  <cols>
    <col min="1" max="1" width="5.42578125" style="133" bestFit="1" customWidth="1"/>
    <col min="2" max="2" width="11.85546875" style="133" customWidth="1"/>
    <col min="3" max="3" width="10.140625" style="133" bestFit="1" customWidth="1"/>
    <col min="4" max="4" width="10" style="133" customWidth="1"/>
    <col min="5" max="5" width="91.7109375" style="168" customWidth="1"/>
    <col min="6" max="6" width="10.5703125" style="133" bestFit="1" customWidth="1"/>
    <col min="7" max="7" width="10.140625" style="133" customWidth="1"/>
    <col min="8" max="8" width="9.140625" style="133"/>
    <col min="9" max="9" width="10.140625" style="133" bestFit="1" customWidth="1"/>
    <col min="10" max="10" width="14.42578125" style="168" customWidth="1"/>
    <col min="11" max="11" width="12.42578125" style="168" customWidth="1"/>
    <col min="12" max="12" width="10.140625" style="168" customWidth="1"/>
    <col min="13" max="13" width="24" style="168" customWidth="1"/>
    <col min="14" max="14" width="45.5703125" style="168" customWidth="1"/>
    <col min="15" max="16" width="10.140625" style="168" bestFit="1" customWidth="1"/>
    <col min="17" max="17" width="9.140625" style="168"/>
    <col min="18" max="18" width="9.140625" style="178"/>
    <col min="19" max="19" width="9.140625" style="168"/>
    <col min="20" max="20" width="9.42578125" style="168" bestFit="1" customWidth="1"/>
    <col min="21" max="21" width="9.140625" style="168"/>
    <col min="22" max="22" width="18.28515625" style="168" customWidth="1"/>
    <col min="23" max="23" width="59.5703125" style="168" customWidth="1"/>
    <col min="24" max="24" width="50.5703125" style="168" customWidth="1"/>
    <col min="25" max="16384" width="9.140625" style="168"/>
  </cols>
  <sheetData>
    <row r="1" spans="1:24" s="133" customFormat="1" ht="46.5">
      <c r="A1" s="167" t="s">
        <v>243</v>
      </c>
      <c r="B1" s="167" t="s">
        <v>244</v>
      </c>
      <c r="C1" s="167" t="s">
        <v>245</v>
      </c>
      <c r="D1" s="167" t="s">
        <v>246</v>
      </c>
      <c r="E1" s="167" t="s">
        <v>247</v>
      </c>
      <c r="F1" s="167" t="s">
        <v>248</v>
      </c>
      <c r="G1" s="167" t="s">
        <v>966</v>
      </c>
      <c r="H1" s="167" t="s">
        <v>967</v>
      </c>
      <c r="I1" s="167" t="s">
        <v>254</v>
      </c>
      <c r="J1" s="167" t="s">
        <v>255</v>
      </c>
      <c r="K1" s="167" t="s">
        <v>256</v>
      </c>
      <c r="L1" s="167" t="s">
        <v>257</v>
      </c>
      <c r="M1" s="167" t="s">
        <v>258</v>
      </c>
      <c r="N1" s="167" t="s">
        <v>259</v>
      </c>
      <c r="O1" s="167" t="s">
        <v>260</v>
      </c>
      <c r="P1" s="167" t="s">
        <v>261</v>
      </c>
      <c r="Q1" s="167" t="s">
        <v>262</v>
      </c>
      <c r="R1" s="167" t="s">
        <v>263</v>
      </c>
      <c r="S1" s="167" t="s">
        <v>264</v>
      </c>
      <c r="T1" s="167" t="s">
        <v>265</v>
      </c>
      <c r="U1" s="167" t="s">
        <v>263</v>
      </c>
      <c r="V1" s="167" t="s">
        <v>267</v>
      </c>
      <c r="W1" s="167" t="s">
        <v>268</v>
      </c>
      <c r="X1" s="211" t="s">
        <v>269</v>
      </c>
    </row>
    <row r="2" spans="1:24" s="86" customFormat="1" ht="15">
      <c r="A2" s="127">
        <v>1</v>
      </c>
      <c r="B2" s="127" t="s">
        <v>69</v>
      </c>
      <c r="C2" s="193" t="s">
        <v>275</v>
      </c>
      <c r="D2" s="229">
        <v>24061</v>
      </c>
      <c r="E2" s="227" t="s">
        <v>1095</v>
      </c>
      <c r="F2" s="193" t="s">
        <v>13</v>
      </c>
      <c r="G2" s="193">
        <v>1</v>
      </c>
      <c r="H2" s="193">
        <v>1</v>
      </c>
      <c r="I2" s="193" t="s">
        <v>13</v>
      </c>
      <c r="J2" s="86" t="s">
        <v>1019</v>
      </c>
      <c r="L2" s="86" t="s">
        <v>1019</v>
      </c>
      <c r="N2" s="85" t="s">
        <v>1096</v>
      </c>
      <c r="O2" s="201">
        <v>45555</v>
      </c>
      <c r="P2" s="201">
        <v>45555</v>
      </c>
      <c r="Q2" s="86" t="s">
        <v>287</v>
      </c>
      <c r="S2" s="86" t="s">
        <v>441</v>
      </c>
      <c r="T2" s="201">
        <v>45555</v>
      </c>
      <c r="U2" s="194"/>
      <c r="V2" s="194"/>
      <c r="W2" s="194"/>
      <c r="X2" s="194"/>
    </row>
    <row r="3" spans="1:24" s="86" customFormat="1">
      <c r="A3" s="127">
        <f>A2+1</f>
        <v>2</v>
      </c>
      <c r="B3" s="193" t="s">
        <v>69</v>
      </c>
      <c r="C3" s="193" t="s">
        <v>1019</v>
      </c>
      <c r="D3" s="229">
        <v>24033</v>
      </c>
      <c r="E3" s="227" t="s">
        <v>1097</v>
      </c>
      <c r="F3" s="193" t="s">
        <v>13</v>
      </c>
      <c r="G3" s="193">
        <v>1</v>
      </c>
      <c r="H3" s="193">
        <v>1</v>
      </c>
      <c r="I3" s="193" t="s">
        <v>13</v>
      </c>
      <c r="J3" s="194" t="s">
        <v>275</v>
      </c>
      <c r="K3" s="194"/>
      <c r="L3" s="194" t="s">
        <v>1098</v>
      </c>
      <c r="M3" s="194"/>
      <c r="N3" s="225" t="s">
        <v>1099</v>
      </c>
      <c r="O3" s="206">
        <v>45559</v>
      </c>
      <c r="P3" s="206">
        <v>45559</v>
      </c>
      <c r="Q3" s="194" t="s">
        <v>287</v>
      </c>
      <c r="R3" s="194"/>
      <c r="S3" s="194" t="s">
        <v>441</v>
      </c>
      <c r="T3" s="206">
        <v>45559</v>
      </c>
      <c r="U3" s="194"/>
      <c r="V3" s="194"/>
      <c r="W3" s="194"/>
      <c r="X3" s="194"/>
    </row>
    <row r="4" spans="1:24" s="86" customFormat="1">
      <c r="A4" s="127">
        <f t="shared" ref="A4:A18" si="0">A3+1</f>
        <v>3</v>
      </c>
      <c r="B4" s="193" t="s">
        <v>69</v>
      </c>
      <c r="C4" s="193" t="s">
        <v>1019</v>
      </c>
      <c r="D4" s="229">
        <v>24062</v>
      </c>
      <c r="E4" s="228" t="s">
        <v>1100</v>
      </c>
      <c r="F4" s="193" t="s">
        <v>13</v>
      </c>
      <c r="G4" s="193">
        <v>1</v>
      </c>
      <c r="H4" s="193">
        <v>1</v>
      </c>
      <c r="I4" s="193" t="s">
        <v>13</v>
      </c>
      <c r="J4" s="194" t="s">
        <v>275</v>
      </c>
      <c r="K4" s="194"/>
      <c r="L4" s="194" t="s">
        <v>1098</v>
      </c>
      <c r="M4" s="194"/>
      <c r="N4" s="225" t="s">
        <v>1101</v>
      </c>
      <c r="O4" s="206">
        <v>45559</v>
      </c>
      <c r="P4" s="206">
        <v>45559</v>
      </c>
      <c r="Q4" s="194" t="s">
        <v>287</v>
      </c>
      <c r="R4" s="194"/>
      <c r="S4" s="194" t="s">
        <v>441</v>
      </c>
      <c r="T4" s="206">
        <v>45560</v>
      </c>
      <c r="U4" s="194"/>
      <c r="V4" s="194"/>
      <c r="W4" s="194"/>
      <c r="X4" s="194"/>
    </row>
    <row r="5" spans="1:24" s="86" customFormat="1">
      <c r="A5" s="127">
        <f t="shared" si="0"/>
        <v>4</v>
      </c>
      <c r="B5" s="193" t="s">
        <v>69</v>
      </c>
      <c r="C5" s="193" t="s">
        <v>1019</v>
      </c>
      <c r="D5" s="229">
        <v>24060</v>
      </c>
      <c r="E5" s="227" t="s">
        <v>1102</v>
      </c>
      <c r="F5" s="193" t="s">
        <v>13</v>
      </c>
      <c r="G5" s="193">
        <v>1</v>
      </c>
      <c r="H5" s="193">
        <v>1</v>
      </c>
      <c r="I5" s="193" t="s">
        <v>13</v>
      </c>
      <c r="J5" s="194" t="s">
        <v>275</v>
      </c>
      <c r="K5" s="194"/>
      <c r="L5" s="194" t="s">
        <v>1098</v>
      </c>
      <c r="M5" s="194"/>
      <c r="N5" s="225" t="s">
        <v>1099</v>
      </c>
      <c r="O5" s="206">
        <v>45559</v>
      </c>
      <c r="P5" s="206">
        <v>45559</v>
      </c>
      <c r="Q5" s="194" t="s">
        <v>287</v>
      </c>
      <c r="R5" s="194"/>
      <c r="S5" s="194" t="s">
        <v>441</v>
      </c>
      <c r="T5" s="206">
        <v>45559</v>
      </c>
      <c r="U5" s="194"/>
      <c r="V5" s="194"/>
      <c r="W5" s="194"/>
      <c r="X5" s="194"/>
    </row>
    <row r="6" spans="1:24" s="86" customFormat="1">
      <c r="A6" s="127">
        <f t="shared" si="0"/>
        <v>5</v>
      </c>
      <c r="B6" s="127" t="s">
        <v>69</v>
      </c>
      <c r="C6" s="127" t="s">
        <v>272</v>
      </c>
      <c r="D6" s="230">
        <v>45953</v>
      </c>
      <c r="E6" s="227" t="s">
        <v>1103</v>
      </c>
      <c r="F6" s="204" t="s">
        <v>13</v>
      </c>
      <c r="G6" s="127">
        <v>2</v>
      </c>
      <c r="H6" s="127">
        <v>2</v>
      </c>
      <c r="I6" s="204" t="s">
        <v>13</v>
      </c>
      <c r="J6" s="86" t="s">
        <v>325</v>
      </c>
      <c r="L6" s="86" t="s">
        <v>325</v>
      </c>
      <c r="N6" s="67"/>
    </row>
    <row r="7" spans="1:24" s="86" customFormat="1">
      <c r="A7" s="127">
        <f t="shared" si="0"/>
        <v>6</v>
      </c>
      <c r="B7" s="127" t="s">
        <v>69</v>
      </c>
      <c r="C7" s="127" t="s">
        <v>272</v>
      </c>
      <c r="D7" s="231">
        <v>45952</v>
      </c>
      <c r="E7" s="227" t="s">
        <v>1104</v>
      </c>
      <c r="F7" s="204" t="s">
        <v>13</v>
      </c>
      <c r="G7" s="127">
        <v>5</v>
      </c>
      <c r="H7" s="127">
        <v>5</v>
      </c>
      <c r="I7" s="204" t="s">
        <v>13</v>
      </c>
      <c r="J7" s="86" t="s">
        <v>325</v>
      </c>
      <c r="L7" s="86" t="s">
        <v>325</v>
      </c>
      <c r="N7" s="67"/>
    </row>
    <row r="8" spans="1:24" s="86" customFormat="1">
      <c r="A8" s="127">
        <f t="shared" si="0"/>
        <v>7</v>
      </c>
      <c r="B8" s="127" t="s">
        <v>69</v>
      </c>
      <c r="C8" s="127" t="s">
        <v>325</v>
      </c>
      <c r="D8" s="231">
        <v>45955</v>
      </c>
      <c r="E8" s="227" t="s">
        <v>1105</v>
      </c>
      <c r="F8" s="204" t="s">
        <v>13</v>
      </c>
      <c r="G8" s="127">
        <v>5</v>
      </c>
      <c r="H8" s="127">
        <v>5</v>
      </c>
      <c r="I8" s="204" t="s">
        <v>13</v>
      </c>
      <c r="J8" s="86" t="s">
        <v>325</v>
      </c>
      <c r="L8" s="86" t="s">
        <v>325</v>
      </c>
      <c r="N8" s="67"/>
    </row>
    <row r="9" spans="1:24" s="86" customFormat="1">
      <c r="A9" s="127">
        <f t="shared" si="0"/>
        <v>8</v>
      </c>
      <c r="B9" s="127" t="s">
        <v>69</v>
      </c>
      <c r="C9" s="127" t="s">
        <v>325</v>
      </c>
      <c r="D9" s="231">
        <v>45954</v>
      </c>
      <c r="E9" s="227" t="s">
        <v>1106</v>
      </c>
      <c r="F9" s="204" t="s">
        <v>13</v>
      </c>
      <c r="G9" s="127">
        <v>3</v>
      </c>
      <c r="H9" s="127">
        <v>3</v>
      </c>
      <c r="I9" s="204" t="s">
        <v>13</v>
      </c>
      <c r="J9" s="86" t="s">
        <v>325</v>
      </c>
      <c r="L9" s="86" t="s">
        <v>325</v>
      </c>
    </row>
    <row r="10" spans="1:24" s="86" customFormat="1">
      <c r="A10" s="127">
        <f t="shared" si="0"/>
        <v>9</v>
      </c>
      <c r="B10" s="127" t="s">
        <v>69</v>
      </c>
      <c r="C10" s="193" t="s">
        <v>275</v>
      </c>
      <c r="D10" s="232">
        <v>44239</v>
      </c>
      <c r="E10" s="227" t="s">
        <v>1107</v>
      </c>
      <c r="F10" s="193" t="s">
        <v>13</v>
      </c>
      <c r="G10" s="193">
        <v>5</v>
      </c>
      <c r="H10" s="193">
        <v>5</v>
      </c>
      <c r="I10" s="193" t="s">
        <v>13</v>
      </c>
      <c r="J10" s="86" t="s">
        <v>1019</v>
      </c>
      <c r="K10" s="194"/>
      <c r="L10" s="86" t="s">
        <v>1019</v>
      </c>
      <c r="M10" s="194"/>
      <c r="N10" s="225" t="s">
        <v>1108</v>
      </c>
      <c r="O10" s="206">
        <v>45560</v>
      </c>
      <c r="P10" s="206">
        <v>45560</v>
      </c>
      <c r="Q10" s="86" t="s">
        <v>287</v>
      </c>
      <c r="R10" s="194"/>
      <c r="S10" s="86" t="s">
        <v>441</v>
      </c>
      <c r="T10" s="206">
        <v>45560</v>
      </c>
      <c r="U10" s="194"/>
      <c r="V10" s="194"/>
      <c r="W10" s="194"/>
      <c r="X10" s="194"/>
    </row>
    <row r="11" spans="1:24" s="86" customFormat="1" ht="16.5" customHeight="1">
      <c r="A11" s="127">
        <f t="shared" si="0"/>
        <v>10</v>
      </c>
      <c r="B11" s="127" t="s">
        <v>69</v>
      </c>
      <c r="C11" s="193" t="s">
        <v>1019</v>
      </c>
      <c r="D11" s="231">
        <v>44924</v>
      </c>
      <c r="E11" s="227" t="s">
        <v>1109</v>
      </c>
      <c r="F11" s="204" t="s">
        <v>13</v>
      </c>
      <c r="G11" s="127">
        <v>5</v>
      </c>
      <c r="H11" s="127">
        <v>5</v>
      </c>
      <c r="I11" s="204" t="s">
        <v>13</v>
      </c>
      <c r="J11" s="86" t="s">
        <v>275</v>
      </c>
      <c r="L11" s="86" t="s">
        <v>1098</v>
      </c>
      <c r="N11" s="85" t="s">
        <v>1110</v>
      </c>
      <c r="O11" s="177">
        <v>45547</v>
      </c>
      <c r="P11" s="177">
        <v>45548</v>
      </c>
      <c r="Q11" s="86" t="s">
        <v>287</v>
      </c>
      <c r="S11" s="86" t="s">
        <v>441</v>
      </c>
      <c r="T11" s="177">
        <v>45548</v>
      </c>
      <c r="X11" s="86" t="s">
        <v>1111</v>
      </c>
    </row>
    <row r="12" spans="1:24" s="86" customFormat="1" ht="15">
      <c r="A12" s="127">
        <f t="shared" si="0"/>
        <v>11</v>
      </c>
      <c r="B12" s="127" t="s">
        <v>69</v>
      </c>
      <c r="C12" s="193" t="s">
        <v>275</v>
      </c>
      <c r="D12" s="193">
        <v>24069</v>
      </c>
      <c r="E12" s="194" t="s">
        <v>1112</v>
      </c>
      <c r="F12" s="193" t="s">
        <v>13</v>
      </c>
      <c r="G12" s="193">
        <v>3</v>
      </c>
      <c r="H12" s="193">
        <v>3</v>
      </c>
      <c r="I12" s="193" t="s">
        <v>13</v>
      </c>
      <c r="J12" s="86" t="s">
        <v>1019</v>
      </c>
      <c r="L12" s="86" t="s">
        <v>1019</v>
      </c>
      <c r="M12" s="194"/>
      <c r="N12" s="225" t="s">
        <v>1113</v>
      </c>
      <c r="O12" s="201">
        <v>45558</v>
      </c>
      <c r="P12" s="201">
        <v>45558</v>
      </c>
      <c r="Q12" s="86" t="s">
        <v>287</v>
      </c>
      <c r="R12" s="194"/>
      <c r="S12" s="86" t="s">
        <v>441</v>
      </c>
      <c r="T12" s="201">
        <v>45558</v>
      </c>
      <c r="U12" s="194"/>
      <c r="V12" s="194"/>
      <c r="W12" s="194"/>
      <c r="X12" s="194"/>
    </row>
    <row r="13" spans="1:24" s="86" customFormat="1">
      <c r="A13" s="127">
        <f t="shared" si="0"/>
        <v>12</v>
      </c>
      <c r="B13" s="193" t="s">
        <v>69</v>
      </c>
      <c r="C13" s="193" t="s">
        <v>1019</v>
      </c>
      <c r="D13" s="193">
        <v>24034</v>
      </c>
      <c r="E13" s="194" t="s">
        <v>1114</v>
      </c>
      <c r="F13" s="193" t="s">
        <v>13</v>
      </c>
      <c r="G13" s="193">
        <v>2</v>
      </c>
      <c r="H13" s="193">
        <v>2</v>
      </c>
      <c r="I13" s="193" t="s">
        <v>13</v>
      </c>
      <c r="J13" s="194" t="s">
        <v>275</v>
      </c>
      <c r="K13" s="194"/>
      <c r="L13" s="194" t="s">
        <v>1098</v>
      </c>
      <c r="M13" s="194"/>
      <c r="N13" s="225" t="s">
        <v>1115</v>
      </c>
      <c r="O13" s="206">
        <v>45556</v>
      </c>
      <c r="P13" s="206">
        <v>45556</v>
      </c>
      <c r="Q13" s="194" t="s">
        <v>287</v>
      </c>
      <c r="R13" s="194"/>
      <c r="S13" s="194" t="s">
        <v>441</v>
      </c>
      <c r="T13" s="206">
        <v>45556</v>
      </c>
      <c r="U13" s="194"/>
      <c r="V13" s="194"/>
      <c r="W13" s="194"/>
      <c r="X13" s="194"/>
    </row>
    <row r="14" spans="1:24" s="138" customFormat="1">
      <c r="A14" s="127">
        <f t="shared" si="0"/>
        <v>13</v>
      </c>
      <c r="B14" s="204" t="s">
        <v>69</v>
      </c>
      <c r="C14" s="204" t="s">
        <v>287</v>
      </c>
      <c r="D14" s="204">
        <v>24080</v>
      </c>
      <c r="E14" s="207" t="s">
        <v>1116</v>
      </c>
      <c r="F14" s="204" t="s">
        <v>13</v>
      </c>
      <c r="G14" s="204">
        <v>5</v>
      </c>
      <c r="H14" s="204">
        <v>5</v>
      </c>
      <c r="I14" s="204" t="s">
        <v>13</v>
      </c>
      <c r="J14" s="207" t="s">
        <v>275</v>
      </c>
      <c r="K14" s="207"/>
      <c r="L14" s="207" t="s">
        <v>1098</v>
      </c>
      <c r="M14" s="207"/>
      <c r="N14" s="226" t="s">
        <v>1117</v>
      </c>
      <c r="O14" s="208">
        <v>45560</v>
      </c>
      <c r="P14" s="208">
        <v>45560</v>
      </c>
      <c r="Q14" s="207" t="s">
        <v>287</v>
      </c>
      <c r="R14" s="207"/>
      <c r="S14" s="207" t="s">
        <v>441</v>
      </c>
      <c r="T14" s="208">
        <v>45560</v>
      </c>
      <c r="U14" s="207"/>
      <c r="V14" s="207"/>
      <c r="W14" s="207"/>
      <c r="X14" s="207"/>
    </row>
    <row r="15" spans="1:24" s="86" customFormat="1" ht="15">
      <c r="A15" s="127">
        <f t="shared" si="0"/>
        <v>14</v>
      </c>
      <c r="B15" s="127" t="s">
        <v>69</v>
      </c>
      <c r="C15" s="193" t="s">
        <v>275</v>
      </c>
      <c r="D15" s="193">
        <v>24070</v>
      </c>
      <c r="E15" s="194" t="s">
        <v>1118</v>
      </c>
      <c r="F15" s="193" t="s">
        <v>13</v>
      </c>
      <c r="G15" s="193">
        <v>3</v>
      </c>
      <c r="H15" s="193">
        <v>3</v>
      </c>
      <c r="I15" s="193" t="s">
        <v>13</v>
      </c>
      <c r="J15" s="86" t="s">
        <v>272</v>
      </c>
      <c r="L15" s="86" t="s">
        <v>1019</v>
      </c>
      <c r="M15" s="194"/>
      <c r="N15" s="225" t="s">
        <v>1119</v>
      </c>
      <c r="O15" s="201">
        <v>45559</v>
      </c>
      <c r="P15" s="201">
        <v>45559</v>
      </c>
      <c r="Q15" s="86" t="s">
        <v>287</v>
      </c>
      <c r="R15" s="194"/>
      <c r="S15" s="86" t="s">
        <v>441</v>
      </c>
      <c r="T15" s="201">
        <v>45559</v>
      </c>
      <c r="U15" s="194"/>
      <c r="V15" s="194"/>
      <c r="W15" s="194"/>
      <c r="X15" s="194"/>
    </row>
    <row r="16" spans="1:24" s="86" customFormat="1" ht="15">
      <c r="A16" s="127">
        <f t="shared" si="0"/>
        <v>15</v>
      </c>
      <c r="B16" s="127" t="s">
        <v>69</v>
      </c>
      <c r="C16" s="193" t="s">
        <v>287</v>
      </c>
      <c r="D16" s="193">
        <v>24086</v>
      </c>
      <c r="E16" s="194" t="s">
        <v>1116</v>
      </c>
      <c r="F16" s="193" t="s">
        <v>13</v>
      </c>
      <c r="G16" s="193">
        <v>5</v>
      </c>
      <c r="H16" s="193">
        <v>5</v>
      </c>
      <c r="I16" s="193" t="s">
        <v>13</v>
      </c>
      <c r="M16" s="194"/>
      <c r="N16" s="225"/>
      <c r="O16" s="201"/>
      <c r="P16" s="201"/>
      <c r="R16" s="194"/>
      <c r="T16" s="201"/>
      <c r="U16" s="194"/>
      <c r="V16" s="194"/>
      <c r="W16" s="194"/>
      <c r="X16" s="194"/>
    </row>
    <row r="17" spans="1:24" s="86" customFormat="1" ht="15">
      <c r="A17" s="127">
        <f t="shared" si="0"/>
        <v>16</v>
      </c>
      <c r="B17" s="127" t="s">
        <v>69</v>
      </c>
      <c r="C17" s="193" t="s">
        <v>287</v>
      </c>
      <c r="D17" s="193">
        <v>23964</v>
      </c>
      <c r="E17" s="194" t="s">
        <v>1120</v>
      </c>
      <c r="F17" s="193" t="s">
        <v>13</v>
      </c>
      <c r="G17" s="193">
        <v>3</v>
      </c>
      <c r="H17" s="193">
        <v>3</v>
      </c>
      <c r="I17" s="193" t="s">
        <v>13</v>
      </c>
      <c r="M17" s="194"/>
      <c r="N17" s="225"/>
      <c r="O17" s="201"/>
      <c r="P17" s="201"/>
      <c r="R17" s="194"/>
      <c r="T17" s="201"/>
      <c r="U17" s="194"/>
      <c r="V17" s="194"/>
      <c r="W17" s="194"/>
      <c r="X17" s="194"/>
    </row>
    <row r="18" spans="1:24" s="86" customFormat="1" ht="48">
      <c r="A18" s="127">
        <f t="shared" si="0"/>
        <v>17</v>
      </c>
      <c r="B18" s="127" t="s">
        <v>69</v>
      </c>
      <c r="C18" s="127"/>
      <c r="D18" s="127" t="s">
        <v>1121</v>
      </c>
      <c r="E18" s="86" t="s">
        <v>1122</v>
      </c>
      <c r="F18" s="127" t="s">
        <v>1123</v>
      </c>
      <c r="G18" s="127"/>
      <c r="H18" s="127"/>
      <c r="I18" s="127"/>
    </row>
  </sheetData>
  <autoFilter ref="A1:Y1" xr:uid="{943457D4-1439-4484-90F4-92F908970FCB}"/>
  <hyperlinks>
    <hyperlink ref="N2" r:id="rId1" xr:uid="{25FF0CC0-B230-48E4-A534-D912C5D827E0}"/>
    <hyperlink ref="N12" r:id="rId2" xr:uid="{A9B8A8BA-D205-48BE-935C-7D31B1F7909F}"/>
    <hyperlink ref="N15" r:id="rId3" xr:uid="{5C32ABD3-E936-4E92-A488-601AEF25831F}"/>
    <hyperlink ref="N10" r:id="rId4" xr:uid="{35D42F2D-FC23-4A73-BAF5-1C767623BB55}"/>
    <hyperlink ref="N3" r:id="rId5" xr:uid="{8BE8784F-8B0D-46CA-A331-A31A30E5B807}"/>
    <hyperlink ref="N4" r:id="rId6" xr:uid="{80F4796E-9932-4DDB-8FA1-DB98B600F431}"/>
    <hyperlink ref="N13" r:id="rId7" xr:uid="{A542BF5F-AEA1-4B51-9F2D-9F6A96A9BAFB}"/>
    <hyperlink ref="N5" r:id="rId8" xr:uid="{FDEAC864-1727-49E5-9520-81A8B0256FAF}"/>
    <hyperlink ref="N14" r:id="rId9" xr:uid="{0AA0E83C-4B39-4A7A-B2DA-F5273D8F7AA2}"/>
    <hyperlink ref="N11" r:id="rId10" xr:uid="{FD7E1C74-16F1-47E2-ADFE-A74001CEB15C}"/>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6E9D3-79FC-4E75-8EE8-56FC41A21926}">
  <sheetPr>
    <outlinePr summaryBelow="0" summaryRight="0"/>
  </sheetPr>
  <dimension ref="A3:Z48"/>
  <sheetViews>
    <sheetView workbookViewId="0">
      <selection activeCell="D16" sqref="D16"/>
    </sheetView>
  </sheetViews>
  <sheetFormatPr defaultColWidth="12.5703125" defaultRowHeight="15.75" customHeight="1"/>
  <cols>
    <col min="1" max="1" width="6.7109375" style="48" customWidth="1"/>
    <col min="2" max="4" width="12.5703125" style="48"/>
    <col min="5" max="5" width="9.140625" style="48" bestFit="1" customWidth="1"/>
    <col min="6" max="6" width="74.42578125" style="70" bestFit="1" customWidth="1"/>
    <col min="7" max="7" width="14.7109375" style="48" customWidth="1"/>
    <col min="8" max="9" width="9.140625" style="48" bestFit="1" customWidth="1"/>
    <col min="10" max="10" width="15.85546875" style="48" customWidth="1"/>
    <col min="11" max="11" width="28.85546875" style="70" customWidth="1"/>
    <col min="12" max="16384" width="12.5703125" style="70"/>
  </cols>
  <sheetData>
    <row r="3" spans="1:26" s="48" customFormat="1" ht="27">
      <c r="A3" s="88" t="s">
        <v>243</v>
      </c>
      <c r="B3" s="209" t="s">
        <v>11</v>
      </c>
      <c r="C3" s="209" t="s">
        <v>297</v>
      </c>
      <c r="D3" s="209" t="s">
        <v>245</v>
      </c>
      <c r="E3" s="209" t="s">
        <v>299</v>
      </c>
      <c r="F3" s="209" t="s">
        <v>300</v>
      </c>
      <c r="G3" s="209" t="s">
        <v>301</v>
      </c>
      <c r="H3" s="209" t="s">
        <v>303</v>
      </c>
      <c r="I3" s="209" t="s">
        <v>248</v>
      </c>
      <c r="J3" s="213" t="s">
        <v>305</v>
      </c>
      <c r="K3" s="214" t="s">
        <v>269</v>
      </c>
      <c r="L3" s="210"/>
      <c r="M3" s="210"/>
      <c r="N3" s="210"/>
      <c r="O3" s="210"/>
      <c r="P3" s="210"/>
      <c r="Q3" s="210"/>
      <c r="R3" s="210"/>
      <c r="S3" s="210"/>
      <c r="T3" s="210"/>
      <c r="U3" s="210"/>
      <c r="V3" s="210"/>
      <c r="W3" s="210"/>
      <c r="X3" s="210"/>
      <c r="Y3" s="210"/>
      <c r="Z3" s="210"/>
    </row>
    <row r="4" spans="1:26" s="67" customFormat="1" ht="12.75">
      <c r="A4" s="222">
        <v>1</v>
      </c>
      <c r="B4" s="127" t="s">
        <v>69</v>
      </c>
      <c r="C4" s="193">
        <v>24061</v>
      </c>
      <c r="D4" s="222" t="s">
        <v>275</v>
      </c>
      <c r="E4" s="222" t="s">
        <v>715</v>
      </c>
      <c r="F4" s="194" t="s">
        <v>1095</v>
      </c>
      <c r="G4" s="222" t="s">
        <v>307</v>
      </c>
      <c r="H4" s="222" t="s">
        <v>371</v>
      </c>
      <c r="I4" s="222" t="s">
        <v>780</v>
      </c>
      <c r="J4" s="222" t="s">
        <v>902</v>
      </c>
      <c r="K4" s="32"/>
      <c r="L4" s="216"/>
      <c r="M4" s="216"/>
      <c r="N4" s="216"/>
      <c r="O4" s="216"/>
      <c r="P4" s="216"/>
      <c r="Q4" s="216"/>
      <c r="R4" s="216"/>
      <c r="S4" s="216"/>
      <c r="T4" s="216"/>
      <c r="U4" s="216"/>
      <c r="V4" s="216"/>
      <c r="W4" s="216"/>
      <c r="X4" s="216"/>
      <c r="Y4" s="216"/>
      <c r="Z4" s="216"/>
    </row>
    <row r="5" spans="1:26" s="67" customFormat="1" ht="12.75">
      <c r="A5" s="222">
        <v>2</v>
      </c>
      <c r="B5" s="127" t="s">
        <v>69</v>
      </c>
      <c r="C5" s="193">
        <v>24069</v>
      </c>
      <c r="D5" s="222" t="s">
        <v>275</v>
      </c>
      <c r="E5" s="222" t="s">
        <v>715</v>
      </c>
      <c r="F5" s="194" t="s">
        <v>1112</v>
      </c>
      <c r="G5" s="222" t="s">
        <v>784</v>
      </c>
      <c r="H5" s="222" t="s">
        <v>371</v>
      </c>
      <c r="I5" s="222" t="s">
        <v>780</v>
      </c>
      <c r="J5" s="222" t="s">
        <v>859</v>
      </c>
      <c r="K5" s="216"/>
      <c r="L5" s="216"/>
      <c r="M5" s="216"/>
      <c r="N5" s="216"/>
      <c r="O5" s="216"/>
      <c r="P5" s="216"/>
      <c r="Q5" s="216"/>
      <c r="R5" s="216"/>
      <c r="S5" s="216"/>
      <c r="T5" s="216"/>
      <c r="U5" s="216"/>
      <c r="V5" s="216"/>
      <c r="W5" s="216"/>
      <c r="X5" s="216"/>
      <c r="Y5" s="216"/>
      <c r="Z5" s="216"/>
    </row>
    <row r="6" spans="1:26" s="67" customFormat="1" ht="12.75">
      <c r="A6" s="222">
        <v>3</v>
      </c>
      <c r="B6" s="127" t="s">
        <v>69</v>
      </c>
      <c r="C6" s="193">
        <v>24033</v>
      </c>
      <c r="D6" s="222" t="s">
        <v>1019</v>
      </c>
      <c r="E6" s="222" t="s">
        <v>715</v>
      </c>
      <c r="F6" s="32" t="s">
        <v>1097</v>
      </c>
      <c r="G6" s="222" t="s">
        <v>784</v>
      </c>
      <c r="H6" s="222" t="s">
        <v>371</v>
      </c>
      <c r="I6" s="222" t="s">
        <v>780</v>
      </c>
      <c r="J6" s="222" t="s">
        <v>902</v>
      </c>
      <c r="K6" s="216"/>
      <c r="L6" s="216"/>
      <c r="M6" s="216"/>
      <c r="N6" s="216"/>
      <c r="O6" s="216"/>
      <c r="P6" s="216"/>
      <c r="Q6" s="216"/>
      <c r="R6" s="216"/>
      <c r="S6" s="216"/>
      <c r="T6" s="216"/>
      <c r="U6" s="216"/>
      <c r="V6" s="216"/>
      <c r="W6" s="216"/>
      <c r="X6" s="216"/>
      <c r="Y6" s="216"/>
      <c r="Z6" s="216"/>
    </row>
    <row r="7" spans="1:26" s="67" customFormat="1" ht="12.75">
      <c r="A7" s="222">
        <v>4</v>
      </c>
      <c r="B7" s="127" t="s">
        <v>69</v>
      </c>
      <c r="C7" s="193">
        <v>24060</v>
      </c>
      <c r="D7" s="222" t="s">
        <v>1019</v>
      </c>
      <c r="E7" s="222" t="s">
        <v>715</v>
      </c>
      <c r="F7" s="32" t="s">
        <v>1102</v>
      </c>
      <c r="G7" s="222" t="s">
        <v>784</v>
      </c>
      <c r="H7" s="222" t="s">
        <v>371</v>
      </c>
      <c r="I7" s="222" t="s">
        <v>780</v>
      </c>
      <c r="J7" s="222" t="s">
        <v>902</v>
      </c>
      <c r="K7" s="216"/>
      <c r="L7" s="216"/>
      <c r="M7" s="216"/>
      <c r="N7" s="216"/>
      <c r="O7" s="216"/>
      <c r="P7" s="216"/>
      <c r="Q7" s="216"/>
      <c r="R7" s="216"/>
      <c r="S7" s="216"/>
      <c r="T7" s="216"/>
      <c r="U7" s="216"/>
      <c r="V7" s="216"/>
      <c r="W7" s="216"/>
      <c r="X7" s="216"/>
      <c r="Y7" s="216"/>
      <c r="Z7" s="216"/>
    </row>
    <row r="8" spans="1:26" s="67" customFormat="1" ht="12.75">
      <c r="A8" s="222">
        <v>5</v>
      </c>
      <c r="B8" s="127" t="s">
        <v>69</v>
      </c>
      <c r="C8" s="193">
        <v>23964</v>
      </c>
      <c r="D8" s="222" t="s">
        <v>287</v>
      </c>
      <c r="E8" s="222" t="s">
        <v>715</v>
      </c>
      <c r="F8" s="194" t="s">
        <v>1120</v>
      </c>
      <c r="G8" s="222" t="s">
        <v>784</v>
      </c>
      <c r="H8" s="222" t="s">
        <v>371</v>
      </c>
      <c r="I8" s="222" t="s">
        <v>780</v>
      </c>
      <c r="J8" s="222" t="s">
        <v>902</v>
      </c>
    </row>
    <row r="9" spans="1:26" s="67" customFormat="1" ht="15.75" customHeight="1">
      <c r="A9" s="222">
        <v>6</v>
      </c>
      <c r="B9" s="127" t="s">
        <v>69</v>
      </c>
      <c r="C9" s="193">
        <v>24062</v>
      </c>
      <c r="D9" s="222" t="s">
        <v>1019</v>
      </c>
      <c r="E9" s="222" t="s">
        <v>715</v>
      </c>
      <c r="F9" s="194" t="s">
        <v>1100</v>
      </c>
      <c r="G9" s="222" t="s">
        <v>784</v>
      </c>
      <c r="H9" s="222" t="s">
        <v>371</v>
      </c>
      <c r="I9" s="222" t="s">
        <v>780</v>
      </c>
      <c r="J9" s="222" t="s">
        <v>859</v>
      </c>
    </row>
    <row r="10" spans="1:26" s="67" customFormat="1" ht="15.75" customHeight="1">
      <c r="A10" s="222">
        <v>7</v>
      </c>
      <c r="B10" s="127" t="s">
        <v>69</v>
      </c>
      <c r="C10" s="193">
        <v>24070</v>
      </c>
      <c r="D10" s="222" t="s">
        <v>275</v>
      </c>
      <c r="E10" s="222" t="s">
        <v>715</v>
      </c>
      <c r="F10" s="194" t="s">
        <v>1118</v>
      </c>
      <c r="G10" s="222" t="s">
        <v>784</v>
      </c>
      <c r="H10" s="222" t="s">
        <v>371</v>
      </c>
      <c r="I10" s="222" t="s">
        <v>780</v>
      </c>
      <c r="J10" s="222" t="s">
        <v>935</v>
      </c>
    </row>
    <row r="11" spans="1:26" s="67" customFormat="1" ht="12.75">
      <c r="A11" s="222">
        <v>8</v>
      </c>
      <c r="B11" s="127" t="s">
        <v>69</v>
      </c>
      <c r="C11" s="193">
        <v>24086</v>
      </c>
      <c r="D11" s="222" t="s">
        <v>287</v>
      </c>
      <c r="E11" s="222" t="s">
        <v>715</v>
      </c>
      <c r="F11" s="194" t="s">
        <v>1116</v>
      </c>
      <c r="G11" s="222" t="s">
        <v>784</v>
      </c>
      <c r="H11" s="222" t="s">
        <v>371</v>
      </c>
      <c r="I11" s="222" t="s">
        <v>780</v>
      </c>
      <c r="J11" s="222" t="s">
        <v>902</v>
      </c>
    </row>
    <row r="12" spans="1:26" s="67" customFormat="1" ht="12.75">
      <c r="A12" s="222">
        <v>9</v>
      </c>
      <c r="B12" s="127" t="s">
        <v>69</v>
      </c>
      <c r="C12" s="193">
        <v>24121</v>
      </c>
      <c r="D12" s="222" t="s">
        <v>275</v>
      </c>
      <c r="E12" s="222" t="s">
        <v>715</v>
      </c>
      <c r="F12" s="194" t="s">
        <v>1124</v>
      </c>
      <c r="G12" s="222" t="s">
        <v>784</v>
      </c>
      <c r="H12" s="222" t="s">
        <v>371</v>
      </c>
      <c r="I12" s="222" t="s">
        <v>780</v>
      </c>
      <c r="J12" s="222" t="s">
        <v>935</v>
      </c>
    </row>
    <row r="13" spans="1:26" s="67" customFormat="1" ht="12.75">
      <c r="A13" s="222">
        <v>10</v>
      </c>
      <c r="B13" s="127" t="s">
        <v>69</v>
      </c>
      <c r="C13" s="193">
        <v>24122</v>
      </c>
      <c r="D13" s="222" t="s">
        <v>275</v>
      </c>
      <c r="E13" s="222" t="s">
        <v>715</v>
      </c>
      <c r="F13" s="194" t="s">
        <v>1125</v>
      </c>
      <c r="G13" s="222" t="s">
        <v>784</v>
      </c>
      <c r="H13" s="222" t="s">
        <v>371</v>
      </c>
      <c r="I13" s="222" t="s">
        <v>780</v>
      </c>
      <c r="J13" s="222" t="s">
        <v>859</v>
      </c>
    </row>
    <row r="14" spans="1:26" s="67" customFormat="1" ht="23.25">
      <c r="A14" s="83">
        <v>11</v>
      </c>
      <c r="B14" s="215" t="s">
        <v>1126</v>
      </c>
      <c r="C14" s="83">
        <v>24034</v>
      </c>
      <c r="D14" s="83" t="s">
        <v>1019</v>
      </c>
      <c r="E14" s="83" t="s">
        <v>715</v>
      </c>
      <c r="F14" s="212" t="s">
        <v>1114</v>
      </c>
      <c r="G14" s="83" t="s">
        <v>784</v>
      </c>
      <c r="H14" s="83" t="s">
        <v>371</v>
      </c>
      <c r="I14" s="83" t="s">
        <v>780</v>
      </c>
      <c r="J14" s="222" t="s">
        <v>859</v>
      </c>
    </row>
    <row r="15" spans="1:26" s="67" customFormat="1" ht="12.75">
      <c r="A15" s="83"/>
      <c r="B15" s="83"/>
      <c r="C15" s="83"/>
      <c r="D15" s="83"/>
      <c r="E15" s="83"/>
      <c r="F15" s="86"/>
      <c r="G15" s="83"/>
      <c r="H15" s="83"/>
      <c r="I15" s="83"/>
      <c r="J15" s="222"/>
    </row>
    <row r="16" spans="1:26" ht="12.75">
      <c r="A16" s="223"/>
      <c r="B16" s="224"/>
      <c r="C16" s="224"/>
      <c r="D16" s="224"/>
      <c r="E16" s="224"/>
      <c r="F16" s="218"/>
      <c r="G16" s="224"/>
      <c r="H16" s="224"/>
      <c r="I16" s="224"/>
      <c r="J16" s="224"/>
      <c r="K16" s="217"/>
      <c r="L16" s="219"/>
      <c r="M16" s="219"/>
      <c r="N16" s="219"/>
      <c r="O16" s="219"/>
      <c r="P16" s="219"/>
      <c r="Q16" s="219"/>
      <c r="R16" s="219"/>
      <c r="S16" s="219"/>
      <c r="T16" s="219"/>
      <c r="U16" s="219"/>
      <c r="V16" s="219"/>
      <c r="W16" s="219"/>
      <c r="X16" s="219"/>
      <c r="Y16" s="219"/>
      <c r="Z16" s="219"/>
    </row>
    <row r="39" spans="1:1" ht="15.75" customHeight="1">
      <c r="A39" s="220" t="s">
        <v>930</v>
      </c>
    </row>
    <row r="40" spans="1:1" ht="15.75" customHeight="1">
      <c r="A40" s="221" t="s">
        <v>931</v>
      </c>
    </row>
    <row r="41" spans="1:1" ht="15.75" customHeight="1">
      <c r="A41" s="221" t="s">
        <v>859</v>
      </c>
    </row>
    <row r="42" spans="1:1" ht="15.75" customHeight="1">
      <c r="A42" s="221" t="s">
        <v>932</v>
      </c>
    </row>
    <row r="43" spans="1:1" ht="15.75" customHeight="1">
      <c r="A43" s="221" t="s">
        <v>933</v>
      </c>
    </row>
    <row r="44" spans="1:1" ht="15.75" customHeight="1">
      <c r="A44" s="221" t="s">
        <v>902</v>
      </c>
    </row>
    <row r="45" spans="1:1" ht="15.75" customHeight="1">
      <c r="A45" s="221" t="s">
        <v>934</v>
      </c>
    </row>
    <row r="46" spans="1:1" ht="15.75" customHeight="1">
      <c r="A46" s="221" t="s">
        <v>935</v>
      </c>
    </row>
    <row r="47" spans="1:1" ht="15.75" customHeight="1">
      <c r="A47" s="221" t="s">
        <v>936</v>
      </c>
    </row>
    <row r="48" spans="1:1" ht="15.75" customHeight="1">
      <c r="A48" s="221" t="s">
        <v>937</v>
      </c>
    </row>
  </sheetData>
  <dataValidations count="5">
    <dataValidation type="list" allowBlank="1" showErrorMessage="1" sqref="G4:G13 G16" xr:uid="{C51242D0-A7CE-43EE-8B6C-A270A7DB8B89}">
      <formula1>"Minor,Significant,Major"</formula1>
    </dataValidation>
    <dataValidation type="list" allowBlank="1" showErrorMessage="1" sqref="H4:H13 H16" xr:uid="{D9FFCB28-8018-4200-9B16-57D7C19C4006}">
      <formula1>"Internal,External"</formula1>
    </dataValidation>
    <dataValidation type="list" allowBlank="1" showErrorMessage="1" sqref="I4:I13 I16" xr:uid="{1ED6B60D-4EF2-40A9-969E-52FBEC91CD71}">
      <formula1>"Open,Inprogress,Closed"</formula1>
    </dataValidation>
    <dataValidation type="list" allowBlank="1" showErrorMessage="1" sqref="E4:E13 E16" xr:uid="{A50CF7A5-AA17-41F5-804D-FC674C2FDE66}">
      <formula1>"Bounceback,Defect,None"</formula1>
    </dataValidation>
    <dataValidation type="list" allowBlank="1" showErrorMessage="1" sqref="J4:J15" xr:uid="{AEAB840D-7E72-4569-B4D4-0EBD54874579}">
      <formula1>$A$40:$A$48</formula1>
    </dataValidation>
  </dataValidations>
  <pageMargins left="0" right="0" top="0" bottom="0" header="0" footer="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A5D31-8562-4505-A270-5F44FE3D88EE}">
  <dimension ref="A1:Y10"/>
  <sheetViews>
    <sheetView topLeftCell="A2" workbookViewId="0">
      <selection activeCell="J2" sqref="J2"/>
    </sheetView>
  </sheetViews>
  <sheetFormatPr defaultRowHeight="12.75"/>
  <cols>
    <col min="1" max="1" width="5.42578125" style="133" bestFit="1" customWidth="1"/>
    <col min="2" max="2" width="11.85546875" style="133" customWidth="1"/>
    <col min="3" max="3" width="10.140625" style="133" bestFit="1" customWidth="1"/>
    <col min="4" max="4" width="10" style="133" customWidth="1"/>
    <col min="5" max="5" width="91.7109375" style="168" customWidth="1"/>
    <col min="6" max="6" width="10.5703125" style="133" bestFit="1" customWidth="1"/>
    <col min="7" max="7" width="10.140625" style="133" customWidth="1"/>
    <col min="8" max="8" width="9.140625" style="133"/>
    <col min="9" max="9" width="10.140625" style="133" bestFit="1" customWidth="1"/>
    <col min="10" max="10" width="14.42578125" style="168" customWidth="1"/>
    <col min="11" max="11" width="12.42578125" style="168" customWidth="1"/>
    <col min="12" max="12" width="10.140625" style="168" customWidth="1"/>
    <col min="13" max="13" width="24" style="168" customWidth="1"/>
    <col min="14" max="14" width="45.5703125" style="168" customWidth="1"/>
    <col min="15" max="15" width="10.140625" style="168" bestFit="1" customWidth="1"/>
    <col min="16" max="16" width="9.42578125" style="168" bestFit="1" customWidth="1"/>
    <col min="17" max="17" width="9.140625" style="168"/>
    <col min="18" max="18" width="9.140625" style="178"/>
    <col min="19" max="19" width="9.140625" style="168"/>
    <col min="20" max="20" width="9.42578125" style="168" bestFit="1" customWidth="1"/>
    <col min="21" max="21" width="9.140625" style="168"/>
    <col min="22" max="22" width="18.28515625" style="168" customWidth="1"/>
    <col min="23" max="23" width="59.5703125" style="168" customWidth="1"/>
    <col min="24" max="24" width="50.5703125" style="168" customWidth="1"/>
    <col min="25" max="16384" width="9.140625" style="168"/>
  </cols>
  <sheetData>
    <row r="1" spans="1:25" ht="48">
      <c r="A1" s="167" t="s">
        <v>243</v>
      </c>
      <c r="B1" s="167" t="s">
        <v>244</v>
      </c>
      <c r="C1" s="167" t="s">
        <v>245</v>
      </c>
      <c r="D1" s="167" t="s">
        <v>246</v>
      </c>
      <c r="E1" s="184" t="s">
        <v>247</v>
      </c>
      <c r="F1" s="167" t="s">
        <v>248</v>
      </c>
      <c r="G1" s="167" t="s">
        <v>966</v>
      </c>
      <c r="H1" s="167" t="s">
        <v>967</v>
      </c>
      <c r="I1" s="167" t="s">
        <v>254</v>
      </c>
      <c r="J1" s="184" t="s">
        <v>255</v>
      </c>
      <c r="K1" s="184" t="s">
        <v>256</v>
      </c>
      <c r="L1" s="184" t="s">
        <v>257</v>
      </c>
      <c r="M1" s="184" t="s">
        <v>258</v>
      </c>
      <c r="N1" s="184" t="s">
        <v>259</v>
      </c>
      <c r="O1" s="184" t="s">
        <v>260</v>
      </c>
      <c r="P1" s="184" t="s">
        <v>261</v>
      </c>
      <c r="Q1" s="184" t="s">
        <v>262</v>
      </c>
      <c r="R1" s="184" t="s">
        <v>263</v>
      </c>
      <c r="S1" s="184" t="s">
        <v>264</v>
      </c>
      <c r="T1" s="184" t="s">
        <v>265</v>
      </c>
      <c r="U1" s="184" t="s">
        <v>263</v>
      </c>
      <c r="V1" s="184" t="s">
        <v>267</v>
      </c>
      <c r="W1" s="184" t="s">
        <v>268</v>
      </c>
      <c r="X1" s="195" t="s">
        <v>269</v>
      </c>
    </row>
    <row r="2" spans="1:25" s="86" customFormat="1" ht="23.25">
      <c r="A2" s="127">
        <v>1</v>
      </c>
      <c r="B2" s="127" t="s">
        <v>65</v>
      </c>
      <c r="C2" s="127" t="s">
        <v>275</v>
      </c>
      <c r="D2" s="127">
        <v>44239</v>
      </c>
      <c r="E2" s="86" t="s">
        <v>1107</v>
      </c>
      <c r="F2" s="169" t="s">
        <v>1127</v>
      </c>
      <c r="G2" s="127">
        <v>5</v>
      </c>
      <c r="H2" s="127"/>
      <c r="I2" s="127" t="s">
        <v>13</v>
      </c>
      <c r="J2" s="86" t="s">
        <v>1019</v>
      </c>
      <c r="L2" s="86" t="s">
        <v>1019</v>
      </c>
      <c r="N2" s="132" t="s">
        <v>1128</v>
      </c>
      <c r="O2" s="201">
        <v>45546</v>
      </c>
      <c r="P2" s="201">
        <v>45546</v>
      </c>
      <c r="Q2" s="86" t="s">
        <v>287</v>
      </c>
      <c r="S2" s="86" t="s">
        <v>441</v>
      </c>
      <c r="T2" s="201">
        <v>45546</v>
      </c>
      <c r="X2" s="86" t="s">
        <v>1129</v>
      </c>
      <c r="Y2" s="168"/>
    </row>
    <row r="3" spans="1:25" ht="23.25">
      <c r="A3" s="127">
        <v>2</v>
      </c>
      <c r="B3" s="127" t="s">
        <v>65</v>
      </c>
      <c r="C3" s="127" t="s">
        <v>1019</v>
      </c>
      <c r="D3" s="127">
        <v>44924</v>
      </c>
      <c r="E3" s="114" t="s">
        <v>1109</v>
      </c>
      <c r="F3" s="169" t="s">
        <v>1127</v>
      </c>
      <c r="G3" s="127">
        <v>5</v>
      </c>
      <c r="H3" s="127"/>
      <c r="I3" s="193" t="s">
        <v>13</v>
      </c>
      <c r="J3" s="86" t="s">
        <v>275</v>
      </c>
      <c r="K3" s="86"/>
      <c r="L3" s="86" t="s">
        <v>275</v>
      </c>
      <c r="M3" s="86"/>
      <c r="N3" s="132" t="s">
        <v>1110</v>
      </c>
      <c r="O3" s="177">
        <v>45547</v>
      </c>
      <c r="P3" s="177">
        <v>45548</v>
      </c>
      <c r="Q3" s="86" t="s">
        <v>287</v>
      </c>
      <c r="R3" s="86"/>
      <c r="S3" s="86" t="s">
        <v>441</v>
      </c>
      <c r="T3" s="177">
        <v>45548</v>
      </c>
      <c r="U3" s="86"/>
      <c r="V3" s="86"/>
      <c r="W3" s="86"/>
      <c r="X3" s="86"/>
    </row>
    <row r="4" spans="1:25" ht="23.25">
      <c r="A4" s="127">
        <v>3</v>
      </c>
      <c r="B4" s="127" t="s">
        <v>65</v>
      </c>
      <c r="C4" s="127" t="s">
        <v>287</v>
      </c>
      <c r="D4" s="169">
        <v>23922</v>
      </c>
      <c r="E4" s="114" t="s">
        <v>1130</v>
      </c>
      <c r="F4" s="197" t="s">
        <v>13</v>
      </c>
      <c r="G4" s="127">
        <v>3</v>
      </c>
      <c r="H4" s="127">
        <v>3</v>
      </c>
      <c r="I4" s="127" t="s">
        <v>13</v>
      </c>
      <c r="J4" s="86" t="s">
        <v>287</v>
      </c>
      <c r="K4" s="86"/>
      <c r="L4" s="86" t="s">
        <v>287</v>
      </c>
      <c r="M4" s="86"/>
      <c r="N4" s="132" t="s">
        <v>1131</v>
      </c>
      <c r="O4" s="177">
        <v>45541</v>
      </c>
      <c r="P4" s="177">
        <v>45541</v>
      </c>
      <c r="Q4" s="86" t="s">
        <v>287</v>
      </c>
      <c r="R4" s="86"/>
      <c r="S4" s="86" t="s">
        <v>441</v>
      </c>
      <c r="T4" s="177">
        <v>45541</v>
      </c>
      <c r="U4" s="86"/>
      <c r="V4" s="86"/>
      <c r="W4" s="86"/>
      <c r="X4" s="86"/>
    </row>
    <row r="5" spans="1:25" ht="46.5">
      <c r="A5" s="127">
        <v>4</v>
      </c>
      <c r="B5" s="127" t="s">
        <v>65</v>
      </c>
      <c r="C5" s="127" t="s">
        <v>272</v>
      </c>
      <c r="D5" s="127">
        <v>45953</v>
      </c>
      <c r="E5" s="86" t="s">
        <v>1132</v>
      </c>
      <c r="F5" s="127" t="s">
        <v>628</v>
      </c>
      <c r="G5" s="127">
        <v>8</v>
      </c>
      <c r="H5" s="197">
        <v>5</v>
      </c>
      <c r="I5" s="127"/>
      <c r="J5" s="86"/>
      <c r="K5" s="86"/>
      <c r="L5" s="86"/>
      <c r="M5" s="86"/>
      <c r="N5" s="86"/>
      <c r="O5" s="86"/>
      <c r="P5" s="86"/>
      <c r="Q5" s="86"/>
      <c r="R5" s="86"/>
      <c r="S5" s="86"/>
      <c r="T5" s="86"/>
      <c r="U5" s="86"/>
      <c r="V5" s="86"/>
      <c r="W5" s="86"/>
      <c r="X5" s="86" t="s">
        <v>1133</v>
      </c>
    </row>
    <row r="6" spans="1:25" ht="45" customHeight="1">
      <c r="A6" s="127">
        <v>5</v>
      </c>
      <c r="B6" s="127" t="s">
        <v>65</v>
      </c>
      <c r="C6" s="127" t="s">
        <v>272</v>
      </c>
      <c r="D6" s="127">
        <v>45955</v>
      </c>
      <c r="E6" s="86" t="s">
        <v>1134</v>
      </c>
      <c r="F6" s="127" t="s">
        <v>628</v>
      </c>
      <c r="G6" s="127">
        <v>8</v>
      </c>
      <c r="H6" s="197">
        <v>5</v>
      </c>
      <c r="I6" s="127"/>
      <c r="J6" s="86"/>
      <c r="K6" s="86"/>
      <c r="L6" s="86"/>
      <c r="M6" s="86"/>
      <c r="N6" s="86"/>
      <c r="O6" s="86"/>
      <c r="P6" s="86"/>
      <c r="Q6" s="86"/>
      <c r="R6" s="86"/>
      <c r="S6" s="86"/>
      <c r="T6" s="86"/>
      <c r="U6" s="86"/>
      <c r="V6" s="86"/>
      <c r="W6" s="86"/>
      <c r="X6" s="86" t="s">
        <v>1135</v>
      </c>
    </row>
    <row r="7" spans="1:25" ht="23.25">
      <c r="A7" s="136">
        <v>6</v>
      </c>
      <c r="B7" s="136" t="s">
        <v>65</v>
      </c>
      <c r="C7" s="136" t="s">
        <v>275</v>
      </c>
      <c r="D7" s="172">
        <v>24053</v>
      </c>
      <c r="E7" s="203" t="s">
        <v>1136</v>
      </c>
      <c r="F7" s="197" t="s">
        <v>13</v>
      </c>
      <c r="G7" s="136">
        <v>1</v>
      </c>
      <c r="H7" s="136">
        <v>1</v>
      </c>
      <c r="I7" s="204" t="s">
        <v>13</v>
      </c>
      <c r="J7" s="138" t="s">
        <v>287</v>
      </c>
      <c r="K7" s="138"/>
      <c r="L7" s="138" t="s">
        <v>287</v>
      </c>
      <c r="M7" s="138"/>
      <c r="N7" s="160" t="s">
        <v>1137</v>
      </c>
      <c r="O7" s="192">
        <v>45553</v>
      </c>
      <c r="P7" s="192">
        <v>45553</v>
      </c>
      <c r="Q7" s="138" t="s">
        <v>287</v>
      </c>
      <c r="R7" s="138"/>
      <c r="S7" s="138" t="s">
        <v>441</v>
      </c>
      <c r="T7" s="192">
        <v>45553</v>
      </c>
      <c r="U7" s="138"/>
      <c r="V7" s="138"/>
      <c r="W7" s="138"/>
      <c r="X7" s="138"/>
    </row>
    <row r="8" spans="1:25" ht="23.25">
      <c r="A8" s="127">
        <v>7</v>
      </c>
      <c r="B8" s="127" t="s">
        <v>65</v>
      </c>
      <c r="C8" s="127" t="s">
        <v>287</v>
      </c>
      <c r="D8" s="169">
        <v>24051</v>
      </c>
      <c r="E8" s="86" t="s">
        <v>1138</v>
      </c>
      <c r="F8" s="197" t="s">
        <v>13</v>
      </c>
      <c r="G8" s="127">
        <v>1</v>
      </c>
      <c r="H8" s="127">
        <v>1</v>
      </c>
      <c r="I8" s="127" t="s">
        <v>13</v>
      </c>
      <c r="J8" s="86" t="s">
        <v>287</v>
      </c>
      <c r="K8" s="86"/>
      <c r="L8" s="86" t="s">
        <v>287</v>
      </c>
      <c r="M8" s="86"/>
      <c r="N8" s="132" t="s">
        <v>1139</v>
      </c>
      <c r="O8" s="86"/>
      <c r="P8" s="86"/>
      <c r="Q8" s="86"/>
      <c r="R8" s="86"/>
      <c r="S8" s="86" t="s">
        <v>441</v>
      </c>
      <c r="T8" s="177">
        <v>45553</v>
      </c>
      <c r="U8" s="86"/>
      <c r="V8" s="86"/>
      <c r="W8" s="86"/>
      <c r="X8" s="86"/>
    </row>
    <row r="9" spans="1:25" ht="35.25">
      <c r="A9" s="136">
        <v>8</v>
      </c>
      <c r="B9" s="136" t="s">
        <v>1140</v>
      </c>
      <c r="C9" s="136" t="s">
        <v>287</v>
      </c>
      <c r="D9" s="172">
        <v>23964</v>
      </c>
      <c r="E9" s="138" t="s">
        <v>1120</v>
      </c>
      <c r="F9" s="136" t="s">
        <v>1141</v>
      </c>
      <c r="G9" s="136">
        <v>5</v>
      </c>
      <c r="H9" s="136"/>
      <c r="I9" s="136" t="s">
        <v>13</v>
      </c>
      <c r="J9" s="138" t="s">
        <v>287</v>
      </c>
      <c r="K9" s="138"/>
      <c r="L9" s="138" t="s">
        <v>287</v>
      </c>
      <c r="M9" s="138"/>
      <c r="N9" s="160" t="s">
        <v>1142</v>
      </c>
      <c r="O9" s="192">
        <v>45547</v>
      </c>
      <c r="P9" s="192">
        <v>45548</v>
      </c>
      <c r="Q9" s="138"/>
      <c r="R9" s="138"/>
      <c r="S9" s="138" t="s">
        <v>441</v>
      </c>
      <c r="T9" s="192">
        <v>45548</v>
      </c>
      <c r="U9" s="138"/>
      <c r="V9" s="138"/>
      <c r="W9" s="138"/>
      <c r="X9" s="138"/>
    </row>
    <row r="10" spans="1:25">
      <c r="A10" s="127">
        <v>9</v>
      </c>
      <c r="B10" s="127" t="s">
        <v>65</v>
      </c>
      <c r="C10" s="127" t="s">
        <v>287</v>
      </c>
      <c r="D10" s="127" t="s">
        <v>1143</v>
      </c>
      <c r="E10" s="86" t="s">
        <v>1144</v>
      </c>
      <c r="F10" s="197" t="s">
        <v>780</v>
      </c>
      <c r="G10" s="127">
        <v>2</v>
      </c>
      <c r="H10" s="127">
        <v>2</v>
      </c>
      <c r="I10" s="127" t="s">
        <v>13</v>
      </c>
      <c r="J10" s="86" t="s">
        <v>287</v>
      </c>
      <c r="K10" s="86"/>
      <c r="L10" s="86"/>
      <c r="M10" s="86"/>
      <c r="N10" s="86" t="s">
        <v>1145</v>
      </c>
      <c r="O10" s="86"/>
      <c r="P10" s="86"/>
      <c r="Q10" s="86"/>
      <c r="R10" s="86"/>
      <c r="S10" s="86"/>
      <c r="T10" s="86"/>
      <c r="U10" s="86"/>
      <c r="V10" s="86"/>
      <c r="W10" s="86"/>
      <c r="X10" s="86"/>
    </row>
  </sheetData>
  <autoFilter ref="A1:Y1" xr:uid="{943457D4-1439-4484-90F4-92F908970FCB}"/>
  <hyperlinks>
    <hyperlink ref="N2" r:id="rId1" xr:uid="{A28132A5-BE4B-428D-A25A-5D06DD7D0729}"/>
    <hyperlink ref="N3" r:id="rId2" xr:uid="{5FDF57FB-61EF-4217-B0EE-ED717FA0B5BE}"/>
    <hyperlink ref="N7" r:id="rId3" xr:uid="{6ABAEE34-0F4C-4EFA-A09C-562390A6710A}"/>
    <hyperlink ref="N8" r:id="rId4" xr:uid="{1FC9F936-00FF-427E-9706-683CF8CC4512}"/>
    <hyperlink ref="N4" r:id="rId5" xr:uid="{DA0EC9EA-69B6-481E-A16F-E1F04057B4C4}"/>
    <hyperlink ref="N9" r:id="rId6" xr:uid="{141D3591-A916-47B8-A005-02E7FD0DBE2F}"/>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0B77-1D11-483B-8C6A-E1C3B08A6F71}">
  <dimension ref="A1:Y10"/>
  <sheetViews>
    <sheetView workbookViewId="0">
      <selection activeCell="J2" sqref="J2"/>
    </sheetView>
  </sheetViews>
  <sheetFormatPr defaultRowHeight="12.75"/>
  <cols>
    <col min="1" max="1" width="9.140625" style="133"/>
    <col min="2" max="2" width="11.85546875" style="133" customWidth="1"/>
    <col min="3" max="3" width="13.5703125" style="133" customWidth="1"/>
    <col min="4" max="5" width="9.140625" style="133"/>
    <col min="6" max="6" width="49.5703125" style="168" customWidth="1"/>
    <col min="7" max="7" width="9.140625" style="133"/>
    <col min="8" max="8" width="11.7109375" style="133" customWidth="1"/>
    <col min="9" max="9" width="13.5703125" style="133" customWidth="1"/>
    <col min="10" max="10" width="13.42578125" style="133" customWidth="1"/>
    <col min="11" max="11" width="19.42578125" style="133" customWidth="1"/>
    <col min="12" max="12" width="9.140625" style="133"/>
    <col min="13" max="16384" width="9.140625" style="168"/>
  </cols>
  <sheetData>
    <row r="1" spans="1:25" ht="27">
      <c r="A1" s="88" t="s">
        <v>243</v>
      </c>
      <c r="B1" s="88" t="s">
        <v>11</v>
      </c>
      <c r="C1" s="88" t="s">
        <v>297</v>
      </c>
      <c r="D1" s="88" t="s">
        <v>245</v>
      </c>
      <c r="E1" s="88" t="s">
        <v>299</v>
      </c>
      <c r="F1" s="186" t="s">
        <v>300</v>
      </c>
      <c r="G1" s="88" t="s">
        <v>301</v>
      </c>
      <c r="H1" s="88" t="s">
        <v>303</v>
      </c>
      <c r="I1" s="88" t="s">
        <v>248</v>
      </c>
      <c r="J1" s="187" t="s">
        <v>305</v>
      </c>
      <c r="K1" s="202" t="s">
        <v>269</v>
      </c>
      <c r="L1" s="127" t="s">
        <v>1146</v>
      </c>
    </row>
    <row r="2" spans="1:25" s="86" customFormat="1" ht="24">
      <c r="A2" s="127">
        <v>1</v>
      </c>
      <c r="B2" s="127" t="s">
        <v>65</v>
      </c>
      <c r="C2" s="127">
        <v>24053</v>
      </c>
      <c r="D2" s="127" t="s">
        <v>275</v>
      </c>
      <c r="E2" s="86" t="s">
        <v>371</v>
      </c>
      <c r="F2" s="127" t="s">
        <v>1147</v>
      </c>
      <c r="G2" s="127" t="s">
        <v>309</v>
      </c>
      <c r="H2" s="127" t="s">
        <v>371</v>
      </c>
      <c r="I2" s="185" t="s">
        <v>13</v>
      </c>
      <c r="J2" s="127" t="s">
        <v>1148</v>
      </c>
      <c r="K2" s="127" t="s">
        <v>338</v>
      </c>
      <c r="L2" s="127">
        <v>1</v>
      </c>
      <c r="N2" s="132"/>
      <c r="O2" s="201"/>
      <c r="P2" s="201"/>
      <c r="T2" s="201"/>
      <c r="Y2" s="168"/>
    </row>
    <row r="3" spans="1:25" s="194" customFormat="1" ht="23.25">
      <c r="A3" s="127">
        <v>2</v>
      </c>
      <c r="B3" s="127" t="s">
        <v>65</v>
      </c>
      <c r="C3" s="127">
        <v>24051</v>
      </c>
      <c r="D3" s="127" t="s">
        <v>287</v>
      </c>
      <c r="E3" s="86" t="s">
        <v>371</v>
      </c>
      <c r="F3" s="86" t="s">
        <v>1138</v>
      </c>
      <c r="G3" s="127" t="s">
        <v>309</v>
      </c>
      <c r="H3" s="127" t="s">
        <v>371</v>
      </c>
      <c r="I3" s="185" t="s">
        <v>13</v>
      </c>
      <c r="J3" s="127" t="s">
        <v>1148</v>
      </c>
      <c r="K3" s="127" t="s">
        <v>338</v>
      </c>
      <c r="L3" s="193">
        <v>1</v>
      </c>
    </row>
    <row r="4" spans="1:25" s="194" customFormat="1" ht="23.25">
      <c r="A4" s="127">
        <v>3</v>
      </c>
      <c r="B4" s="127" t="s">
        <v>65</v>
      </c>
      <c r="C4" s="127">
        <v>23964</v>
      </c>
      <c r="D4" s="127" t="s">
        <v>287</v>
      </c>
      <c r="E4" s="86" t="s">
        <v>371</v>
      </c>
      <c r="F4" s="138" t="s">
        <v>1120</v>
      </c>
      <c r="G4" s="127" t="s">
        <v>309</v>
      </c>
      <c r="H4" s="127" t="s">
        <v>371</v>
      </c>
      <c r="I4" s="136" t="s">
        <v>1141</v>
      </c>
      <c r="J4" s="127" t="s">
        <v>1148</v>
      </c>
      <c r="K4" s="127"/>
      <c r="L4" s="193">
        <v>5</v>
      </c>
    </row>
    <row r="5" spans="1:25">
      <c r="A5" s="205"/>
      <c r="B5" s="30"/>
      <c r="C5" s="30"/>
      <c r="D5" s="30"/>
      <c r="E5" s="30"/>
      <c r="F5" s="19"/>
      <c r="G5" s="30"/>
      <c r="H5" s="30"/>
      <c r="I5" s="30"/>
      <c r="J5" s="30"/>
      <c r="K5" s="30"/>
    </row>
    <row r="6" spans="1:25">
      <c r="A6" s="205"/>
      <c r="B6" s="30"/>
      <c r="C6" s="30"/>
      <c r="D6" s="30"/>
      <c r="E6" s="30"/>
      <c r="F6" s="19"/>
      <c r="G6" s="30"/>
      <c r="H6" s="30"/>
      <c r="I6" s="30"/>
      <c r="J6" s="30"/>
      <c r="K6" s="30"/>
    </row>
    <row r="10" spans="1:25">
      <c r="J10" s="30"/>
    </row>
  </sheetData>
  <dataValidations count="4">
    <dataValidation type="list" allowBlank="1" showErrorMessage="1" sqref="G5:G6" xr:uid="{59D561C2-4D1A-436E-A20D-C8F9F981A74A}">
      <formula1>"Minor,Significant,Major"</formula1>
    </dataValidation>
    <dataValidation type="list" allowBlank="1" showErrorMessage="1" sqref="H5:H6" xr:uid="{721C51D7-D3BD-43BE-9208-DD5F19393BA5}">
      <formula1>"Internal,External"</formula1>
    </dataValidation>
    <dataValidation type="list" allowBlank="1" showErrorMessage="1" sqref="I5:I6" xr:uid="{2EF1717E-9F11-4A5C-88EF-3AFEED82AB88}">
      <formula1>"Open,Inprogress,Closed"</formula1>
    </dataValidation>
    <dataValidation type="list" allowBlank="1" showErrorMessage="1" sqref="E5:E6" xr:uid="{C24FB95A-23B0-4E75-AF1D-453519C72BF9}">
      <formula1>"Bounceback,Defect,None"</formula1>
    </dataValidation>
  </dataValidation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D62-4B63-4EA7-AF06-5DF3B0391D09}">
  <dimension ref="A1:Y11"/>
  <sheetViews>
    <sheetView workbookViewId="0">
      <selection activeCell="K3" sqref="K3"/>
    </sheetView>
  </sheetViews>
  <sheetFormatPr defaultRowHeight="12.75"/>
  <cols>
    <col min="1" max="1" width="5.42578125" style="133" bestFit="1" customWidth="1"/>
    <col min="2" max="2" width="11.85546875" style="133" customWidth="1"/>
    <col min="3" max="3" width="10.140625" style="133" bestFit="1" customWidth="1"/>
    <col min="4" max="4" width="10" style="133" customWidth="1"/>
    <col min="5" max="5" width="91.7109375" style="168" customWidth="1"/>
    <col min="6" max="6" width="10.5703125" style="133" bestFit="1" customWidth="1"/>
    <col min="7" max="7" width="10.140625" style="133" customWidth="1"/>
    <col min="8" max="8" width="9.140625" style="133"/>
    <col min="9" max="9" width="10.140625" style="133" bestFit="1" customWidth="1"/>
    <col min="10" max="10" width="14.42578125" style="168" customWidth="1"/>
    <col min="11" max="11" width="12.42578125" style="168" customWidth="1"/>
    <col min="12" max="12" width="10.140625" style="168" customWidth="1"/>
    <col min="13" max="13" width="24" style="168" customWidth="1"/>
    <col min="14" max="14" width="45.5703125" style="168" customWidth="1"/>
    <col min="15" max="16" width="9.42578125" style="168" bestFit="1" customWidth="1"/>
    <col min="17" max="17" width="9.140625" style="168"/>
    <col min="18" max="18" width="9.140625" style="178"/>
    <col min="19" max="19" width="9.140625" style="168"/>
    <col min="20" max="20" width="9.42578125" style="168" bestFit="1" customWidth="1"/>
    <col min="21" max="21" width="9.140625" style="168"/>
    <col min="22" max="22" width="18.28515625" style="168" customWidth="1"/>
    <col min="23" max="23" width="59.5703125" style="168" customWidth="1"/>
    <col min="24" max="24" width="50.5703125" style="168" customWidth="1"/>
    <col min="25" max="16384" width="9.140625" style="168"/>
  </cols>
  <sheetData>
    <row r="1" spans="1:25" ht="48">
      <c r="A1" s="167" t="s">
        <v>243</v>
      </c>
      <c r="B1" s="167" t="s">
        <v>244</v>
      </c>
      <c r="C1" s="167" t="s">
        <v>245</v>
      </c>
      <c r="D1" s="167" t="s">
        <v>246</v>
      </c>
      <c r="E1" s="184" t="s">
        <v>247</v>
      </c>
      <c r="F1" s="167" t="s">
        <v>248</v>
      </c>
      <c r="G1" s="167" t="s">
        <v>966</v>
      </c>
      <c r="H1" s="167" t="s">
        <v>967</v>
      </c>
      <c r="I1" s="167" t="s">
        <v>254</v>
      </c>
      <c r="J1" s="184" t="s">
        <v>255</v>
      </c>
      <c r="K1" s="184" t="s">
        <v>256</v>
      </c>
      <c r="L1" s="184" t="s">
        <v>257</v>
      </c>
      <c r="M1" s="184" t="s">
        <v>258</v>
      </c>
      <c r="N1" s="184" t="s">
        <v>259</v>
      </c>
      <c r="O1" s="184" t="s">
        <v>260</v>
      </c>
      <c r="P1" s="184" t="s">
        <v>261</v>
      </c>
      <c r="Q1" s="184" t="s">
        <v>262</v>
      </c>
      <c r="R1" s="184" t="s">
        <v>263</v>
      </c>
      <c r="S1" s="184" t="s">
        <v>264</v>
      </c>
      <c r="T1" s="184" t="s">
        <v>265</v>
      </c>
      <c r="U1" s="184" t="s">
        <v>263</v>
      </c>
      <c r="V1" s="184" t="s">
        <v>267</v>
      </c>
      <c r="W1" s="184" t="s">
        <v>268</v>
      </c>
      <c r="X1" s="195" t="s">
        <v>269</v>
      </c>
    </row>
    <row r="2" spans="1:25" s="86" customFormat="1">
      <c r="A2" s="127">
        <v>1</v>
      </c>
      <c r="B2" s="127" t="s">
        <v>62</v>
      </c>
      <c r="C2" s="127" t="s">
        <v>275</v>
      </c>
      <c r="D2" s="127">
        <v>44239</v>
      </c>
      <c r="E2" s="86" t="s">
        <v>1107</v>
      </c>
      <c r="F2" s="127" t="s">
        <v>628</v>
      </c>
      <c r="G2" s="127">
        <v>5</v>
      </c>
      <c r="H2" s="127"/>
      <c r="I2" s="127"/>
      <c r="N2" s="132"/>
      <c r="O2" s="177"/>
      <c r="P2" s="177"/>
      <c r="T2" s="177"/>
      <c r="X2" s="86" t="s">
        <v>1149</v>
      </c>
      <c r="Y2" s="168"/>
    </row>
    <row r="3" spans="1:25" ht="127.5">
      <c r="A3" s="127">
        <v>2</v>
      </c>
      <c r="B3" s="127" t="s">
        <v>62</v>
      </c>
      <c r="C3" s="127" t="s">
        <v>287</v>
      </c>
      <c r="D3" s="139">
        <v>45599</v>
      </c>
      <c r="E3" s="180" t="s">
        <v>1150</v>
      </c>
      <c r="F3" s="197" t="s">
        <v>338</v>
      </c>
      <c r="G3" s="127">
        <v>8</v>
      </c>
      <c r="H3" s="127">
        <v>8</v>
      </c>
      <c r="I3" s="127"/>
      <c r="J3" s="86"/>
      <c r="K3" s="86"/>
      <c r="L3" s="86"/>
      <c r="M3" s="86"/>
      <c r="N3" s="132" t="s">
        <v>1151</v>
      </c>
      <c r="O3" s="86"/>
      <c r="P3" s="86"/>
      <c r="Q3" s="86"/>
      <c r="R3" s="86"/>
      <c r="S3" s="86" t="s">
        <v>441</v>
      </c>
      <c r="T3" s="86" t="s">
        <v>1152</v>
      </c>
      <c r="U3" s="86" t="s">
        <v>1153</v>
      </c>
      <c r="V3" s="86"/>
      <c r="W3" s="86"/>
      <c r="X3" s="86"/>
    </row>
    <row r="4" spans="1:25" ht="21.75" customHeight="1">
      <c r="A4" s="127">
        <v>3</v>
      </c>
      <c r="B4" s="127" t="s">
        <v>62</v>
      </c>
      <c r="C4" s="127" t="s">
        <v>1019</v>
      </c>
      <c r="D4" s="127">
        <v>44915</v>
      </c>
      <c r="E4" s="86" t="s">
        <v>1154</v>
      </c>
      <c r="F4" s="197" t="s">
        <v>338</v>
      </c>
      <c r="G4" s="127">
        <v>3</v>
      </c>
      <c r="H4" s="127">
        <v>3</v>
      </c>
      <c r="I4" s="127" t="s">
        <v>13</v>
      </c>
      <c r="J4" s="86" t="s">
        <v>275</v>
      </c>
      <c r="K4" s="86" t="s">
        <v>1155</v>
      </c>
      <c r="L4" s="86" t="s">
        <v>275</v>
      </c>
      <c r="M4" s="86" t="s">
        <v>1156</v>
      </c>
      <c r="N4" s="132" t="s">
        <v>1157</v>
      </c>
      <c r="O4" s="177" t="s">
        <v>1158</v>
      </c>
      <c r="P4" s="177" t="s">
        <v>1159</v>
      </c>
      <c r="Q4" s="86" t="s">
        <v>287</v>
      </c>
      <c r="R4" s="86"/>
      <c r="S4" s="86" t="s">
        <v>441</v>
      </c>
      <c r="T4" s="177" t="s">
        <v>1159</v>
      </c>
      <c r="U4" s="86" t="s">
        <v>1153</v>
      </c>
      <c r="V4" s="86"/>
      <c r="W4" s="86"/>
      <c r="X4" s="86"/>
    </row>
    <row r="5" spans="1:25" ht="24">
      <c r="A5" s="127">
        <v>4</v>
      </c>
      <c r="B5" s="127" t="s">
        <v>62</v>
      </c>
      <c r="C5" s="127" t="s">
        <v>1019</v>
      </c>
      <c r="D5" s="127">
        <v>44924</v>
      </c>
      <c r="E5" s="86" t="s">
        <v>1160</v>
      </c>
      <c r="F5" s="127" t="s">
        <v>628</v>
      </c>
      <c r="G5" s="127">
        <v>8</v>
      </c>
      <c r="H5" s="127"/>
      <c r="I5" s="127" t="s">
        <v>628</v>
      </c>
      <c r="J5" s="86"/>
      <c r="K5" s="86"/>
      <c r="L5" s="86"/>
      <c r="M5" s="86"/>
      <c r="N5" s="86"/>
      <c r="O5" s="86"/>
      <c r="P5" s="86"/>
      <c r="Q5" s="86"/>
      <c r="R5" s="86"/>
      <c r="S5" s="86"/>
      <c r="T5" s="86"/>
      <c r="U5" s="86"/>
      <c r="V5" s="86"/>
      <c r="W5" s="86"/>
      <c r="X5" s="86" t="s">
        <v>1149</v>
      </c>
    </row>
    <row r="6" spans="1:25">
      <c r="A6" s="127">
        <v>5</v>
      </c>
      <c r="B6" s="127" t="s">
        <v>62</v>
      </c>
      <c r="C6" s="127" t="s">
        <v>272</v>
      </c>
      <c r="D6" s="83">
        <v>44913</v>
      </c>
      <c r="E6" s="86" t="s">
        <v>1161</v>
      </c>
      <c r="F6" s="197" t="s">
        <v>338</v>
      </c>
      <c r="G6" s="127">
        <v>1</v>
      </c>
      <c r="H6" s="127">
        <v>1</v>
      </c>
      <c r="I6" s="127"/>
      <c r="J6" s="86"/>
      <c r="K6" s="86"/>
      <c r="L6" s="86"/>
      <c r="M6" s="86"/>
      <c r="N6" s="86"/>
      <c r="O6" s="86"/>
      <c r="P6" s="86"/>
      <c r="Q6" s="86"/>
      <c r="R6" s="86"/>
      <c r="S6" s="86"/>
      <c r="T6" s="86"/>
      <c r="U6" s="86"/>
      <c r="V6" s="86"/>
      <c r="W6" s="86"/>
      <c r="X6" s="86"/>
    </row>
    <row r="7" spans="1:25">
      <c r="A7" s="127">
        <v>6</v>
      </c>
      <c r="B7" s="127" t="s">
        <v>62</v>
      </c>
      <c r="C7" s="127" t="s">
        <v>287</v>
      </c>
      <c r="D7" s="196" t="s">
        <v>1162</v>
      </c>
      <c r="E7" s="180" t="s">
        <v>1163</v>
      </c>
      <c r="F7" s="197" t="s">
        <v>1164</v>
      </c>
      <c r="G7" s="127">
        <v>3</v>
      </c>
      <c r="H7" s="127">
        <v>3</v>
      </c>
      <c r="I7" s="127"/>
      <c r="J7" s="86"/>
      <c r="K7" s="86"/>
      <c r="L7" s="86"/>
      <c r="M7" s="86"/>
      <c r="N7" s="86"/>
      <c r="O7" s="86"/>
      <c r="P7" s="86"/>
      <c r="Q7" s="86"/>
      <c r="R7" s="86"/>
      <c r="S7" s="86"/>
      <c r="T7" s="86"/>
      <c r="U7" s="86"/>
      <c r="V7" s="86"/>
      <c r="W7" s="86"/>
      <c r="X7" s="86"/>
    </row>
    <row r="8" spans="1:25">
      <c r="A8" s="133">
        <v>7</v>
      </c>
      <c r="B8" s="127" t="s">
        <v>62</v>
      </c>
      <c r="C8" s="127">
        <v>23840</v>
      </c>
      <c r="D8" s="127" t="s">
        <v>275</v>
      </c>
      <c r="E8" s="194" t="s">
        <v>1165</v>
      </c>
      <c r="F8" s="197" t="s">
        <v>1164</v>
      </c>
      <c r="G8" s="127">
        <v>1</v>
      </c>
      <c r="H8" s="127">
        <v>1</v>
      </c>
      <c r="I8" s="193"/>
      <c r="J8" s="127"/>
      <c r="K8" s="127"/>
    </row>
    <row r="9" spans="1:25" ht="24">
      <c r="A9" s="133">
        <v>8</v>
      </c>
      <c r="B9" s="127" t="s">
        <v>62</v>
      </c>
      <c r="C9" s="117">
        <v>23575</v>
      </c>
      <c r="D9" s="193" t="s">
        <v>275</v>
      </c>
      <c r="E9" s="198" t="s">
        <v>1166</v>
      </c>
      <c r="F9" s="197" t="s">
        <v>1164</v>
      </c>
      <c r="G9" s="193">
        <v>2</v>
      </c>
      <c r="H9" s="127">
        <v>2</v>
      </c>
      <c r="I9" s="193"/>
      <c r="J9" s="193"/>
      <c r="K9" s="127"/>
    </row>
    <row r="10" spans="1:25">
      <c r="A10" s="133">
        <v>9</v>
      </c>
      <c r="B10" s="127" t="s">
        <v>62</v>
      </c>
      <c r="C10" s="120">
        <v>23672</v>
      </c>
      <c r="D10" s="193" t="s">
        <v>275</v>
      </c>
      <c r="E10" s="199" t="s">
        <v>1167</v>
      </c>
      <c r="F10" s="197" t="s">
        <v>1164</v>
      </c>
      <c r="G10" s="193">
        <v>2</v>
      </c>
      <c r="H10" s="127">
        <v>2</v>
      </c>
      <c r="I10" s="193"/>
      <c r="J10" s="193"/>
      <c r="K10" s="127"/>
    </row>
    <row r="11" spans="1:25">
      <c r="G11" s="133">
        <f>SUM(G2:G10)</f>
        <v>33</v>
      </c>
      <c r="H11" s="133">
        <v>20</v>
      </c>
      <c r="I11" s="200"/>
    </row>
  </sheetData>
  <autoFilter ref="A1:Y1" xr:uid="{943457D4-1439-4484-90F4-92F908970FCB}"/>
  <hyperlinks>
    <hyperlink ref="D3" r:id="rId1" display="45599" xr:uid="{07A5848C-F2C4-4D00-8B74-D1F944BCB251}"/>
    <hyperlink ref="D7" r:id="rId2" xr:uid="{F5478DAA-F9C8-4F37-8AFD-9FE2887046C1}"/>
    <hyperlink ref="N4" r:id="rId3" display="https://dev.azure.com/heartlandschools/Meal%20Orders/_git/Meal%20Orders/pullrequest/38638" xr:uid="{D5941C87-5276-431B-8FF5-6FFEF4BEE9B2}"/>
    <hyperlink ref="C9" r:id="rId4" display="23575" xr:uid="{B2380FBB-0095-4447-9998-D605F8112324}"/>
    <hyperlink ref="C10" r:id="rId5" display="23672" xr:uid="{0ADF5ADB-95DE-4250-9863-AD7AC7429E2D}"/>
    <hyperlink ref="N3" r:id="rId6" xr:uid="{8E444364-8006-4C34-A7AE-4A148B706B47}"/>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F52-FF77-466A-AD96-7E1BF53C8C81}">
  <dimension ref="A1:L4"/>
  <sheetViews>
    <sheetView workbookViewId="0">
      <selection activeCell="K2" sqref="K2"/>
    </sheetView>
  </sheetViews>
  <sheetFormatPr defaultRowHeight="12.75"/>
  <cols>
    <col min="1" max="1" width="9.140625" style="133"/>
    <col min="2" max="2" width="11.85546875" style="133" customWidth="1"/>
    <col min="3" max="3" width="13.5703125" style="133" customWidth="1"/>
    <col min="4" max="4" width="9.140625" style="133"/>
    <col min="5" max="5" width="14.42578125" style="133" customWidth="1"/>
    <col min="6" max="6" width="49.5703125" style="168" customWidth="1"/>
    <col min="7" max="7" width="9.140625" style="133"/>
    <col min="8" max="8" width="11.7109375" style="133" customWidth="1"/>
    <col min="9" max="9" width="13.5703125" style="133" customWidth="1"/>
    <col min="10" max="10" width="13.42578125" style="133" customWidth="1"/>
    <col min="11" max="11" width="19.42578125" style="133" customWidth="1"/>
    <col min="12" max="12" width="9.140625" style="133"/>
    <col min="13" max="16384" width="9.140625" style="168"/>
  </cols>
  <sheetData>
    <row r="1" spans="1:12" ht="27">
      <c r="A1" s="88" t="s">
        <v>243</v>
      </c>
      <c r="B1" s="88" t="s">
        <v>11</v>
      </c>
      <c r="C1" s="88" t="s">
        <v>297</v>
      </c>
      <c r="D1" s="88" t="s">
        <v>245</v>
      </c>
      <c r="E1" s="88" t="s">
        <v>299</v>
      </c>
      <c r="F1" s="186" t="s">
        <v>300</v>
      </c>
      <c r="G1" s="88" t="s">
        <v>301</v>
      </c>
      <c r="H1" s="88" t="s">
        <v>303</v>
      </c>
      <c r="I1" s="88" t="s">
        <v>248</v>
      </c>
      <c r="J1" s="187" t="s">
        <v>305</v>
      </c>
      <c r="K1" s="188" t="s">
        <v>269</v>
      </c>
      <c r="L1" s="133" t="s">
        <v>1146</v>
      </c>
    </row>
    <row r="2" spans="1:12" s="86" customFormat="1" ht="24">
      <c r="A2" s="127">
        <v>1</v>
      </c>
      <c r="B2" s="127" t="s">
        <v>62</v>
      </c>
      <c r="C2" s="127">
        <v>23840</v>
      </c>
      <c r="D2" s="127" t="s">
        <v>275</v>
      </c>
      <c r="E2" s="127" t="s">
        <v>715</v>
      </c>
      <c r="F2" s="194" t="s">
        <v>1165</v>
      </c>
      <c r="G2" s="127" t="s">
        <v>335</v>
      </c>
      <c r="H2" s="127" t="s">
        <v>371</v>
      </c>
      <c r="I2" s="185" t="s">
        <v>13</v>
      </c>
      <c r="J2" s="127" t="s">
        <v>1148</v>
      </c>
      <c r="K2" s="127" t="s">
        <v>338</v>
      </c>
      <c r="L2" s="127">
        <v>1</v>
      </c>
    </row>
    <row r="3" spans="1:12" s="194" customFormat="1" ht="36">
      <c r="A3" s="193">
        <v>2</v>
      </c>
      <c r="B3" s="127" t="s">
        <v>62</v>
      </c>
      <c r="C3" s="117">
        <v>23575</v>
      </c>
      <c r="D3" s="193" t="s">
        <v>275</v>
      </c>
      <c r="E3" s="193" t="s">
        <v>715</v>
      </c>
      <c r="F3" s="198" t="s">
        <v>1166</v>
      </c>
      <c r="G3" s="193" t="s">
        <v>335</v>
      </c>
      <c r="H3" s="127" t="s">
        <v>371</v>
      </c>
      <c r="I3" s="185" t="s">
        <v>13</v>
      </c>
      <c r="J3" s="193" t="s">
        <v>1168</v>
      </c>
      <c r="K3" s="127" t="s">
        <v>338</v>
      </c>
      <c r="L3" s="193">
        <v>2</v>
      </c>
    </row>
    <row r="4" spans="1:12" s="194" customFormat="1" ht="24">
      <c r="A4" s="193">
        <v>3</v>
      </c>
      <c r="B4" s="127" t="s">
        <v>62</v>
      </c>
      <c r="C4" s="120">
        <v>23672</v>
      </c>
      <c r="D4" s="193" t="s">
        <v>275</v>
      </c>
      <c r="E4" s="193" t="s">
        <v>715</v>
      </c>
      <c r="F4" s="199" t="s">
        <v>1167</v>
      </c>
      <c r="G4" s="193" t="s">
        <v>335</v>
      </c>
      <c r="H4" s="127" t="s">
        <v>371</v>
      </c>
      <c r="I4" s="185" t="s">
        <v>13</v>
      </c>
      <c r="J4" s="193" t="s">
        <v>1168</v>
      </c>
      <c r="K4" s="127" t="s">
        <v>338</v>
      </c>
      <c r="L4" s="193">
        <v>2</v>
      </c>
    </row>
  </sheetData>
  <hyperlinks>
    <hyperlink ref="C3" r:id="rId1" display="23575" xr:uid="{5DDB240B-251E-41CA-B782-1FD43B1A93C3}"/>
    <hyperlink ref="C4" r:id="rId2" display="23672" xr:uid="{2EBD2F70-E647-4912-AF90-90721DF29475}"/>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BBFC0-21DF-4EE7-9E03-644D9DB8F38F}">
  <dimension ref="A1:Y11"/>
  <sheetViews>
    <sheetView workbookViewId="0">
      <selection activeCell="I8" sqref="I8"/>
    </sheetView>
  </sheetViews>
  <sheetFormatPr defaultRowHeight="12.75"/>
  <cols>
    <col min="1" max="1" width="5.42578125" style="133" bestFit="1" customWidth="1"/>
    <col min="2" max="2" width="11.85546875" style="133" customWidth="1"/>
    <col min="3" max="3" width="10.140625" style="133" bestFit="1" customWidth="1"/>
    <col min="4" max="4" width="10" style="133" customWidth="1"/>
    <col min="5" max="5" width="91.7109375" style="168" customWidth="1"/>
    <col min="6" max="6" width="10.5703125" style="133" bestFit="1" customWidth="1"/>
    <col min="7" max="7" width="10.140625" style="133" customWidth="1"/>
    <col min="8" max="8" width="9.140625" style="133"/>
    <col min="9" max="9" width="10.140625" style="168" bestFit="1" customWidth="1"/>
    <col min="10" max="10" width="14.42578125" style="168" customWidth="1"/>
    <col min="11" max="11" width="12.42578125" style="168" customWidth="1"/>
    <col min="12" max="12" width="10.140625" style="168" customWidth="1"/>
    <col min="13" max="13" width="24" style="168" customWidth="1"/>
    <col min="14" max="14" width="45.5703125" style="168" customWidth="1"/>
    <col min="15" max="16" width="9.42578125" style="168" bestFit="1" customWidth="1"/>
    <col min="17" max="17" width="9.140625" style="168"/>
    <col min="18" max="18" width="9.140625" style="178"/>
    <col min="19" max="19" width="9.140625" style="168"/>
    <col min="20" max="20" width="9.42578125" style="168" bestFit="1" customWidth="1"/>
    <col min="21" max="21" width="9.140625" style="168"/>
    <col min="22" max="22" width="18.28515625" style="168" customWidth="1"/>
    <col min="23" max="23" width="59.5703125" style="168" customWidth="1"/>
    <col min="24" max="24" width="50.5703125" style="168" customWidth="1"/>
    <col min="25" max="16384" width="9.140625" style="168"/>
  </cols>
  <sheetData>
    <row r="1" spans="1:25" ht="46.5">
      <c r="A1" s="167" t="s">
        <v>243</v>
      </c>
      <c r="B1" s="167" t="s">
        <v>244</v>
      </c>
      <c r="C1" s="167" t="s">
        <v>245</v>
      </c>
      <c r="D1" s="167" t="s">
        <v>246</v>
      </c>
      <c r="E1" s="184" t="s">
        <v>247</v>
      </c>
      <c r="F1" s="167" t="s">
        <v>248</v>
      </c>
      <c r="G1" s="167" t="s">
        <v>966</v>
      </c>
      <c r="H1" s="167" t="s">
        <v>967</v>
      </c>
      <c r="I1" s="184" t="s">
        <v>254</v>
      </c>
      <c r="J1" s="184" t="s">
        <v>255</v>
      </c>
      <c r="K1" s="184" t="s">
        <v>256</v>
      </c>
      <c r="L1" s="181" t="s">
        <v>257</v>
      </c>
      <c r="M1" s="181" t="s">
        <v>258</v>
      </c>
      <c r="N1" s="181" t="s">
        <v>259</v>
      </c>
      <c r="O1" s="181" t="s">
        <v>260</v>
      </c>
      <c r="P1" s="181" t="s">
        <v>261</v>
      </c>
      <c r="Q1" s="181" t="s">
        <v>262</v>
      </c>
      <c r="R1" s="181" t="s">
        <v>263</v>
      </c>
      <c r="S1" s="181" t="s">
        <v>264</v>
      </c>
      <c r="T1" s="181" t="s">
        <v>265</v>
      </c>
      <c r="U1" s="181" t="s">
        <v>263</v>
      </c>
      <c r="V1" s="181" t="s">
        <v>267</v>
      </c>
      <c r="W1" s="181" t="s">
        <v>268</v>
      </c>
      <c r="X1" s="182" t="s">
        <v>269</v>
      </c>
    </row>
    <row r="2" spans="1:25" s="86" customFormat="1" ht="23.25">
      <c r="A2" s="127">
        <v>1</v>
      </c>
      <c r="B2" s="127" t="s">
        <v>60</v>
      </c>
      <c r="C2" s="127" t="s">
        <v>275</v>
      </c>
      <c r="D2" s="127">
        <v>23684</v>
      </c>
      <c r="E2" s="176" t="s">
        <v>1169</v>
      </c>
      <c r="F2" s="185" t="s">
        <v>13</v>
      </c>
      <c r="G2" s="127">
        <v>5</v>
      </c>
      <c r="H2" s="127">
        <v>5</v>
      </c>
      <c r="I2" s="86" t="s">
        <v>13</v>
      </c>
      <c r="J2" s="86" t="s">
        <v>1019</v>
      </c>
      <c r="L2" s="179" t="s">
        <v>1019</v>
      </c>
      <c r="N2" s="132" t="s">
        <v>1170</v>
      </c>
      <c r="O2" s="177">
        <v>45520</v>
      </c>
      <c r="P2" s="177">
        <v>45520</v>
      </c>
      <c r="Q2" s="86" t="s">
        <v>287</v>
      </c>
      <c r="S2" s="86" t="s">
        <v>441</v>
      </c>
      <c r="T2" s="177">
        <v>45523</v>
      </c>
      <c r="X2" s="86" t="s">
        <v>338</v>
      </c>
      <c r="Y2" s="179"/>
    </row>
    <row r="3" spans="1:25" ht="23.25">
      <c r="A3" s="127">
        <v>2</v>
      </c>
      <c r="B3" s="127" t="s">
        <v>60</v>
      </c>
      <c r="C3" s="127" t="s">
        <v>1171</v>
      </c>
      <c r="D3" s="127">
        <v>45477</v>
      </c>
      <c r="E3" s="86" t="s">
        <v>1172</v>
      </c>
      <c r="F3" s="185" t="s">
        <v>13</v>
      </c>
      <c r="G3" s="127">
        <v>2</v>
      </c>
      <c r="H3" s="127">
        <v>4</v>
      </c>
      <c r="I3" s="86" t="s">
        <v>13</v>
      </c>
      <c r="J3" s="86" t="s">
        <v>287</v>
      </c>
      <c r="K3" s="86"/>
      <c r="L3" s="179" t="s">
        <v>287</v>
      </c>
      <c r="M3" s="86"/>
      <c r="N3" s="132" t="s">
        <v>1173</v>
      </c>
      <c r="O3" s="177">
        <v>45520</v>
      </c>
      <c r="P3" s="177">
        <v>45520</v>
      </c>
      <c r="Q3" s="86" t="s">
        <v>287</v>
      </c>
      <c r="R3" s="86"/>
      <c r="S3" s="86" t="s">
        <v>441</v>
      </c>
      <c r="T3" s="177">
        <v>45523</v>
      </c>
      <c r="U3" s="86"/>
      <c r="V3" s="86"/>
      <c r="W3" s="86"/>
      <c r="X3" s="86" t="s">
        <v>338</v>
      </c>
    </row>
    <row r="4" spans="1:25" ht="23.25">
      <c r="A4" s="127">
        <v>3</v>
      </c>
      <c r="B4" s="127" t="s">
        <v>1174</v>
      </c>
      <c r="C4" s="127" t="s">
        <v>275</v>
      </c>
      <c r="D4" s="127">
        <v>23575</v>
      </c>
      <c r="E4" s="86" t="s">
        <v>1166</v>
      </c>
      <c r="F4" s="127" t="s">
        <v>1175</v>
      </c>
      <c r="G4" s="127">
        <v>3</v>
      </c>
      <c r="H4" s="127">
        <v>3</v>
      </c>
      <c r="I4" s="86" t="s">
        <v>13</v>
      </c>
      <c r="J4" s="86" t="s">
        <v>1019</v>
      </c>
      <c r="K4" s="86"/>
      <c r="L4" s="179" t="s">
        <v>1019</v>
      </c>
      <c r="M4" s="86"/>
      <c r="N4" s="132" t="s">
        <v>1176</v>
      </c>
      <c r="O4" s="177">
        <v>45524</v>
      </c>
      <c r="P4" s="177">
        <v>45524</v>
      </c>
      <c r="Q4" s="86" t="s">
        <v>287</v>
      </c>
      <c r="R4" s="86"/>
      <c r="S4" s="86" t="s">
        <v>441</v>
      </c>
      <c r="T4" s="177">
        <v>45525</v>
      </c>
      <c r="U4" s="86"/>
      <c r="V4" s="86"/>
      <c r="W4" s="86"/>
      <c r="X4" s="86" t="s">
        <v>1127</v>
      </c>
    </row>
    <row r="5" spans="1:25" ht="23.25">
      <c r="A5" s="127">
        <v>4</v>
      </c>
      <c r="B5" s="127" t="s">
        <v>1174</v>
      </c>
      <c r="C5" s="127" t="s">
        <v>287</v>
      </c>
      <c r="D5" s="139">
        <v>45599</v>
      </c>
      <c r="E5" s="180" t="s">
        <v>1150</v>
      </c>
      <c r="F5" s="127" t="s">
        <v>628</v>
      </c>
      <c r="G5" s="127">
        <v>8</v>
      </c>
      <c r="H5" s="127"/>
      <c r="I5" s="86" t="s">
        <v>13</v>
      </c>
      <c r="J5" s="86"/>
      <c r="K5" s="86"/>
      <c r="L5" s="179"/>
      <c r="M5" s="86"/>
      <c r="N5" s="86"/>
      <c r="O5" s="86"/>
      <c r="P5" s="86"/>
      <c r="Q5" s="86"/>
      <c r="R5" s="86"/>
      <c r="S5" s="86"/>
      <c r="T5" s="86"/>
      <c r="U5" s="86"/>
      <c r="V5" s="86"/>
      <c r="W5" s="86"/>
      <c r="X5" s="86"/>
    </row>
    <row r="6" spans="1:25" ht="23.25">
      <c r="A6" s="127">
        <v>5</v>
      </c>
      <c r="B6" s="127" t="s">
        <v>1177</v>
      </c>
      <c r="C6" s="127" t="s">
        <v>1019</v>
      </c>
      <c r="D6" s="127">
        <v>44917</v>
      </c>
      <c r="E6" s="183" t="s">
        <v>1178</v>
      </c>
      <c r="F6" s="185" t="s">
        <v>13</v>
      </c>
      <c r="G6" s="127">
        <v>5</v>
      </c>
      <c r="H6" s="127">
        <v>5</v>
      </c>
      <c r="I6" s="86" t="s">
        <v>13</v>
      </c>
      <c r="J6" s="86" t="s">
        <v>287</v>
      </c>
      <c r="K6" s="86"/>
      <c r="L6" s="179" t="s">
        <v>287</v>
      </c>
      <c r="M6" s="86"/>
      <c r="N6" s="132" t="s">
        <v>1179</v>
      </c>
      <c r="O6" s="177">
        <v>45524</v>
      </c>
      <c r="P6" s="177">
        <v>45525</v>
      </c>
      <c r="Q6" s="86" t="s">
        <v>287</v>
      </c>
      <c r="R6" s="86"/>
      <c r="S6" s="86" t="s">
        <v>441</v>
      </c>
      <c r="T6" s="177">
        <v>45525</v>
      </c>
      <c r="U6" s="86"/>
      <c r="V6" s="86"/>
      <c r="W6" s="86"/>
      <c r="X6" s="86"/>
    </row>
    <row r="7" spans="1:25" ht="23.25">
      <c r="A7" s="127">
        <v>6</v>
      </c>
      <c r="B7" s="127" t="s">
        <v>1174</v>
      </c>
      <c r="C7" s="127" t="s">
        <v>1019</v>
      </c>
      <c r="D7" s="127">
        <v>44913</v>
      </c>
      <c r="E7" s="183" t="s">
        <v>1161</v>
      </c>
      <c r="F7" s="127" t="s">
        <v>1127</v>
      </c>
      <c r="G7" s="127">
        <v>8</v>
      </c>
      <c r="H7" s="127">
        <v>4</v>
      </c>
      <c r="I7" s="86" t="s">
        <v>13</v>
      </c>
      <c r="J7" s="86" t="s">
        <v>287</v>
      </c>
      <c r="K7" s="86"/>
      <c r="L7" s="179" t="s">
        <v>287</v>
      </c>
      <c r="M7" s="86"/>
      <c r="N7" s="132" t="s">
        <v>1179</v>
      </c>
      <c r="O7" s="177">
        <v>45524</v>
      </c>
      <c r="P7" s="177">
        <v>45525</v>
      </c>
      <c r="Q7" s="86" t="s">
        <v>287</v>
      </c>
      <c r="R7" s="86"/>
      <c r="S7" s="86" t="s">
        <v>441</v>
      </c>
      <c r="T7" s="177">
        <v>45525</v>
      </c>
      <c r="U7" s="86"/>
      <c r="V7" s="86"/>
      <c r="W7" s="86"/>
      <c r="X7" s="86"/>
    </row>
    <row r="8" spans="1:25" ht="23.25">
      <c r="A8" s="127">
        <v>7</v>
      </c>
      <c r="B8" s="127" t="s">
        <v>1174</v>
      </c>
      <c r="C8" s="127" t="s">
        <v>1019</v>
      </c>
      <c r="D8" s="127">
        <v>44915</v>
      </c>
      <c r="E8" s="114" t="s">
        <v>1154</v>
      </c>
      <c r="F8" s="127" t="s">
        <v>628</v>
      </c>
      <c r="G8" s="127">
        <v>5</v>
      </c>
      <c r="H8" s="127">
        <v>4</v>
      </c>
      <c r="I8" s="86"/>
      <c r="J8" s="86"/>
      <c r="K8" s="86"/>
      <c r="L8" s="179"/>
      <c r="M8" s="86"/>
      <c r="N8" s="86"/>
      <c r="O8" s="86"/>
      <c r="P8" s="86"/>
      <c r="Q8" s="86"/>
      <c r="R8" s="86"/>
      <c r="S8" s="86"/>
      <c r="T8" s="86"/>
      <c r="U8" s="86"/>
      <c r="V8" s="86"/>
      <c r="W8" s="86"/>
      <c r="X8" s="86" t="s">
        <v>1180</v>
      </c>
    </row>
    <row r="9" spans="1:25" ht="23.25">
      <c r="A9" s="127">
        <v>8</v>
      </c>
      <c r="B9" s="127" t="s">
        <v>1174</v>
      </c>
      <c r="C9" s="127" t="s">
        <v>275</v>
      </c>
      <c r="D9" s="127">
        <v>23672</v>
      </c>
      <c r="E9" s="114" t="s">
        <v>1167</v>
      </c>
      <c r="F9" s="185" t="s">
        <v>13</v>
      </c>
      <c r="G9" s="127">
        <v>3</v>
      </c>
      <c r="H9" s="127">
        <v>3</v>
      </c>
      <c r="I9" s="86" t="s">
        <v>13</v>
      </c>
      <c r="J9" s="86" t="s">
        <v>1019</v>
      </c>
      <c r="K9" s="86"/>
      <c r="L9" s="179" t="s">
        <v>1019</v>
      </c>
      <c r="N9" s="132" t="s">
        <v>1181</v>
      </c>
      <c r="O9" s="177">
        <v>45526</v>
      </c>
      <c r="P9" s="86"/>
      <c r="Q9" s="86" t="s">
        <v>287</v>
      </c>
      <c r="R9" s="86"/>
      <c r="S9" s="86" t="s">
        <v>441</v>
      </c>
      <c r="T9" s="86"/>
      <c r="U9" s="86"/>
      <c r="V9" s="86"/>
      <c r="W9" s="86"/>
      <c r="X9" s="86" t="s">
        <v>1070</v>
      </c>
    </row>
    <row r="10" spans="1:25" ht="23.25">
      <c r="A10" s="136">
        <v>9</v>
      </c>
      <c r="B10" s="136" t="s">
        <v>1174</v>
      </c>
      <c r="C10" s="136" t="s">
        <v>275</v>
      </c>
      <c r="D10" s="136">
        <v>23840</v>
      </c>
      <c r="E10" s="189" t="s">
        <v>1165</v>
      </c>
      <c r="F10" s="190" t="s">
        <v>13</v>
      </c>
      <c r="G10" s="136">
        <v>1</v>
      </c>
      <c r="H10" s="136">
        <v>1</v>
      </c>
      <c r="I10" s="138" t="s">
        <v>13</v>
      </c>
      <c r="J10" s="138" t="s">
        <v>1019</v>
      </c>
      <c r="K10" s="138"/>
      <c r="L10" s="191" t="s">
        <v>1019</v>
      </c>
      <c r="M10" s="138"/>
      <c r="N10" s="160" t="s">
        <v>1182</v>
      </c>
      <c r="O10" s="192">
        <v>45526</v>
      </c>
      <c r="P10" s="138"/>
      <c r="Q10" s="138" t="s">
        <v>287</v>
      </c>
      <c r="R10" s="138"/>
      <c r="S10" s="138" t="s">
        <v>441</v>
      </c>
      <c r="T10" s="138"/>
      <c r="U10" s="138"/>
      <c r="V10" s="138"/>
      <c r="W10" s="138"/>
      <c r="X10" s="138" t="s">
        <v>1070</v>
      </c>
    </row>
    <row r="11" spans="1:25" ht="23.25">
      <c r="A11" s="127">
        <v>10</v>
      </c>
      <c r="B11" s="127" t="s">
        <v>60</v>
      </c>
      <c r="C11" s="127" t="s">
        <v>275</v>
      </c>
      <c r="D11" s="127">
        <v>23670</v>
      </c>
      <c r="E11" s="86" t="s">
        <v>1183</v>
      </c>
      <c r="F11" s="185" t="s">
        <v>13</v>
      </c>
      <c r="G11" s="127">
        <v>2</v>
      </c>
      <c r="H11" s="127">
        <v>2</v>
      </c>
      <c r="I11" s="86" t="s">
        <v>13</v>
      </c>
      <c r="J11" s="86" t="s">
        <v>1019</v>
      </c>
      <c r="K11" s="86"/>
      <c r="L11" s="86" t="s">
        <v>1019</v>
      </c>
      <c r="M11" s="86"/>
      <c r="N11" s="132" t="s">
        <v>1184</v>
      </c>
      <c r="O11" s="177">
        <v>45513</v>
      </c>
      <c r="P11" s="86"/>
      <c r="Q11" s="86" t="s">
        <v>287</v>
      </c>
      <c r="R11" s="86"/>
      <c r="S11" s="86" t="s">
        <v>441</v>
      </c>
      <c r="T11" s="177">
        <v>45514</v>
      </c>
      <c r="U11" s="86"/>
      <c r="V11" s="86"/>
      <c r="W11" s="86"/>
      <c r="X11" s="86"/>
    </row>
  </sheetData>
  <autoFilter ref="A1:Y1" xr:uid="{943457D4-1439-4484-90F4-92F908970FCB}"/>
  <hyperlinks>
    <hyperlink ref="N2" r:id="rId1" xr:uid="{41F2CE87-EEA8-40D0-B4A1-4F87FA98DF44}"/>
    <hyperlink ref="N3" r:id="rId2" xr:uid="{B375397A-7D52-48F4-8253-E5362D9D6A0D}"/>
    <hyperlink ref="N4" r:id="rId3" xr:uid="{1C9EFBF6-D2FE-4A77-A5B2-33E44B05C700}"/>
    <hyperlink ref="D5" r:id="rId4" display="45599" xr:uid="{D0397832-FF00-4D21-8D71-97C571B0DFE4}"/>
    <hyperlink ref="N6" r:id="rId5" xr:uid="{21C6709C-1FE7-4733-9B2C-10BA57E49804}"/>
    <hyperlink ref="N7" r:id="rId6" xr:uid="{4691CD19-2EA0-453C-BB82-47CD39F088AA}"/>
    <hyperlink ref="N10" r:id="rId7" xr:uid="{A27B0F3C-BDF4-4A1C-B03B-0AFF212A4A1A}"/>
    <hyperlink ref="N9" r:id="rId8" xr:uid="{0FBD9DE2-0759-4087-9862-E78C6B0BDB34}"/>
    <hyperlink ref="N11" r:id="rId9" xr:uid="{64EF778B-1002-4A57-A634-C458785DE4C4}"/>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FAE3-EAF8-41B7-9B99-75352F084CD0}">
  <dimension ref="A1:K7"/>
  <sheetViews>
    <sheetView workbookViewId="0">
      <selection activeCell="F10" sqref="F10"/>
    </sheetView>
  </sheetViews>
  <sheetFormatPr defaultRowHeight="12.75"/>
  <cols>
    <col min="1" max="1" width="9.140625" style="133"/>
    <col min="2" max="2" width="11.85546875" style="133" customWidth="1"/>
    <col min="3" max="3" width="13.5703125" style="133" customWidth="1"/>
    <col min="4" max="5" width="9.140625" style="133"/>
    <col min="6" max="6" width="49.5703125" style="168" customWidth="1"/>
    <col min="7" max="7" width="9.140625" style="133"/>
    <col min="8" max="8" width="11.7109375" style="133" customWidth="1"/>
    <col min="9" max="9" width="13.5703125" style="133" customWidth="1"/>
    <col min="10" max="10" width="13.42578125" style="133" customWidth="1"/>
    <col min="11" max="11" width="19.42578125" style="133" customWidth="1"/>
    <col min="12" max="16384" width="9.140625" style="168"/>
  </cols>
  <sheetData>
    <row r="1" spans="1:11" ht="27">
      <c r="A1" s="88" t="s">
        <v>243</v>
      </c>
      <c r="B1" s="88" t="s">
        <v>11</v>
      </c>
      <c r="C1" s="88" t="s">
        <v>297</v>
      </c>
      <c r="D1" s="88" t="s">
        <v>245</v>
      </c>
      <c r="E1" s="88" t="s">
        <v>299</v>
      </c>
      <c r="F1" s="186" t="s">
        <v>300</v>
      </c>
      <c r="G1" s="88" t="s">
        <v>301</v>
      </c>
      <c r="H1" s="88" t="s">
        <v>303</v>
      </c>
      <c r="I1" s="88" t="s">
        <v>248</v>
      </c>
      <c r="J1" s="187" t="s">
        <v>305</v>
      </c>
      <c r="K1" s="188" t="s">
        <v>269</v>
      </c>
    </row>
    <row r="2" spans="1:11" s="86" customFormat="1" ht="23.25">
      <c r="A2" s="127">
        <v>1</v>
      </c>
      <c r="B2" s="127" t="s">
        <v>60</v>
      </c>
      <c r="C2" s="127">
        <v>23071</v>
      </c>
      <c r="D2" s="127" t="s">
        <v>634</v>
      </c>
      <c r="E2" s="127" t="s">
        <v>715</v>
      </c>
      <c r="F2" s="86" t="s">
        <v>1185</v>
      </c>
      <c r="G2" s="127" t="s">
        <v>335</v>
      </c>
      <c r="H2" s="127" t="s">
        <v>371</v>
      </c>
      <c r="I2" s="185" t="s">
        <v>13</v>
      </c>
      <c r="J2" s="127" t="s">
        <v>1148</v>
      </c>
      <c r="K2" s="127" t="s">
        <v>338</v>
      </c>
    </row>
    <row r="3" spans="1:11" s="86" customFormat="1" ht="23.25">
      <c r="A3" s="127">
        <v>2</v>
      </c>
      <c r="B3" s="127" t="s">
        <v>60</v>
      </c>
      <c r="C3" s="127">
        <v>23684</v>
      </c>
      <c r="D3" s="127" t="s">
        <v>275</v>
      </c>
      <c r="E3" s="127" t="s">
        <v>715</v>
      </c>
      <c r="F3" s="176" t="s">
        <v>1169</v>
      </c>
      <c r="G3" s="127" t="s">
        <v>1186</v>
      </c>
      <c r="H3" s="127" t="s">
        <v>1187</v>
      </c>
      <c r="I3" s="185" t="s">
        <v>13</v>
      </c>
      <c r="J3" s="127" t="s">
        <v>1188</v>
      </c>
      <c r="K3" s="127" t="s">
        <v>338</v>
      </c>
    </row>
    <row r="4" spans="1:11" s="86" customFormat="1" ht="35.25">
      <c r="A4" s="127">
        <v>3</v>
      </c>
      <c r="B4" s="127" t="s">
        <v>1189</v>
      </c>
      <c r="C4" s="127">
        <v>23575</v>
      </c>
      <c r="D4" s="127" t="s">
        <v>275</v>
      </c>
      <c r="E4" s="127" t="s">
        <v>715</v>
      </c>
      <c r="F4" s="86" t="s">
        <v>1166</v>
      </c>
      <c r="G4" s="127" t="s">
        <v>335</v>
      </c>
      <c r="H4" s="127" t="s">
        <v>1187</v>
      </c>
      <c r="I4" s="127" t="s">
        <v>1127</v>
      </c>
      <c r="J4" s="127" t="s">
        <v>1188</v>
      </c>
      <c r="K4" s="127" t="s">
        <v>1127</v>
      </c>
    </row>
    <row r="5" spans="1:11" s="86" customFormat="1" ht="23.25">
      <c r="A5" s="127">
        <v>4</v>
      </c>
      <c r="B5" s="127" t="s">
        <v>1189</v>
      </c>
      <c r="C5" s="127">
        <v>23672</v>
      </c>
      <c r="D5" s="127" t="s">
        <v>275</v>
      </c>
      <c r="E5" s="127" t="s">
        <v>715</v>
      </c>
      <c r="F5" s="61" t="s">
        <v>1167</v>
      </c>
      <c r="G5" s="127" t="s">
        <v>1190</v>
      </c>
      <c r="H5" s="127" t="s">
        <v>1187</v>
      </c>
      <c r="I5" s="127" t="s">
        <v>1070</v>
      </c>
      <c r="J5" s="127" t="s">
        <v>1188</v>
      </c>
      <c r="K5" s="127" t="s">
        <v>1070</v>
      </c>
    </row>
    <row r="6" spans="1:11" s="86" customFormat="1" ht="23.25">
      <c r="A6" s="136">
        <v>5</v>
      </c>
      <c r="B6" s="136" t="s">
        <v>1189</v>
      </c>
      <c r="C6" s="136">
        <v>23840</v>
      </c>
      <c r="D6" s="136" t="s">
        <v>275</v>
      </c>
      <c r="E6" s="136" t="s">
        <v>715</v>
      </c>
      <c r="F6" s="141" t="s">
        <v>1165</v>
      </c>
      <c r="G6" s="136" t="s">
        <v>1190</v>
      </c>
      <c r="H6" s="136" t="s">
        <v>1187</v>
      </c>
      <c r="I6" s="136" t="s">
        <v>1070</v>
      </c>
      <c r="J6" s="136" t="s">
        <v>1148</v>
      </c>
      <c r="K6" s="136" t="s">
        <v>1070</v>
      </c>
    </row>
    <row r="7" spans="1:11" ht="35.25">
      <c r="A7" s="127">
        <v>6</v>
      </c>
      <c r="B7" s="127" t="s">
        <v>60</v>
      </c>
      <c r="C7" s="127">
        <v>23670</v>
      </c>
      <c r="D7" s="127" t="s">
        <v>275</v>
      </c>
      <c r="E7" s="127" t="s">
        <v>715</v>
      </c>
      <c r="F7" s="86" t="s">
        <v>1183</v>
      </c>
      <c r="G7" s="127" t="s">
        <v>1190</v>
      </c>
      <c r="H7" s="127" t="s">
        <v>1187</v>
      </c>
      <c r="I7" s="185" t="s">
        <v>13</v>
      </c>
      <c r="J7" s="127" t="s">
        <v>1188</v>
      </c>
      <c r="K7" s="127" t="s">
        <v>338</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57D4-1439-4484-90F4-92F908970FCB}">
  <dimension ref="A1:X15"/>
  <sheetViews>
    <sheetView workbookViewId="0">
      <selection activeCell="L12" sqref="L12"/>
    </sheetView>
  </sheetViews>
  <sheetFormatPr defaultRowHeight="12.75"/>
  <cols>
    <col min="1" max="1" width="5.42578125" style="48" bestFit="1" customWidth="1"/>
    <col min="2" max="2" width="11.85546875" style="133" customWidth="1"/>
    <col min="3" max="3" width="10.140625" style="48" bestFit="1" customWidth="1"/>
    <col min="4" max="4" width="10" style="48" customWidth="1"/>
    <col min="5" max="5" width="95" bestFit="1" customWidth="1"/>
    <col min="6" max="6" width="10.140625" style="48" bestFit="1" customWidth="1"/>
    <col min="7" max="7" width="10.140625" style="48" customWidth="1"/>
    <col min="8" max="8" width="9.140625" style="48"/>
    <col min="9" max="9" width="14.7109375" style="48" customWidth="1"/>
    <col min="10" max="10" width="14.42578125" style="48" customWidth="1"/>
    <col min="11" max="11" width="12.42578125" style="48" customWidth="1"/>
    <col min="12" max="12" width="10.140625" style="48" customWidth="1"/>
    <col min="13" max="13" width="24" style="48" customWidth="1"/>
    <col min="14" max="14" width="45.5703125" style="43" customWidth="1"/>
    <col min="15" max="16" width="9.42578125" style="48" bestFit="1" customWidth="1"/>
    <col min="17" max="17" width="9.140625" style="48"/>
    <col min="18" max="18" width="9.140625" style="150"/>
    <col min="19" max="19" width="9.140625" style="48"/>
    <col min="20" max="20" width="9.42578125" style="48" bestFit="1" customWidth="1"/>
    <col min="21" max="21" width="9.140625" style="48"/>
    <col min="22" max="22" width="18.28515625" style="48" customWidth="1"/>
    <col min="23" max="23" width="59.5703125" customWidth="1"/>
    <col min="24" max="24" width="50.5703125" customWidth="1"/>
  </cols>
  <sheetData>
    <row r="1" spans="1:24" s="48" customFormat="1" ht="48">
      <c r="A1" s="82" t="s">
        <v>243</v>
      </c>
      <c r="B1" s="82" t="s">
        <v>244</v>
      </c>
      <c r="C1" s="82" t="s">
        <v>245</v>
      </c>
      <c r="D1" s="82" t="s">
        <v>246</v>
      </c>
      <c r="E1" s="167" t="s">
        <v>247</v>
      </c>
      <c r="F1" s="82" t="s">
        <v>248</v>
      </c>
      <c r="G1" s="82" t="s">
        <v>966</v>
      </c>
      <c r="H1" s="82" t="s">
        <v>967</v>
      </c>
      <c r="I1" s="82" t="s">
        <v>254</v>
      </c>
      <c r="J1" s="82" t="s">
        <v>255</v>
      </c>
      <c r="K1" s="82" t="s">
        <v>256</v>
      </c>
      <c r="L1" s="82" t="s">
        <v>257</v>
      </c>
      <c r="M1" s="82" t="s">
        <v>258</v>
      </c>
      <c r="N1" s="82" t="s">
        <v>259</v>
      </c>
      <c r="O1" s="82" t="s">
        <v>260</v>
      </c>
      <c r="P1" s="82" t="s">
        <v>261</v>
      </c>
      <c r="Q1" s="152" t="s">
        <v>262</v>
      </c>
      <c r="R1" s="82" t="s">
        <v>263</v>
      </c>
      <c r="S1" s="153" t="s">
        <v>264</v>
      </c>
      <c r="T1" s="82" t="s">
        <v>265</v>
      </c>
      <c r="U1" s="82" t="s">
        <v>263</v>
      </c>
      <c r="V1" s="82" t="s">
        <v>267</v>
      </c>
      <c r="W1" s="82" t="s">
        <v>268</v>
      </c>
      <c r="X1" s="154" t="s">
        <v>269</v>
      </c>
    </row>
    <row r="2" spans="1:24" ht="24">
      <c r="A2" s="127">
        <v>1</v>
      </c>
      <c r="B2" s="3" t="s">
        <v>1191</v>
      </c>
      <c r="C2" s="127" t="s">
        <v>275</v>
      </c>
      <c r="D2" s="155">
        <v>23683</v>
      </c>
      <c r="E2" s="166" t="s">
        <v>1192</v>
      </c>
      <c r="F2" s="170" t="s">
        <v>13</v>
      </c>
      <c r="G2" s="127">
        <v>1</v>
      </c>
      <c r="H2" s="127">
        <v>1</v>
      </c>
      <c r="I2" s="127" t="s">
        <v>13</v>
      </c>
      <c r="J2" s="127" t="s">
        <v>1019</v>
      </c>
      <c r="K2" s="127"/>
      <c r="L2" s="127" t="s">
        <v>1019</v>
      </c>
      <c r="M2" s="83"/>
      <c r="N2" s="132" t="s">
        <v>1193</v>
      </c>
      <c r="O2" s="134">
        <v>45499</v>
      </c>
      <c r="P2" s="134">
        <v>45499</v>
      </c>
      <c r="Q2" s="157" t="s">
        <v>287</v>
      </c>
      <c r="R2" s="163"/>
      <c r="S2" s="156" t="s">
        <v>441</v>
      </c>
      <c r="T2" s="134">
        <v>45503</v>
      </c>
      <c r="U2" s="127"/>
      <c r="V2" s="127"/>
      <c r="W2" s="86"/>
      <c r="X2" s="86"/>
    </row>
    <row r="3" spans="1:24" ht="14.25">
      <c r="A3" s="127">
        <v>2</v>
      </c>
      <c r="B3" s="3" t="s">
        <v>1194</v>
      </c>
      <c r="C3" s="157" t="s">
        <v>272</v>
      </c>
      <c r="D3" s="157">
        <v>23669</v>
      </c>
      <c r="E3" s="166" t="s">
        <v>1195</v>
      </c>
      <c r="F3" s="170" t="s">
        <v>13</v>
      </c>
      <c r="G3" s="127">
        <v>2</v>
      </c>
      <c r="H3" s="127">
        <v>2</v>
      </c>
      <c r="I3" s="127" t="s">
        <v>541</v>
      </c>
      <c r="J3" s="127" t="s">
        <v>541</v>
      </c>
      <c r="K3" s="127" t="s">
        <v>541</v>
      </c>
      <c r="L3" s="127" t="s">
        <v>541</v>
      </c>
      <c r="M3" s="83" t="s">
        <v>541</v>
      </c>
      <c r="N3" s="127" t="s">
        <v>541</v>
      </c>
      <c r="O3" s="127" t="s">
        <v>541</v>
      </c>
      <c r="P3" s="127"/>
      <c r="Q3" s="157" t="s">
        <v>541</v>
      </c>
      <c r="R3" s="127" t="s">
        <v>541</v>
      </c>
      <c r="S3" s="156" t="s">
        <v>541</v>
      </c>
      <c r="T3" s="127"/>
      <c r="U3" s="127"/>
      <c r="V3" s="127"/>
      <c r="W3" s="86"/>
      <c r="X3" s="86"/>
    </row>
    <row r="4" spans="1:24" s="99" customFormat="1">
      <c r="A4" s="127">
        <v>3</v>
      </c>
      <c r="B4" s="3" t="s">
        <v>58</v>
      </c>
      <c r="C4" s="127" t="s">
        <v>272</v>
      </c>
      <c r="D4" s="158">
        <v>23671</v>
      </c>
      <c r="E4" s="86" t="s">
        <v>1196</v>
      </c>
      <c r="F4" s="170" t="s">
        <v>13</v>
      </c>
      <c r="G4" s="127">
        <v>1</v>
      </c>
      <c r="H4" s="127">
        <v>1</v>
      </c>
      <c r="I4" s="127" t="s">
        <v>541</v>
      </c>
      <c r="J4" s="127" t="s">
        <v>541</v>
      </c>
      <c r="K4" s="127" t="s">
        <v>541</v>
      </c>
      <c r="L4" s="127" t="s">
        <v>541</v>
      </c>
      <c r="M4" s="83" t="s">
        <v>541</v>
      </c>
      <c r="N4" s="127" t="s">
        <v>541</v>
      </c>
      <c r="O4" s="127" t="s">
        <v>541</v>
      </c>
      <c r="P4" s="127"/>
      <c r="Q4" s="157" t="s">
        <v>541</v>
      </c>
      <c r="R4" s="127" t="s">
        <v>541</v>
      </c>
      <c r="S4" s="156" t="s">
        <v>541</v>
      </c>
      <c r="T4" s="127"/>
      <c r="U4" s="127"/>
      <c r="V4" s="127"/>
      <c r="W4" s="104"/>
      <c r="X4" s="104"/>
    </row>
    <row r="5" spans="1:24" ht="24">
      <c r="A5" s="127">
        <v>4</v>
      </c>
      <c r="B5" s="3" t="s">
        <v>1191</v>
      </c>
      <c r="C5" s="157" t="s">
        <v>275</v>
      </c>
      <c r="D5" s="157">
        <v>23674</v>
      </c>
      <c r="E5" s="166" t="s">
        <v>1197</v>
      </c>
      <c r="F5" s="170" t="s">
        <v>13</v>
      </c>
      <c r="G5" s="127">
        <v>1</v>
      </c>
      <c r="H5" s="127">
        <v>1</v>
      </c>
      <c r="I5" s="127" t="s">
        <v>13</v>
      </c>
      <c r="J5" s="127" t="s">
        <v>1019</v>
      </c>
      <c r="K5" s="127"/>
      <c r="L5" s="127" t="s">
        <v>1019</v>
      </c>
      <c r="M5" s="83"/>
      <c r="N5" s="159" t="s">
        <v>1198</v>
      </c>
      <c r="O5" s="134">
        <v>45499</v>
      </c>
      <c r="P5" s="134">
        <v>45499</v>
      </c>
      <c r="Q5" s="157" t="s">
        <v>287</v>
      </c>
      <c r="R5" s="163"/>
      <c r="S5" s="156" t="s">
        <v>441</v>
      </c>
      <c r="T5" s="134">
        <v>45503</v>
      </c>
      <c r="U5" s="127"/>
      <c r="V5" s="127"/>
      <c r="W5" s="86"/>
      <c r="X5" s="86"/>
    </row>
    <row r="6" spans="1:24" ht="24">
      <c r="A6" s="127">
        <v>5</v>
      </c>
      <c r="B6" s="3" t="s">
        <v>1191</v>
      </c>
      <c r="C6" s="157" t="s">
        <v>275</v>
      </c>
      <c r="D6" s="157">
        <v>23720</v>
      </c>
      <c r="E6" s="166" t="s">
        <v>1199</v>
      </c>
      <c r="F6" s="170" t="s">
        <v>13</v>
      </c>
      <c r="G6" s="127">
        <v>1</v>
      </c>
      <c r="H6" s="127">
        <v>1</v>
      </c>
      <c r="I6" s="127" t="s">
        <v>13</v>
      </c>
      <c r="J6" s="127" t="s">
        <v>1019</v>
      </c>
      <c r="K6" s="127"/>
      <c r="L6" s="127" t="s">
        <v>1019</v>
      </c>
      <c r="M6" s="83"/>
      <c r="N6" s="160" t="s">
        <v>1200</v>
      </c>
      <c r="O6" s="134">
        <v>45503</v>
      </c>
      <c r="P6" s="134">
        <v>45503</v>
      </c>
      <c r="Q6" s="157" t="s">
        <v>287</v>
      </c>
      <c r="R6" s="163"/>
      <c r="S6" s="156" t="s">
        <v>441</v>
      </c>
      <c r="T6" s="134">
        <v>45503</v>
      </c>
      <c r="U6" s="136"/>
      <c r="V6" s="136"/>
      <c r="W6" s="138"/>
      <c r="X6" s="138"/>
    </row>
    <row r="7" spans="1:24" ht="24">
      <c r="A7" s="127">
        <v>6</v>
      </c>
      <c r="B7" s="3" t="s">
        <v>1191</v>
      </c>
      <c r="C7" s="127" t="s">
        <v>275</v>
      </c>
      <c r="D7" s="151">
        <v>23721</v>
      </c>
      <c r="E7" s="86" t="s">
        <v>1201</v>
      </c>
      <c r="F7" s="170" t="s">
        <v>13</v>
      </c>
      <c r="G7" s="127">
        <v>1</v>
      </c>
      <c r="H7" s="127">
        <v>1</v>
      </c>
      <c r="I7" s="127" t="s">
        <v>13</v>
      </c>
      <c r="J7" s="127" t="s">
        <v>1019</v>
      </c>
      <c r="K7" s="127"/>
      <c r="L7" s="127" t="s">
        <v>1019</v>
      </c>
      <c r="M7" s="83"/>
      <c r="N7" s="132" t="s">
        <v>1202</v>
      </c>
      <c r="O7" s="134">
        <v>45503</v>
      </c>
      <c r="P7" s="134">
        <v>45503</v>
      </c>
      <c r="Q7" s="157" t="s">
        <v>287</v>
      </c>
      <c r="R7" s="163"/>
      <c r="S7" s="156" t="s">
        <v>441</v>
      </c>
      <c r="T7" s="134">
        <v>45503</v>
      </c>
      <c r="U7" s="127"/>
      <c r="V7" s="127"/>
      <c r="W7" s="86"/>
      <c r="X7" s="86"/>
    </row>
    <row r="8" spans="1:24" ht="24">
      <c r="A8" s="127">
        <v>7</v>
      </c>
      <c r="B8" s="3" t="s">
        <v>1191</v>
      </c>
      <c r="C8" s="127" t="s">
        <v>275</v>
      </c>
      <c r="D8" s="157">
        <v>23670</v>
      </c>
      <c r="E8" s="138" t="s">
        <v>1183</v>
      </c>
      <c r="F8" s="170" t="s">
        <v>13</v>
      </c>
      <c r="G8" s="127">
        <v>2</v>
      </c>
      <c r="H8" s="127">
        <v>2</v>
      </c>
      <c r="I8" s="127" t="s">
        <v>13</v>
      </c>
      <c r="J8" s="127" t="s">
        <v>1019</v>
      </c>
      <c r="K8" s="127"/>
      <c r="L8" s="127" t="s">
        <v>1019</v>
      </c>
      <c r="M8" s="83"/>
      <c r="N8" s="132" t="s">
        <v>1203</v>
      </c>
      <c r="O8" s="134">
        <v>45504</v>
      </c>
      <c r="P8" s="134">
        <v>45504</v>
      </c>
      <c r="Q8" s="157" t="s">
        <v>287</v>
      </c>
      <c r="R8" s="127"/>
      <c r="S8" s="156" t="s">
        <v>441</v>
      </c>
      <c r="T8" s="143">
        <v>45510</v>
      </c>
      <c r="U8" s="127"/>
      <c r="V8" s="127"/>
      <c r="W8" s="86"/>
      <c r="X8" s="86"/>
    </row>
    <row r="9" spans="1:24" ht="36">
      <c r="A9" s="136">
        <v>8</v>
      </c>
      <c r="B9" s="136" t="s">
        <v>58</v>
      </c>
      <c r="C9" s="136" t="s">
        <v>1019</v>
      </c>
      <c r="D9" s="155">
        <v>44937</v>
      </c>
      <c r="E9" s="86" t="s">
        <v>1204</v>
      </c>
      <c r="F9" s="170" t="s">
        <v>13</v>
      </c>
      <c r="G9" s="136">
        <v>5</v>
      </c>
      <c r="H9" s="136">
        <v>5</v>
      </c>
      <c r="I9" s="136" t="s">
        <v>13</v>
      </c>
      <c r="J9" s="136" t="s">
        <v>275</v>
      </c>
      <c r="K9" s="136"/>
      <c r="L9" s="136" t="s">
        <v>275</v>
      </c>
      <c r="M9" s="165" t="s">
        <v>1205</v>
      </c>
      <c r="N9" s="160" t="s">
        <v>1206</v>
      </c>
      <c r="O9" s="143">
        <v>45509</v>
      </c>
      <c r="P9" s="143">
        <v>45510</v>
      </c>
      <c r="Q9" s="155" t="s">
        <v>287</v>
      </c>
      <c r="R9" s="136"/>
      <c r="S9" s="161" t="s">
        <v>441</v>
      </c>
      <c r="T9" s="143">
        <v>45510</v>
      </c>
      <c r="U9" s="136"/>
      <c r="V9" s="136"/>
      <c r="W9" s="138"/>
      <c r="X9" s="138"/>
    </row>
    <row r="10" spans="1:24" ht="24">
      <c r="A10" s="136">
        <v>9</v>
      </c>
      <c r="B10" s="136" t="s">
        <v>58</v>
      </c>
      <c r="C10" s="136" t="s">
        <v>1019</v>
      </c>
      <c r="D10" s="155">
        <v>44912</v>
      </c>
      <c r="E10" s="86" t="s">
        <v>1207</v>
      </c>
      <c r="F10" s="170" t="s">
        <v>13</v>
      </c>
      <c r="G10" s="136">
        <v>5</v>
      </c>
      <c r="H10" s="136">
        <v>5</v>
      </c>
      <c r="I10" s="136" t="s">
        <v>13</v>
      </c>
      <c r="J10" s="136" t="s">
        <v>275</v>
      </c>
      <c r="K10" s="136"/>
      <c r="L10" s="136" t="s">
        <v>275</v>
      </c>
      <c r="M10" s="165" t="s">
        <v>1208</v>
      </c>
      <c r="N10" s="160" t="s">
        <v>1206</v>
      </c>
      <c r="O10" s="143">
        <v>45509</v>
      </c>
      <c r="P10" s="143">
        <v>45510</v>
      </c>
      <c r="Q10" s="155" t="s">
        <v>287</v>
      </c>
      <c r="R10" s="136"/>
      <c r="S10" s="161" t="s">
        <v>441</v>
      </c>
      <c r="T10" s="143">
        <v>45510</v>
      </c>
      <c r="U10" s="136"/>
      <c r="V10" s="136"/>
      <c r="W10" s="138"/>
      <c r="X10" s="138"/>
    </row>
    <row r="11" spans="1:24" ht="24">
      <c r="A11" s="136">
        <v>10</v>
      </c>
      <c r="B11" s="136" t="s">
        <v>1191</v>
      </c>
      <c r="C11" s="136" t="s">
        <v>1019</v>
      </c>
      <c r="D11" s="155">
        <v>44916</v>
      </c>
      <c r="E11" s="162" t="s">
        <v>1209</v>
      </c>
      <c r="F11" s="170" t="s">
        <v>13</v>
      </c>
      <c r="G11" s="136">
        <v>5</v>
      </c>
      <c r="H11" s="136">
        <v>5</v>
      </c>
      <c r="I11" s="136" t="s">
        <v>13</v>
      </c>
      <c r="J11" s="136" t="s">
        <v>275</v>
      </c>
      <c r="K11" s="136"/>
      <c r="L11" s="136" t="s">
        <v>275</v>
      </c>
      <c r="M11" s="165" t="s">
        <v>1208</v>
      </c>
      <c r="N11" s="160" t="s">
        <v>1210</v>
      </c>
      <c r="O11" s="143">
        <v>45511</v>
      </c>
      <c r="P11" s="143">
        <v>45511</v>
      </c>
      <c r="Q11" s="155" t="s">
        <v>287</v>
      </c>
      <c r="R11" s="136"/>
      <c r="S11" s="161" t="s">
        <v>441</v>
      </c>
      <c r="T11" s="143">
        <v>45511</v>
      </c>
      <c r="U11" s="136"/>
      <c r="V11" s="136"/>
      <c r="W11" s="138"/>
      <c r="X11" s="138"/>
    </row>
    <row r="12" spans="1:24" ht="24">
      <c r="A12" s="127">
        <v>11</v>
      </c>
      <c r="B12" s="127" t="s">
        <v>1191</v>
      </c>
      <c r="C12" s="127" t="s">
        <v>1019</v>
      </c>
      <c r="D12" s="127">
        <v>44917</v>
      </c>
      <c r="E12" s="164" t="s">
        <v>1178</v>
      </c>
      <c r="F12" s="169" t="s">
        <v>1093</v>
      </c>
      <c r="G12" s="127">
        <v>5</v>
      </c>
      <c r="H12" s="127">
        <v>2</v>
      </c>
      <c r="I12" s="127"/>
      <c r="J12" s="127"/>
      <c r="K12" s="127"/>
      <c r="L12" s="127"/>
      <c r="M12" s="83"/>
      <c r="N12" s="127"/>
      <c r="O12" s="127"/>
      <c r="P12" s="127"/>
      <c r="Q12" s="127"/>
      <c r="R12" s="127"/>
      <c r="S12" s="127"/>
      <c r="T12" s="127"/>
      <c r="U12" s="127"/>
      <c r="V12" s="127"/>
      <c r="W12" s="127"/>
      <c r="X12" s="86"/>
    </row>
    <row r="13" spans="1:24" ht="24">
      <c r="A13" s="127">
        <v>12</v>
      </c>
      <c r="B13" s="127" t="s">
        <v>1191</v>
      </c>
      <c r="C13" s="127" t="s">
        <v>287</v>
      </c>
      <c r="D13" s="127">
        <v>45477</v>
      </c>
      <c r="E13" s="162" t="s">
        <v>1211</v>
      </c>
      <c r="F13" s="169" t="s">
        <v>1093</v>
      </c>
      <c r="G13" s="127">
        <v>13</v>
      </c>
      <c r="H13" s="147"/>
      <c r="I13" s="127"/>
      <c r="J13" s="127"/>
      <c r="K13" s="127"/>
      <c r="L13" s="127"/>
      <c r="M13" s="83"/>
      <c r="N13" s="127"/>
      <c r="O13" s="127"/>
      <c r="P13" s="127"/>
      <c r="Q13" s="127"/>
      <c r="R13" s="127"/>
      <c r="S13" s="127"/>
      <c r="T13" s="127"/>
      <c r="U13" s="127"/>
      <c r="V13" s="127"/>
      <c r="W13" s="127"/>
      <c r="X13" s="86"/>
    </row>
    <row r="14" spans="1:24" ht="24">
      <c r="A14" s="136">
        <v>13</v>
      </c>
      <c r="B14" s="136" t="s">
        <v>1191</v>
      </c>
      <c r="C14" s="136" t="s">
        <v>275</v>
      </c>
      <c r="D14" s="136">
        <v>23684</v>
      </c>
      <c r="E14" s="171" t="s">
        <v>1169</v>
      </c>
      <c r="F14" s="172" t="s">
        <v>1093</v>
      </c>
      <c r="G14" s="136">
        <v>5</v>
      </c>
      <c r="H14" s="136">
        <v>2</v>
      </c>
      <c r="I14" s="136"/>
      <c r="J14" s="136"/>
      <c r="K14" s="136"/>
      <c r="L14" s="136"/>
      <c r="M14" s="165"/>
      <c r="N14" s="136"/>
      <c r="O14" s="136"/>
      <c r="P14" s="136"/>
      <c r="Q14" s="136"/>
      <c r="R14" s="136"/>
      <c r="S14" s="136"/>
      <c r="T14" s="136"/>
      <c r="U14" s="136"/>
      <c r="V14" s="136"/>
      <c r="W14" s="136"/>
      <c r="X14" s="138"/>
    </row>
    <row r="15" spans="1:24" ht="24">
      <c r="A15" s="89">
        <v>14</v>
      </c>
      <c r="B15" s="127" t="s">
        <v>1191</v>
      </c>
      <c r="C15" s="111" t="s">
        <v>287</v>
      </c>
      <c r="D15" s="83">
        <v>44934</v>
      </c>
      <c r="E15" s="67" t="s">
        <v>1212</v>
      </c>
      <c r="F15" s="173" t="s">
        <v>1213</v>
      </c>
      <c r="G15" s="127">
        <v>5</v>
      </c>
      <c r="H15" s="83">
        <v>5</v>
      </c>
      <c r="I15" s="83"/>
      <c r="J15" s="83"/>
      <c r="K15" s="83"/>
      <c r="L15" s="83"/>
      <c r="M15" s="83"/>
      <c r="N15" s="58"/>
      <c r="O15" s="83"/>
      <c r="P15" s="83"/>
      <c r="Q15" s="83"/>
      <c r="R15" s="83"/>
      <c r="S15" s="83"/>
      <c r="T15" s="83"/>
      <c r="U15" s="83"/>
      <c r="V15" s="83"/>
      <c r="W15" s="65"/>
      <c r="X15" s="67" t="s">
        <v>1214</v>
      </c>
    </row>
  </sheetData>
  <autoFilter ref="A1:Y1" xr:uid="{943457D4-1439-4484-90F4-92F908970FCB}"/>
  <hyperlinks>
    <hyperlink ref="N2" r:id="rId1" xr:uid="{8FFC13DD-DB1E-4F7D-A630-83142D59BAA8}"/>
    <hyperlink ref="N5" r:id="rId2" xr:uid="{BC42B9FF-D914-4AFD-B11F-860924C0CF3C}"/>
    <hyperlink ref="N6" r:id="rId3" xr:uid="{6EF97F11-384B-496E-9138-A30E23476937}"/>
    <hyperlink ref="N7" r:id="rId4" xr:uid="{F35B6B02-02CD-43DB-A21C-85A64F5D13CA}"/>
    <hyperlink ref="N8" r:id="rId5" xr:uid="{FF59C671-CC41-4D1B-B2F9-73EF87D54167}"/>
    <hyperlink ref="N9" r:id="rId6" xr:uid="{B0A1F564-9C52-4BA1-9BDD-7EE85BDD7129}"/>
    <hyperlink ref="N10" r:id="rId7" xr:uid="{231B08D5-BEED-4E22-95C7-F2D9D12143B0}"/>
    <hyperlink ref="N11" r:id="rId8" xr:uid="{2FD1428D-9355-406F-8AE3-F92C7A7DF959}"/>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7567-72D6-4C38-8C00-765377EAD711}">
  <dimension ref="A1:K9"/>
  <sheetViews>
    <sheetView workbookViewId="0">
      <selection activeCell="G2" sqref="G2:K2"/>
    </sheetView>
  </sheetViews>
  <sheetFormatPr defaultRowHeight="12.75"/>
  <cols>
    <col min="1" max="1" width="9.140625" style="133"/>
    <col min="2" max="2" width="11.85546875" style="133" customWidth="1"/>
    <col min="3" max="3" width="13.5703125" style="133" customWidth="1"/>
    <col min="4" max="5" width="9.140625" style="133"/>
    <col min="6" max="6" width="49.5703125" style="168" customWidth="1"/>
    <col min="7" max="7" width="9.140625" style="133"/>
    <col min="8" max="8" width="11.7109375" style="133" customWidth="1"/>
    <col min="9" max="9" width="13.5703125" style="133" customWidth="1"/>
    <col min="10" max="10" width="13.42578125" style="133" customWidth="1"/>
    <col min="11" max="11" width="19.42578125" style="133" customWidth="1"/>
    <col min="12" max="16384" width="9.140625" style="168"/>
  </cols>
  <sheetData>
    <row r="1" spans="1:11" ht="27">
      <c r="A1" s="1" t="s">
        <v>243</v>
      </c>
      <c r="B1" s="1" t="s">
        <v>11</v>
      </c>
      <c r="C1" s="1" t="s">
        <v>297</v>
      </c>
      <c r="D1" s="1" t="s">
        <v>245</v>
      </c>
      <c r="E1" s="1" t="s">
        <v>299</v>
      </c>
      <c r="F1" s="125" t="s">
        <v>300</v>
      </c>
      <c r="G1" s="1" t="s">
        <v>301</v>
      </c>
      <c r="H1" s="1" t="s">
        <v>303</v>
      </c>
      <c r="I1" s="1" t="s">
        <v>248</v>
      </c>
      <c r="J1" s="130" t="s">
        <v>305</v>
      </c>
      <c r="K1" s="131" t="s">
        <v>269</v>
      </c>
    </row>
    <row r="2" spans="1:11" ht="24">
      <c r="A2" s="127">
        <v>1</v>
      </c>
      <c r="B2" s="3" t="s">
        <v>1191</v>
      </c>
      <c r="C2" s="127">
        <v>23683</v>
      </c>
      <c r="D2" s="127" t="s">
        <v>275</v>
      </c>
      <c r="E2" s="127" t="s">
        <v>715</v>
      </c>
      <c r="F2" s="126" t="s">
        <v>1192</v>
      </c>
      <c r="G2" s="127" t="s">
        <v>335</v>
      </c>
      <c r="H2" s="127" t="s">
        <v>371</v>
      </c>
      <c r="I2" s="127" t="s">
        <v>13</v>
      </c>
      <c r="J2" s="127" t="s">
        <v>1148</v>
      </c>
      <c r="K2" s="127" t="s">
        <v>1215</v>
      </c>
    </row>
    <row r="3" spans="1:11" ht="24">
      <c r="A3" s="136">
        <v>2</v>
      </c>
      <c r="B3" s="3" t="s">
        <v>1191</v>
      </c>
      <c r="C3" s="89">
        <v>23674</v>
      </c>
      <c r="D3" s="127" t="s">
        <v>275</v>
      </c>
      <c r="E3" s="127" t="s">
        <v>715</v>
      </c>
      <c r="F3" s="126" t="s">
        <v>1197</v>
      </c>
      <c r="G3" s="127" t="s">
        <v>335</v>
      </c>
      <c r="H3" s="127" t="s">
        <v>371</v>
      </c>
      <c r="I3" s="127" t="s">
        <v>13</v>
      </c>
      <c r="J3" s="127" t="s">
        <v>1148</v>
      </c>
      <c r="K3" s="127" t="s">
        <v>1215</v>
      </c>
    </row>
    <row r="4" spans="1:11" ht="24">
      <c r="A4" s="127">
        <v>3</v>
      </c>
      <c r="B4" s="3" t="s">
        <v>1191</v>
      </c>
      <c r="C4" s="89">
        <v>23720</v>
      </c>
      <c r="D4" s="127" t="s">
        <v>275</v>
      </c>
      <c r="E4" s="127" t="s">
        <v>715</v>
      </c>
      <c r="F4" s="126" t="s">
        <v>1199</v>
      </c>
      <c r="G4" s="127" t="s">
        <v>1186</v>
      </c>
      <c r="H4" s="127" t="s">
        <v>311</v>
      </c>
      <c r="I4" s="127" t="s">
        <v>13</v>
      </c>
      <c r="J4" s="127" t="s">
        <v>1148</v>
      </c>
      <c r="K4" s="127" t="s">
        <v>1215</v>
      </c>
    </row>
    <row r="5" spans="1:11" ht="24">
      <c r="A5" s="136">
        <v>4</v>
      </c>
      <c r="B5" s="3" t="s">
        <v>1191</v>
      </c>
      <c r="C5" s="158">
        <v>23721</v>
      </c>
      <c r="D5" s="136" t="s">
        <v>275</v>
      </c>
      <c r="E5" s="136" t="s">
        <v>715</v>
      </c>
      <c r="F5" s="137" t="s">
        <v>1201</v>
      </c>
      <c r="G5" s="136" t="s">
        <v>1186</v>
      </c>
      <c r="H5" s="136" t="s">
        <v>311</v>
      </c>
      <c r="I5" s="136" t="s">
        <v>13</v>
      </c>
      <c r="J5" s="136" t="s">
        <v>1148</v>
      </c>
      <c r="K5" s="136" t="s">
        <v>1215</v>
      </c>
    </row>
    <row r="6" spans="1:11" ht="36">
      <c r="A6" s="127">
        <v>5</v>
      </c>
      <c r="B6" s="33" t="s">
        <v>1216</v>
      </c>
      <c r="C6" s="127">
        <v>23670</v>
      </c>
      <c r="D6" s="127" t="s">
        <v>275</v>
      </c>
      <c r="E6" s="127" t="s">
        <v>715</v>
      </c>
      <c r="F6" s="126" t="s">
        <v>1183</v>
      </c>
      <c r="G6" s="127" t="s">
        <v>335</v>
      </c>
      <c r="H6" s="127" t="s">
        <v>371</v>
      </c>
      <c r="I6" s="127" t="s">
        <v>13</v>
      </c>
      <c r="J6" s="127" t="s">
        <v>1188</v>
      </c>
      <c r="K6" s="169" t="s">
        <v>1217</v>
      </c>
    </row>
    <row r="7" spans="1:11" ht="24">
      <c r="A7" s="127">
        <v>6</v>
      </c>
      <c r="B7" s="33" t="s">
        <v>58</v>
      </c>
      <c r="C7" s="33">
        <v>23669</v>
      </c>
      <c r="D7" s="127" t="s">
        <v>272</v>
      </c>
      <c r="E7" s="127" t="s">
        <v>715</v>
      </c>
      <c r="F7" s="126" t="s">
        <v>1195</v>
      </c>
      <c r="G7" s="127" t="s">
        <v>335</v>
      </c>
      <c r="H7" s="127" t="s">
        <v>371</v>
      </c>
      <c r="I7" s="127" t="s">
        <v>13</v>
      </c>
      <c r="J7" s="127" t="s">
        <v>1188</v>
      </c>
      <c r="K7" s="136" t="s">
        <v>1215</v>
      </c>
    </row>
    <row r="8" spans="1:11" ht="24">
      <c r="A8" s="127">
        <v>7</v>
      </c>
      <c r="B8" s="33" t="s">
        <v>58</v>
      </c>
      <c r="C8" s="127">
        <v>23671</v>
      </c>
      <c r="D8" s="127" t="s">
        <v>272</v>
      </c>
      <c r="E8" s="127" t="s">
        <v>715</v>
      </c>
      <c r="F8" s="86" t="s">
        <v>1196</v>
      </c>
      <c r="G8" s="127" t="s">
        <v>335</v>
      </c>
      <c r="H8" s="127" t="s">
        <v>371</v>
      </c>
      <c r="I8" s="127" t="s">
        <v>13</v>
      </c>
      <c r="J8" s="127" t="s">
        <v>1188</v>
      </c>
      <c r="K8" s="136" t="s">
        <v>1215</v>
      </c>
    </row>
    <row r="9" spans="1:11" ht="24">
      <c r="A9" s="127">
        <v>8</v>
      </c>
      <c r="B9" s="33" t="s">
        <v>1216</v>
      </c>
      <c r="C9" s="127">
        <v>23684</v>
      </c>
      <c r="D9" s="127" t="s">
        <v>275</v>
      </c>
      <c r="E9" s="127" t="s">
        <v>715</v>
      </c>
      <c r="F9" s="86" t="s">
        <v>1169</v>
      </c>
      <c r="G9" s="127" t="s">
        <v>335</v>
      </c>
      <c r="H9" s="127" t="s">
        <v>371</v>
      </c>
      <c r="I9" s="127" t="s">
        <v>628</v>
      </c>
      <c r="J9" s="157" t="s">
        <v>1188</v>
      </c>
      <c r="K9" s="127" t="s">
        <v>1218</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96F5B-6FBC-402B-B78C-118081FE1868}">
  <dimension ref="A1:X14"/>
  <sheetViews>
    <sheetView topLeftCell="A5" workbookViewId="0">
      <selection activeCell="E2" sqref="E2"/>
    </sheetView>
  </sheetViews>
  <sheetFormatPr defaultRowHeight="12.75"/>
  <cols>
    <col min="1" max="1" width="9.140625" style="48"/>
    <col min="2" max="2" width="11.85546875" style="133" customWidth="1"/>
    <col min="3" max="3" width="12.5703125" style="48" bestFit="1" customWidth="1"/>
    <col min="4" max="4" width="12.42578125" style="48" customWidth="1"/>
    <col min="5" max="5" width="95" bestFit="1" customWidth="1"/>
    <col min="6" max="6" width="17" style="48" customWidth="1"/>
    <col min="7" max="7" width="10.140625" style="48" customWidth="1"/>
    <col min="8" max="8" width="9.140625" style="48"/>
    <col min="9" max="9" width="10.140625" style="48" bestFit="1" customWidth="1"/>
    <col min="10" max="10" width="14.42578125" style="48" customWidth="1"/>
    <col min="11" max="11" width="12.42578125" style="48" customWidth="1"/>
    <col min="12" max="12" width="10.140625" style="48" customWidth="1"/>
    <col min="13" max="13" width="24" style="48" customWidth="1"/>
    <col min="14" max="14" width="38.85546875" customWidth="1"/>
    <col min="15" max="16" width="9.42578125" style="48" bestFit="1" customWidth="1"/>
    <col min="17" max="19" width="9.140625" style="48"/>
    <col min="20" max="20" width="9.42578125" style="48" bestFit="1" customWidth="1"/>
    <col min="21" max="21" width="9.140625" style="48"/>
    <col min="22" max="22" width="18.28515625" style="48" customWidth="1"/>
    <col min="23" max="23" width="59.5703125" customWidth="1"/>
    <col min="24" max="24" width="50.5703125" customWidth="1"/>
  </cols>
  <sheetData>
    <row r="1" spans="1:24" s="124" customFormat="1" ht="53.25">
      <c r="A1" s="1" t="s">
        <v>243</v>
      </c>
      <c r="B1" s="1" t="s">
        <v>244</v>
      </c>
      <c r="C1" s="1" t="s">
        <v>245</v>
      </c>
      <c r="D1" s="1" t="s">
        <v>246</v>
      </c>
      <c r="E1" s="123" t="s">
        <v>247</v>
      </c>
      <c r="F1" s="1" t="s">
        <v>248</v>
      </c>
      <c r="G1" s="1" t="s">
        <v>966</v>
      </c>
      <c r="H1" s="1" t="s">
        <v>967</v>
      </c>
      <c r="I1" s="1" t="s">
        <v>254</v>
      </c>
      <c r="J1" s="1" t="s">
        <v>255</v>
      </c>
      <c r="K1" s="1" t="s">
        <v>256</v>
      </c>
      <c r="L1" s="1" t="s">
        <v>257</v>
      </c>
      <c r="M1" s="1" t="s">
        <v>258</v>
      </c>
      <c r="N1" s="123" t="s">
        <v>259</v>
      </c>
      <c r="O1" s="1" t="s">
        <v>260</v>
      </c>
      <c r="P1" s="1" t="s">
        <v>261</v>
      </c>
      <c r="Q1" s="1" t="s">
        <v>262</v>
      </c>
      <c r="R1" s="1" t="s">
        <v>263</v>
      </c>
      <c r="S1" s="1" t="s">
        <v>264</v>
      </c>
      <c r="T1" s="1" t="s">
        <v>265</v>
      </c>
      <c r="U1" s="1" t="s">
        <v>263</v>
      </c>
      <c r="V1" s="1" t="s">
        <v>267</v>
      </c>
      <c r="W1" s="1" t="s">
        <v>268</v>
      </c>
      <c r="X1" s="131" t="s">
        <v>269</v>
      </c>
    </row>
    <row r="2" spans="1:24" ht="36">
      <c r="A2" s="127">
        <v>1</v>
      </c>
      <c r="B2" s="33" t="s">
        <v>56</v>
      </c>
      <c r="C2" s="127" t="s">
        <v>275</v>
      </c>
      <c r="D2" s="127">
        <v>45027</v>
      </c>
      <c r="E2" s="86" t="s">
        <v>1219</v>
      </c>
      <c r="F2" s="127" t="s">
        <v>13</v>
      </c>
      <c r="G2" s="127">
        <v>5</v>
      </c>
      <c r="H2" s="127">
        <v>5</v>
      </c>
      <c r="I2" s="127" t="s">
        <v>13</v>
      </c>
      <c r="J2" s="127" t="s">
        <v>1019</v>
      </c>
      <c r="K2" s="127"/>
      <c r="L2" s="127" t="s">
        <v>1019</v>
      </c>
      <c r="M2" s="127"/>
      <c r="N2" s="132" t="s">
        <v>1220</v>
      </c>
      <c r="O2" s="134">
        <v>45490</v>
      </c>
      <c r="P2" s="134">
        <v>45490</v>
      </c>
      <c r="Q2" s="127" t="s">
        <v>287</v>
      </c>
      <c r="R2" s="127" t="s">
        <v>1221</v>
      </c>
      <c r="S2" s="127" t="s">
        <v>441</v>
      </c>
      <c r="T2" s="134">
        <v>45490</v>
      </c>
      <c r="U2" s="127" t="s">
        <v>1221</v>
      </c>
      <c r="V2" s="127"/>
      <c r="W2" s="86"/>
      <c r="X2" s="86"/>
    </row>
    <row r="3" spans="1:24">
      <c r="A3" s="127">
        <v>2</v>
      </c>
      <c r="B3" s="33" t="s">
        <v>56</v>
      </c>
      <c r="C3" s="127" t="s">
        <v>408</v>
      </c>
      <c r="D3" s="127">
        <v>45028</v>
      </c>
      <c r="E3" s="86" t="s">
        <v>1222</v>
      </c>
      <c r="F3" s="127" t="s">
        <v>13</v>
      </c>
      <c r="G3" s="127">
        <v>5</v>
      </c>
      <c r="H3" s="127">
        <v>5</v>
      </c>
      <c r="I3" s="127" t="s">
        <v>541</v>
      </c>
      <c r="J3" s="127" t="s">
        <v>541</v>
      </c>
      <c r="K3" s="127" t="s">
        <v>541</v>
      </c>
      <c r="L3" s="127" t="s">
        <v>541</v>
      </c>
      <c r="M3" s="127" t="s">
        <v>541</v>
      </c>
      <c r="N3" s="127" t="s">
        <v>541</v>
      </c>
      <c r="O3" s="127" t="s">
        <v>541</v>
      </c>
      <c r="P3" s="127" t="s">
        <v>541</v>
      </c>
      <c r="Q3" s="127" t="s">
        <v>541</v>
      </c>
      <c r="R3" s="127" t="s">
        <v>541</v>
      </c>
      <c r="S3" s="127" t="s">
        <v>541</v>
      </c>
      <c r="T3" s="127" t="s">
        <v>541</v>
      </c>
      <c r="U3" s="127" t="s">
        <v>541</v>
      </c>
      <c r="V3" s="127"/>
      <c r="W3" s="86"/>
      <c r="X3" s="86"/>
    </row>
    <row r="4" spans="1:24" s="99" customFormat="1" ht="36">
      <c r="A4" s="127">
        <v>3</v>
      </c>
      <c r="B4" s="33" t="s">
        <v>56</v>
      </c>
      <c r="C4" s="127" t="s">
        <v>275</v>
      </c>
      <c r="D4" s="127">
        <v>45075</v>
      </c>
      <c r="E4" s="104" t="s">
        <v>1223</v>
      </c>
      <c r="F4" s="127" t="s">
        <v>13</v>
      </c>
      <c r="G4" s="127">
        <v>2</v>
      </c>
      <c r="H4" s="127">
        <v>2</v>
      </c>
      <c r="I4" s="127" t="s">
        <v>13</v>
      </c>
      <c r="J4" s="127" t="s">
        <v>634</v>
      </c>
      <c r="K4" s="127"/>
      <c r="L4" s="127" t="s">
        <v>634</v>
      </c>
      <c r="M4" s="127"/>
      <c r="N4" s="135" t="s">
        <v>1224</v>
      </c>
      <c r="O4" s="127"/>
      <c r="P4" s="127"/>
      <c r="Q4" s="127"/>
      <c r="R4" s="127"/>
      <c r="S4" s="127"/>
      <c r="T4" s="127"/>
      <c r="U4" s="127"/>
      <c r="V4" s="127"/>
      <c r="W4" s="104"/>
      <c r="X4" s="104" t="s">
        <v>1225</v>
      </c>
    </row>
    <row r="5" spans="1:24" ht="36">
      <c r="A5" s="127">
        <v>4</v>
      </c>
      <c r="B5" s="33" t="s">
        <v>1226</v>
      </c>
      <c r="C5" s="127" t="s">
        <v>408</v>
      </c>
      <c r="D5" s="127">
        <v>45414</v>
      </c>
      <c r="E5" s="86" t="s">
        <v>1227</v>
      </c>
      <c r="F5" s="127" t="s">
        <v>13</v>
      </c>
      <c r="G5" s="127">
        <v>2</v>
      </c>
      <c r="H5" s="127">
        <v>2</v>
      </c>
      <c r="I5" s="127" t="s">
        <v>541</v>
      </c>
      <c r="J5" s="127" t="s">
        <v>634</v>
      </c>
      <c r="K5" s="127" t="s">
        <v>541</v>
      </c>
      <c r="L5" s="127" t="s">
        <v>634</v>
      </c>
      <c r="M5" s="127" t="s">
        <v>541</v>
      </c>
      <c r="N5" s="135" t="s">
        <v>1224</v>
      </c>
      <c r="O5" s="134">
        <v>45497</v>
      </c>
      <c r="P5" s="134">
        <v>45497</v>
      </c>
      <c r="Q5" s="127" t="s">
        <v>634</v>
      </c>
      <c r="R5" s="127" t="s">
        <v>1221</v>
      </c>
      <c r="S5" s="127" t="s">
        <v>541</v>
      </c>
      <c r="T5" s="134">
        <v>45497</v>
      </c>
      <c r="U5" s="127" t="s">
        <v>1221</v>
      </c>
      <c r="V5" s="127" t="s">
        <v>541</v>
      </c>
      <c r="W5" s="86"/>
      <c r="X5" s="86"/>
    </row>
    <row r="6" spans="1:24" ht="24">
      <c r="A6" s="136">
        <v>5</v>
      </c>
      <c r="B6" s="136" t="s">
        <v>1228</v>
      </c>
      <c r="C6" s="136" t="s">
        <v>1019</v>
      </c>
      <c r="D6" s="136">
        <v>44238</v>
      </c>
      <c r="E6" s="137" t="s">
        <v>1229</v>
      </c>
      <c r="F6" s="136" t="s">
        <v>13</v>
      </c>
      <c r="G6" s="136">
        <v>2</v>
      </c>
      <c r="H6" s="136">
        <v>2</v>
      </c>
      <c r="I6" s="136"/>
      <c r="J6" s="136"/>
      <c r="K6" s="136"/>
      <c r="L6" s="136"/>
      <c r="M6" s="136"/>
      <c r="N6" s="138"/>
      <c r="O6" s="136"/>
      <c r="P6" s="136"/>
      <c r="Q6" s="136"/>
      <c r="R6" s="136"/>
      <c r="S6" s="136"/>
      <c r="T6" s="136"/>
      <c r="U6" s="136"/>
      <c r="V6" s="136"/>
      <c r="W6" s="138"/>
      <c r="X6" s="138"/>
    </row>
    <row r="7" spans="1:24" ht="36">
      <c r="A7" s="127">
        <v>6</v>
      </c>
      <c r="B7" s="127" t="s">
        <v>56</v>
      </c>
      <c r="C7" s="127" t="s">
        <v>1019</v>
      </c>
      <c r="D7" s="127">
        <v>23544</v>
      </c>
      <c r="E7" s="61" t="s">
        <v>1230</v>
      </c>
      <c r="F7" s="127" t="s">
        <v>13</v>
      </c>
      <c r="G7" s="127">
        <v>3</v>
      </c>
      <c r="H7" s="127">
        <v>3</v>
      </c>
      <c r="I7" s="127" t="s">
        <v>13</v>
      </c>
      <c r="J7" s="127" t="s">
        <v>275</v>
      </c>
      <c r="K7" s="127"/>
      <c r="L7" s="127" t="s">
        <v>275</v>
      </c>
      <c r="M7" s="127"/>
      <c r="N7" s="62" t="s">
        <v>1231</v>
      </c>
      <c r="O7" s="134">
        <v>45497</v>
      </c>
      <c r="P7" s="134">
        <v>45497</v>
      </c>
      <c r="Q7" s="127" t="s">
        <v>275</v>
      </c>
      <c r="R7" s="127" t="s">
        <v>1221</v>
      </c>
      <c r="S7" s="127" t="s">
        <v>441</v>
      </c>
      <c r="T7" s="134">
        <v>45497</v>
      </c>
      <c r="U7" s="127" t="s">
        <v>1221</v>
      </c>
      <c r="V7" s="127"/>
      <c r="W7" s="58"/>
      <c r="X7" s="58"/>
    </row>
    <row r="8" spans="1:24" ht="36">
      <c r="A8" s="127">
        <v>7</v>
      </c>
      <c r="B8" s="127" t="s">
        <v>1228</v>
      </c>
      <c r="C8" s="127" t="s">
        <v>1019</v>
      </c>
      <c r="D8" s="127">
        <v>23671</v>
      </c>
      <c r="E8" s="61" t="s">
        <v>1196</v>
      </c>
      <c r="F8" s="147" t="s">
        <v>1232</v>
      </c>
      <c r="G8" s="127">
        <v>1</v>
      </c>
      <c r="H8" s="147">
        <v>1</v>
      </c>
      <c r="I8" s="127" t="s">
        <v>13</v>
      </c>
      <c r="J8" s="127" t="s">
        <v>275</v>
      </c>
      <c r="K8" s="127"/>
      <c r="L8" s="127" t="s">
        <v>275</v>
      </c>
      <c r="M8" s="127"/>
      <c r="N8" s="62" t="s">
        <v>1233</v>
      </c>
      <c r="O8" s="134">
        <v>45496</v>
      </c>
      <c r="P8" s="134">
        <v>45497</v>
      </c>
      <c r="Q8" s="127" t="s">
        <v>275</v>
      </c>
      <c r="R8" s="127" t="s">
        <v>1221</v>
      </c>
      <c r="S8" s="127" t="s">
        <v>441</v>
      </c>
      <c r="T8" s="134">
        <v>45497</v>
      </c>
      <c r="U8" s="127" t="s">
        <v>1221</v>
      </c>
      <c r="V8" s="127"/>
      <c r="W8" s="58"/>
      <c r="X8" s="58"/>
    </row>
    <row r="9" spans="1:24" ht="36">
      <c r="A9" s="136">
        <v>8</v>
      </c>
      <c r="B9" s="136" t="s">
        <v>1228</v>
      </c>
      <c r="C9" s="136" t="s">
        <v>1019</v>
      </c>
      <c r="D9" s="136">
        <v>23676</v>
      </c>
      <c r="E9" s="141" t="s">
        <v>1234</v>
      </c>
      <c r="F9" s="136" t="s">
        <v>13</v>
      </c>
      <c r="G9" s="136">
        <v>1</v>
      </c>
      <c r="H9" s="136">
        <v>1</v>
      </c>
      <c r="I9" s="136" t="s">
        <v>13</v>
      </c>
      <c r="J9" s="136" t="s">
        <v>275</v>
      </c>
      <c r="K9" s="136"/>
      <c r="L9" s="136" t="s">
        <v>275</v>
      </c>
      <c r="M9" s="136"/>
      <c r="N9" s="142" t="s">
        <v>1235</v>
      </c>
      <c r="O9" s="143">
        <v>45496</v>
      </c>
      <c r="P9" s="143">
        <v>45497</v>
      </c>
      <c r="Q9" s="136" t="s">
        <v>275</v>
      </c>
      <c r="R9" s="136" t="s">
        <v>1221</v>
      </c>
      <c r="S9" s="136" t="s">
        <v>441</v>
      </c>
      <c r="T9" s="143">
        <v>45497</v>
      </c>
      <c r="U9" s="136" t="s">
        <v>1221</v>
      </c>
      <c r="V9" s="136"/>
      <c r="W9" s="144"/>
      <c r="X9" s="144"/>
    </row>
    <row r="10" spans="1:24">
      <c r="A10" s="136">
        <v>9</v>
      </c>
      <c r="B10" s="136" t="s">
        <v>56</v>
      </c>
      <c r="C10" s="136" t="s">
        <v>127</v>
      </c>
      <c r="D10" s="145">
        <v>23642</v>
      </c>
      <c r="E10" s="146" t="s">
        <v>1236</v>
      </c>
      <c r="F10" s="136" t="s">
        <v>295</v>
      </c>
      <c r="G10" s="136">
        <v>5</v>
      </c>
      <c r="H10" s="136">
        <v>6</v>
      </c>
      <c r="I10" s="136" t="s">
        <v>13</v>
      </c>
      <c r="J10" s="136" t="s">
        <v>275</v>
      </c>
      <c r="K10" s="136"/>
      <c r="L10" s="136" t="s">
        <v>275</v>
      </c>
      <c r="M10" s="136"/>
      <c r="N10" s="144"/>
      <c r="O10" s="136"/>
      <c r="P10" s="136"/>
      <c r="Q10" s="136"/>
      <c r="R10" s="136"/>
      <c r="S10" s="136"/>
      <c r="T10" s="136"/>
      <c r="U10" s="136"/>
      <c r="V10" s="136"/>
      <c r="W10" s="144"/>
      <c r="X10" s="144"/>
    </row>
    <row r="11" spans="1:24" ht="36">
      <c r="A11" s="127">
        <v>10</v>
      </c>
      <c r="B11" s="127" t="s">
        <v>56</v>
      </c>
      <c r="C11" s="127" t="s">
        <v>127</v>
      </c>
      <c r="D11" s="139">
        <v>23643</v>
      </c>
      <c r="E11" s="140" t="s">
        <v>1237</v>
      </c>
      <c r="F11" s="127" t="s">
        <v>295</v>
      </c>
      <c r="G11" s="127">
        <v>5</v>
      </c>
      <c r="H11" s="127">
        <v>1</v>
      </c>
      <c r="I11" s="127" t="s">
        <v>13</v>
      </c>
      <c r="J11" s="127" t="s">
        <v>275</v>
      </c>
      <c r="K11" s="127"/>
      <c r="L11" s="127" t="s">
        <v>275</v>
      </c>
      <c r="M11" s="127"/>
      <c r="N11" s="62" t="s">
        <v>1238</v>
      </c>
      <c r="O11" s="134">
        <v>45488</v>
      </c>
      <c r="P11" s="134">
        <v>45489</v>
      </c>
      <c r="Q11" s="127" t="s">
        <v>275</v>
      </c>
      <c r="R11" s="127" t="s">
        <v>1221</v>
      </c>
      <c r="S11" s="127" t="s">
        <v>441</v>
      </c>
      <c r="T11" s="134">
        <v>45489</v>
      </c>
      <c r="U11" s="127" t="s">
        <v>1221</v>
      </c>
      <c r="V11" s="127" t="s">
        <v>541</v>
      </c>
      <c r="W11" s="58"/>
      <c r="X11" s="58"/>
    </row>
    <row r="12" spans="1:24" ht="24">
      <c r="A12" s="83">
        <v>11</v>
      </c>
      <c r="B12" s="127" t="s">
        <v>1228</v>
      </c>
      <c r="C12" s="83" t="s">
        <v>275</v>
      </c>
      <c r="D12" s="83">
        <v>44934</v>
      </c>
      <c r="E12" s="140" t="s">
        <v>1239</v>
      </c>
      <c r="F12" s="94" t="s">
        <v>628</v>
      </c>
      <c r="G12" s="127">
        <v>3</v>
      </c>
      <c r="H12" s="147">
        <v>1.5</v>
      </c>
      <c r="I12" s="127" t="s">
        <v>448</v>
      </c>
      <c r="J12" s="127" t="s">
        <v>448</v>
      </c>
      <c r="K12" s="127" t="s">
        <v>448</v>
      </c>
      <c r="L12" s="127" t="s">
        <v>448</v>
      </c>
      <c r="M12" s="127" t="s">
        <v>448</v>
      </c>
      <c r="N12" s="127" t="s">
        <v>448</v>
      </c>
      <c r="O12" s="127" t="s">
        <v>448</v>
      </c>
      <c r="P12" s="127" t="s">
        <v>448</v>
      </c>
      <c r="Q12" s="127" t="s">
        <v>448</v>
      </c>
      <c r="R12" s="127" t="s">
        <v>448</v>
      </c>
      <c r="S12" s="127" t="s">
        <v>448</v>
      </c>
      <c r="T12" s="127" t="s">
        <v>448</v>
      </c>
      <c r="U12" s="127" t="s">
        <v>448</v>
      </c>
      <c r="V12" s="127" t="s">
        <v>448</v>
      </c>
      <c r="W12" s="127" t="s">
        <v>448</v>
      </c>
      <c r="X12" s="58"/>
    </row>
    <row r="14" spans="1:24">
      <c r="G14" s="133"/>
    </row>
  </sheetData>
  <hyperlinks>
    <hyperlink ref="N2" r:id="rId1" xr:uid="{A78C0FF9-A3ED-4E46-84AF-6F5B2736CCDB}"/>
    <hyperlink ref="N4" r:id="rId2" xr:uid="{3C561643-1C00-4C4D-84EC-A414429E9AB8}"/>
    <hyperlink ref="N5" r:id="rId3" xr:uid="{FC8F643E-D896-4352-9CDE-2413EA146886}"/>
    <hyperlink ref="N7" r:id="rId4" xr:uid="{FD66C429-4CF0-4BE5-9661-AB5BD6B725D3}"/>
    <hyperlink ref="N8" r:id="rId5" xr:uid="{8D29B59C-29EF-4C70-9682-805FEBE60B0A}"/>
    <hyperlink ref="N9" r:id="rId6" xr:uid="{7128C770-72BE-452D-A06F-841EBE4C2185}"/>
    <hyperlink ref="D10" r:id="rId7" display="23642" xr:uid="{21293369-1A16-4F99-8194-98676A39805F}"/>
    <hyperlink ref="D11" r:id="rId8" display="23643" xr:uid="{DB92E1A2-0DB7-447C-A096-9524DA945B4F}"/>
    <hyperlink ref="N11" r:id="rId9" xr:uid="{02768628-2FF2-4E31-B278-3424B657535E}"/>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4FEF-D275-488B-9A1D-B3CE737F9992}">
  <dimension ref="A1:K7"/>
  <sheetViews>
    <sheetView workbookViewId="0">
      <selection activeCell="I11" sqref="I11"/>
    </sheetView>
  </sheetViews>
  <sheetFormatPr defaultRowHeight="12.75"/>
  <cols>
    <col min="1" max="1" width="9.140625" style="128"/>
    <col min="2" max="2" width="11.85546875" style="128" customWidth="1"/>
    <col min="3" max="3" width="13.5703125" style="128" customWidth="1"/>
    <col min="4" max="5" width="9.140625" style="128"/>
    <col min="6" max="6" width="49.5703125" style="43" customWidth="1"/>
    <col min="7" max="7" width="9.140625" style="128"/>
    <col min="8" max="8" width="11.7109375" style="128" customWidth="1"/>
    <col min="9" max="9" width="13.5703125" style="128" customWidth="1"/>
    <col min="10" max="10" width="13.42578125" style="128" customWidth="1"/>
    <col min="11" max="11" width="19.42578125" style="128" customWidth="1"/>
    <col min="12" max="16384" width="9.140625" style="43"/>
  </cols>
  <sheetData>
    <row r="1" spans="1:11" ht="27">
      <c r="A1" s="1" t="s">
        <v>243</v>
      </c>
      <c r="B1" s="1" t="s">
        <v>11</v>
      </c>
      <c r="C1" s="1" t="s">
        <v>297</v>
      </c>
      <c r="D1" s="1" t="s">
        <v>245</v>
      </c>
      <c r="E1" s="1" t="s">
        <v>299</v>
      </c>
      <c r="F1" s="125" t="s">
        <v>300</v>
      </c>
      <c r="G1" s="1" t="s">
        <v>301</v>
      </c>
      <c r="H1" s="1" t="s">
        <v>303</v>
      </c>
      <c r="I1" s="1" t="s">
        <v>248</v>
      </c>
      <c r="J1" s="130" t="s">
        <v>305</v>
      </c>
      <c r="K1" s="131" t="s">
        <v>269</v>
      </c>
    </row>
    <row r="2" spans="1:11" ht="24">
      <c r="A2" s="127">
        <v>1</v>
      </c>
      <c r="B2" s="33" t="s">
        <v>1240</v>
      </c>
      <c r="C2" s="33">
        <v>23676</v>
      </c>
      <c r="D2" s="127" t="s">
        <v>1019</v>
      </c>
      <c r="E2" s="127" t="s">
        <v>715</v>
      </c>
      <c r="F2" s="126" t="s">
        <v>1234</v>
      </c>
      <c r="G2" s="127" t="s">
        <v>335</v>
      </c>
      <c r="H2" s="127" t="s">
        <v>371</v>
      </c>
      <c r="I2" s="127" t="s">
        <v>13</v>
      </c>
      <c r="J2" s="127" t="s">
        <v>1148</v>
      </c>
      <c r="K2" s="127"/>
    </row>
    <row r="3" spans="1:11" ht="24">
      <c r="A3" s="136">
        <v>2</v>
      </c>
      <c r="B3" s="149" t="s">
        <v>1240</v>
      </c>
      <c r="C3" s="149">
        <v>23671</v>
      </c>
      <c r="D3" s="136" t="s">
        <v>1019</v>
      </c>
      <c r="E3" s="136" t="s">
        <v>715</v>
      </c>
      <c r="F3" s="137" t="s">
        <v>1196</v>
      </c>
      <c r="G3" s="136" t="s">
        <v>335</v>
      </c>
      <c r="H3" s="136" t="s">
        <v>371</v>
      </c>
      <c r="I3" s="136" t="s">
        <v>1232</v>
      </c>
      <c r="J3" s="136" t="s">
        <v>1241</v>
      </c>
      <c r="K3" s="136"/>
    </row>
    <row r="4" spans="1:11" ht="24">
      <c r="A4" s="127">
        <v>3</v>
      </c>
      <c r="B4" s="33" t="s">
        <v>56</v>
      </c>
      <c r="C4" s="127">
        <v>23544</v>
      </c>
      <c r="D4" s="127" t="s">
        <v>1019</v>
      </c>
      <c r="E4" s="127" t="s">
        <v>715</v>
      </c>
      <c r="F4" s="126" t="s">
        <v>1230</v>
      </c>
      <c r="G4" s="127" t="s">
        <v>335</v>
      </c>
      <c r="H4" s="127" t="s">
        <v>371</v>
      </c>
      <c r="I4" s="127" t="s">
        <v>13</v>
      </c>
      <c r="J4" s="127" t="s">
        <v>1148</v>
      </c>
      <c r="K4" s="127"/>
    </row>
    <row r="5" spans="1:11">
      <c r="A5" s="148">
        <v>4</v>
      </c>
      <c r="B5" s="33" t="s">
        <v>56</v>
      </c>
      <c r="C5" s="148">
        <v>23642</v>
      </c>
      <c r="D5" s="148" t="s">
        <v>272</v>
      </c>
      <c r="E5" s="127" t="s">
        <v>715</v>
      </c>
      <c r="F5" s="126" t="s">
        <v>1236</v>
      </c>
      <c r="G5" s="127" t="s">
        <v>335</v>
      </c>
      <c r="H5" s="127" t="s">
        <v>371</v>
      </c>
      <c r="I5" s="127" t="s">
        <v>13</v>
      </c>
      <c r="J5" s="127" t="s">
        <v>1148</v>
      </c>
      <c r="K5" s="148"/>
    </row>
    <row r="6" spans="1:11">
      <c r="A6" s="148">
        <v>5</v>
      </c>
      <c r="B6" s="33" t="s">
        <v>56</v>
      </c>
      <c r="C6" s="148">
        <v>23643</v>
      </c>
      <c r="D6" s="148" t="s">
        <v>272</v>
      </c>
      <c r="E6" s="127" t="s">
        <v>715</v>
      </c>
      <c r="F6" s="58" t="s">
        <v>1237</v>
      </c>
      <c r="G6" s="127" t="s">
        <v>335</v>
      </c>
      <c r="H6" s="127" t="s">
        <v>371</v>
      </c>
      <c r="I6" s="127" t="s">
        <v>13</v>
      </c>
      <c r="J6" s="127" t="s">
        <v>1148</v>
      </c>
      <c r="K6" s="148"/>
    </row>
    <row r="7" spans="1:11">
      <c r="B7" s="129"/>
      <c r="C7" s="129"/>
      <c r="F7" s="71"/>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BDB9-3E08-4BFD-9F13-256BD588BEE0}">
  <dimension ref="A1:X11"/>
  <sheetViews>
    <sheetView workbookViewId="0">
      <selection activeCell="A7" sqref="A7"/>
    </sheetView>
  </sheetViews>
  <sheetFormatPr defaultRowHeight="12.75"/>
  <cols>
    <col min="1" max="1" width="9.140625" style="70"/>
    <col min="2" max="2" width="11.85546875" style="43" customWidth="1"/>
    <col min="3" max="3" width="12.5703125" bestFit="1" customWidth="1"/>
    <col min="4" max="4" width="15.7109375" style="48" customWidth="1"/>
    <col min="5" max="5" width="95" bestFit="1" customWidth="1"/>
    <col min="6" max="6" width="17" style="48" customWidth="1"/>
    <col min="7" max="7" width="9.140625" style="48"/>
    <col min="9" max="9" width="10.140625" bestFit="1" customWidth="1"/>
    <col min="10" max="10" width="14.42578125" customWidth="1"/>
    <col min="11" max="11" width="12.42578125" customWidth="1"/>
    <col min="12" max="12" width="10.140625" customWidth="1"/>
    <col min="13" max="13" width="24" customWidth="1"/>
    <col min="14" max="14" width="38.85546875" customWidth="1"/>
    <col min="15" max="16" width="9.42578125" bestFit="1" customWidth="1"/>
    <col min="20" max="20" width="9.42578125" bestFit="1" customWidth="1"/>
    <col min="22" max="22" width="18.28515625" customWidth="1"/>
    <col min="23" max="23" width="59.5703125" customWidth="1"/>
    <col min="24" max="24" width="39" customWidth="1"/>
  </cols>
  <sheetData>
    <row r="1" spans="1:24" ht="53.25">
      <c r="A1" s="1" t="s">
        <v>243</v>
      </c>
      <c r="B1" s="7" t="s">
        <v>244</v>
      </c>
      <c r="C1" s="7" t="s">
        <v>245</v>
      </c>
      <c r="D1" s="88" t="s">
        <v>246</v>
      </c>
      <c r="E1" s="7" t="s">
        <v>247</v>
      </c>
      <c r="F1" s="1" t="s">
        <v>248</v>
      </c>
      <c r="G1" s="1" t="s">
        <v>966</v>
      </c>
      <c r="H1" s="7" t="s">
        <v>967</v>
      </c>
      <c r="I1" s="7" t="s">
        <v>254</v>
      </c>
      <c r="J1" s="7" t="s">
        <v>255</v>
      </c>
      <c r="K1" s="7" t="s">
        <v>256</v>
      </c>
      <c r="L1" s="7" t="s">
        <v>257</v>
      </c>
      <c r="M1" s="7" t="s">
        <v>258</v>
      </c>
      <c r="N1" s="7" t="s">
        <v>259</v>
      </c>
      <c r="O1" s="7" t="s">
        <v>260</v>
      </c>
      <c r="P1" s="7" t="s">
        <v>261</v>
      </c>
      <c r="Q1" s="7" t="s">
        <v>262</v>
      </c>
      <c r="R1" s="7" t="s">
        <v>263</v>
      </c>
      <c r="S1" s="7" t="s">
        <v>264</v>
      </c>
      <c r="T1" s="7" t="s">
        <v>265</v>
      </c>
      <c r="U1" s="7" t="s">
        <v>263</v>
      </c>
      <c r="V1" s="7" t="s">
        <v>267</v>
      </c>
      <c r="W1" s="7" t="s">
        <v>268</v>
      </c>
      <c r="X1" s="64" t="s">
        <v>269</v>
      </c>
    </row>
    <row r="2" spans="1:24">
      <c r="A2" s="67">
        <v>1</v>
      </c>
      <c r="B2" s="32" t="s">
        <v>54</v>
      </c>
      <c r="C2" s="67" t="s">
        <v>275</v>
      </c>
      <c r="D2" s="83">
        <v>45027</v>
      </c>
      <c r="E2" t="s">
        <v>1219</v>
      </c>
      <c r="F2" s="83" t="s">
        <v>1242</v>
      </c>
      <c r="G2" s="83">
        <v>8</v>
      </c>
      <c r="H2" s="68">
        <v>8</v>
      </c>
      <c r="I2" s="96" t="s">
        <v>690</v>
      </c>
      <c r="J2" s="96" t="s">
        <v>1019</v>
      </c>
      <c r="K2" s="65"/>
      <c r="L2" s="96" t="s">
        <v>1019</v>
      </c>
      <c r="M2" s="96"/>
      <c r="N2" s="66" t="s">
        <v>1243</v>
      </c>
      <c r="O2" s="116">
        <v>45481</v>
      </c>
      <c r="P2" s="116">
        <v>45481</v>
      </c>
      <c r="Q2" s="65" t="s">
        <v>287</v>
      </c>
      <c r="R2" s="96"/>
      <c r="S2" s="96" t="s">
        <v>441</v>
      </c>
      <c r="T2" s="116">
        <v>45481</v>
      </c>
      <c r="U2" s="96"/>
      <c r="V2" s="96" t="s">
        <v>1208</v>
      </c>
      <c r="W2" s="65" t="s">
        <v>1244</v>
      </c>
      <c r="X2" s="65" t="s">
        <v>1245</v>
      </c>
    </row>
    <row r="3" spans="1:24">
      <c r="A3" s="70">
        <v>2</v>
      </c>
      <c r="B3" s="32" t="s">
        <v>54</v>
      </c>
      <c r="C3" s="67" t="s">
        <v>272</v>
      </c>
      <c r="D3" s="83">
        <v>45192</v>
      </c>
      <c r="E3" s="67" t="s">
        <v>1246</v>
      </c>
      <c r="F3" s="83" t="s">
        <v>690</v>
      </c>
      <c r="G3" s="83">
        <v>8</v>
      </c>
      <c r="H3" s="83">
        <v>8</v>
      </c>
      <c r="I3" s="96" t="s">
        <v>690</v>
      </c>
      <c r="J3" s="67" t="s">
        <v>541</v>
      </c>
      <c r="K3" s="67" t="s">
        <v>541</v>
      </c>
      <c r="L3" s="67" t="s">
        <v>541</v>
      </c>
      <c r="M3" s="67" t="s">
        <v>541</v>
      </c>
      <c r="N3" s="67" t="s">
        <v>541</v>
      </c>
      <c r="O3" s="67" t="s">
        <v>541</v>
      </c>
      <c r="P3" s="67" t="s">
        <v>541</v>
      </c>
      <c r="Q3" s="67" t="s">
        <v>541</v>
      </c>
      <c r="R3" s="67"/>
      <c r="S3" s="67" t="s">
        <v>541</v>
      </c>
      <c r="T3" s="67" t="s">
        <v>541</v>
      </c>
      <c r="U3" s="67" t="s">
        <v>541</v>
      </c>
      <c r="V3" s="67" t="s">
        <v>541</v>
      </c>
      <c r="W3" s="67" t="s">
        <v>541</v>
      </c>
      <c r="X3" s="67"/>
    </row>
    <row r="4" spans="1:24">
      <c r="A4" s="67">
        <v>3</v>
      </c>
      <c r="B4" s="32" t="s">
        <v>54</v>
      </c>
      <c r="C4" s="67" t="s">
        <v>275</v>
      </c>
      <c r="D4" s="83">
        <v>45028</v>
      </c>
      <c r="E4" t="s">
        <v>1247</v>
      </c>
      <c r="F4" s="83" t="s">
        <v>1242</v>
      </c>
      <c r="G4" s="83">
        <v>5</v>
      </c>
      <c r="H4" s="68">
        <v>5</v>
      </c>
      <c r="I4" s="96" t="s">
        <v>690</v>
      </c>
      <c r="J4" s="96" t="s">
        <v>1019</v>
      </c>
      <c r="K4" s="65"/>
      <c r="L4" s="96" t="s">
        <v>1019</v>
      </c>
      <c r="M4" s="96"/>
      <c r="N4" s="66" t="s">
        <v>1248</v>
      </c>
      <c r="O4" s="116">
        <v>45481</v>
      </c>
      <c r="P4" s="116">
        <v>45481</v>
      </c>
      <c r="Q4" s="65" t="s">
        <v>287</v>
      </c>
      <c r="R4" s="96"/>
      <c r="S4" s="96" t="s">
        <v>441</v>
      </c>
      <c r="T4" s="116">
        <v>45481</v>
      </c>
      <c r="U4" s="96"/>
      <c r="V4" s="96" t="s">
        <v>1208</v>
      </c>
      <c r="W4" s="65" t="s">
        <v>1249</v>
      </c>
      <c r="X4" s="65" t="s">
        <v>1245</v>
      </c>
    </row>
    <row r="5" spans="1:24">
      <c r="A5" s="70">
        <v>4</v>
      </c>
      <c r="B5" s="32" t="s">
        <v>54</v>
      </c>
      <c r="C5" s="67" t="s">
        <v>272</v>
      </c>
      <c r="D5" s="83">
        <v>45191</v>
      </c>
      <c r="E5" t="s">
        <v>1250</v>
      </c>
      <c r="F5" s="83" t="s">
        <v>690</v>
      </c>
      <c r="G5" s="83">
        <v>8</v>
      </c>
      <c r="H5" s="83">
        <v>8</v>
      </c>
      <c r="I5" s="96" t="s">
        <v>690</v>
      </c>
      <c r="J5" s="67" t="s">
        <v>541</v>
      </c>
      <c r="K5" s="67" t="s">
        <v>541</v>
      </c>
      <c r="L5" s="67" t="s">
        <v>541</v>
      </c>
      <c r="M5" s="67" t="s">
        <v>541</v>
      </c>
      <c r="N5" s="67" t="s">
        <v>541</v>
      </c>
      <c r="O5" s="67" t="s">
        <v>541</v>
      </c>
      <c r="P5" s="67" t="s">
        <v>541</v>
      </c>
      <c r="Q5" s="67" t="s">
        <v>541</v>
      </c>
      <c r="R5" s="67"/>
      <c r="S5" s="67" t="s">
        <v>541</v>
      </c>
      <c r="T5" s="67" t="s">
        <v>541</v>
      </c>
      <c r="U5" s="67" t="s">
        <v>541</v>
      </c>
      <c r="V5" s="67" t="s">
        <v>541</v>
      </c>
      <c r="W5" s="67" t="s">
        <v>541</v>
      </c>
      <c r="X5" s="67"/>
    </row>
    <row r="6" spans="1:24">
      <c r="A6" s="70">
        <v>5</v>
      </c>
      <c r="B6" s="32" t="s">
        <v>54</v>
      </c>
      <c r="C6" s="67" t="s">
        <v>272</v>
      </c>
      <c r="D6" s="83">
        <v>45193</v>
      </c>
      <c r="E6" t="s">
        <v>1251</v>
      </c>
      <c r="F6" s="83" t="s">
        <v>690</v>
      </c>
      <c r="G6" s="83">
        <v>8</v>
      </c>
      <c r="H6" s="83">
        <v>8</v>
      </c>
      <c r="I6" s="96" t="s">
        <v>690</v>
      </c>
      <c r="J6" s="67" t="s">
        <v>541</v>
      </c>
      <c r="K6" s="67" t="s">
        <v>541</v>
      </c>
      <c r="L6" s="67" t="s">
        <v>541</v>
      </c>
      <c r="M6" s="67" t="s">
        <v>541</v>
      </c>
      <c r="N6" s="67" t="s">
        <v>541</v>
      </c>
      <c r="O6" s="67" t="s">
        <v>541</v>
      </c>
      <c r="P6" s="67" t="s">
        <v>541</v>
      </c>
      <c r="Q6" s="67" t="s">
        <v>541</v>
      </c>
      <c r="R6" s="67"/>
      <c r="S6" s="67" t="s">
        <v>541</v>
      </c>
      <c r="T6" s="67" t="s">
        <v>541</v>
      </c>
      <c r="U6" s="67" t="s">
        <v>541</v>
      </c>
      <c r="V6" s="67" t="s">
        <v>541</v>
      </c>
      <c r="W6" s="67" t="s">
        <v>541</v>
      </c>
      <c r="X6" s="67"/>
    </row>
    <row r="7" spans="1:24">
      <c r="A7" s="70">
        <v>6</v>
      </c>
      <c r="B7" s="86" t="s">
        <v>1252</v>
      </c>
      <c r="C7" s="67" t="s">
        <v>1019</v>
      </c>
      <c r="D7" s="83">
        <v>45026</v>
      </c>
      <c r="E7" t="s">
        <v>1253</v>
      </c>
      <c r="F7" s="83" t="s">
        <v>690</v>
      </c>
      <c r="G7" s="83">
        <v>2</v>
      </c>
      <c r="H7" s="83">
        <v>2</v>
      </c>
      <c r="I7" s="67" t="s">
        <v>690</v>
      </c>
      <c r="J7" s="67" t="s">
        <v>275</v>
      </c>
      <c r="K7" s="67"/>
      <c r="L7" s="67" t="s">
        <v>275</v>
      </c>
      <c r="M7" s="67"/>
      <c r="N7" s="85" t="s">
        <v>1254</v>
      </c>
      <c r="O7" s="116">
        <v>45472</v>
      </c>
      <c r="P7" s="116">
        <v>45472</v>
      </c>
      <c r="Q7" s="67" t="s">
        <v>275</v>
      </c>
      <c r="R7" s="67"/>
      <c r="S7" s="67" t="s">
        <v>441</v>
      </c>
      <c r="T7" s="116">
        <v>45472</v>
      </c>
      <c r="U7" s="67" t="s">
        <v>1221</v>
      </c>
      <c r="V7" s="67" t="s">
        <v>1208</v>
      </c>
      <c r="W7" s="67"/>
      <c r="X7" s="67"/>
    </row>
    <row r="8" spans="1:24">
      <c r="B8" s="86"/>
      <c r="C8" s="67"/>
      <c r="D8" s="83"/>
      <c r="E8" s="67"/>
      <c r="F8" s="83"/>
      <c r="G8" s="83"/>
      <c r="H8" s="67"/>
      <c r="I8" s="67"/>
      <c r="J8" s="67"/>
      <c r="K8" s="67"/>
      <c r="L8" s="67"/>
      <c r="M8" s="67"/>
      <c r="N8" s="67"/>
      <c r="O8" s="67"/>
      <c r="P8" s="67"/>
      <c r="Q8" s="67"/>
      <c r="R8" s="67"/>
      <c r="S8" s="67"/>
      <c r="T8" s="67"/>
      <c r="U8" s="67"/>
      <c r="V8" s="67"/>
      <c r="W8" s="67"/>
      <c r="X8" s="67"/>
    </row>
    <row r="9" spans="1:24">
      <c r="B9" s="86"/>
      <c r="C9" s="67"/>
      <c r="D9" s="83"/>
      <c r="E9" s="67"/>
      <c r="F9" s="83"/>
      <c r="G9" s="83"/>
      <c r="H9" s="67"/>
      <c r="I9" s="67"/>
      <c r="J9" s="67"/>
      <c r="K9" s="67"/>
      <c r="L9" s="67"/>
      <c r="M9" s="67"/>
      <c r="N9" s="67"/>
      <c r="O9" s="67"/>
      <c r="P9" s="67"/>
      <c r="Q9" s="67"/>
      <c r="R9" s="67"/>
      <c r="S9" s="67"/>
      <c r="T9" s="67"/>
      <c r="U9" s="67"/>
      <c r="V9" s="67"/>
      <c r="W9" s="67"/>
      <c r="X9" s="67"/>
    </row>
    <row r="10" spans="1:24">
      <c r="B10" s="86"/>
      <c r="C10" s="67"/>
      <c r="D10" s="83"/>
      <c r="E10" s="67"/>
      <c r="F10" s="83"/>
      <c r="G10" s="83"/>
      <c r="H10" s="67"/>
      <c r="I10" s="67"/>
      <c r="J10" s="67"/>
      <c r="K10" s="67"/>
      <c r="L10" s="67"/>
      <c r="M10" s="67"/>
      <c r="N10" s="67"/>
      <c r="O10" s="67"/>
      <c r="P10" s="67"/>
      <c r="Q10" s="67"/>
      <c r="R10" s="67"/>
      <c r="S10" s="67"/>
      <c r="T10" s="67"/>
      <c r="U10" s="67"/>
      <c r="V10" s="67"/>
      <c r="W10" s="67"/>
      <c r="X10" s="67"/>
    </row>
    <row r="11" spans="1:24">
      <c r="B11" s="86"/>
      <c r="C11" s="67"/>
      <c r="D11" s="83"/>
      <c r="E11" s="67"/>
      <c r="F11" s="83"/>
      <c r="G11" s="83"/>
      <c r="H11" s="67"/>
      <c r="I11" s="67"/>
      <c r="J11" s="67"/>
      <c r="K11" s="67"/>
      <c r="L11" s="67"/>
      <c r="M11" s="67"/>
      <c r="N11" s="67"/>
      <c r="O11" s="67"/>
      <c r="P11" s="67"/>
      <c r="Q11" s="67"/>
      <c r="R11" s="67"/>
      <c r="S11" s="67"/>
      <c r="T11" s="67"/>
      <c r="U11" s="67"/>
      <c r="V11" s="67"/>
      <c r="W11" s="67"/>
      <c r="X11" s="67"/>
    </row>
  </sheetData>
  <hyperlinks>
    <hyperlink ref="N2" r:id="rId1" xr:uid="{A3B3A365-C3DD-4645-A4B8-B5DED4E55694}"/>
    <hyperlink ref="N4" r:id="rId2" xr:uid="{5CD9E367-C9A8-46C9-AFB1-A24783172384}"/>
    <hyperlink ref="N7" r:id="rId3" xr:uid="{7D778B9E-36CE-40ED-87DE-4D28BE013EDF}"/>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E97E7-6DFB-4241-9DFB-AF7F021660A0}">
  <dimension ref="A1:K8"/>
  <sheetViews>
    <sheetView workbookViewId="0">
      <selection activeCell="F11" sqref="F11"/>
    </sheetView>
  </sheetViews>
  <sheetFormatPr defaultRowHeight="12.75"/>
  <cols>
    <col min="2" max="2" width="9.140625" bestFit="1" customWidth="1"/>
    <col min="6" max="6" width="49.5703125" customWidth="1"/>
    <col min="8" max="8" width="11.7109375" customWidth="1"/>
    <col min="9" max="9" width="13.5703125" customWidth="1"/>
    <col min="10" max="10" width="11" customWidth="1"/>
  </cols>
  <sheetData>
    <row r="1" spans="1:11" ht="40.5">
      <c r="A1" s="51" t="s">
        <v>243</v>
      </c>
      <c r="B1" s="54" t="s">
        <v>11</v>
      </c>
      <c r="C1" s="54" t="s">
        <v>297</v>
      </c>
      <c r="D1" s="54" t="s">
        <v>245</v>
      </c>
      <c r="E1" s="55" t="s">
        <v>299</v>
      </c>
      <c r="F1" s="55" t="s">
        <v>300</v>
      </c>
      <c r="G1" s="54" t="s">
        <v>301</v>
      </c>
      <c r="H1" s="54" t="s">
        <v>303</v>
      </c>
      <c r="I1" s="54" t="s">
        <v>248</v>
      </c>
      <c r="J1" s="56" t="s">
        <v>305</v>
      </c>
      <c r="K1" s="57" t="s">
        <v>269</v>
      </c>
    </row>
    <row r="2" spans="1:11">
      <c r="B2" s="32"/>
      <c r="C2" s="74"/>
      <c r="F2" s="49"/>
    </row>
    <row r="3" spans="1:11">
      <c r="B3" s="73"/>
      <c r="C3" s="73"/>
      <c r="F3" s="71"/>
    </row>
    <row r="4" spans="1:11">
      <c r="B4" s="73"/>
      <c r="C4" s="73"/>
      <c r="F4" s="71"/>
    </row>
    <row r="5" spans="1:11">
      <c r="B5" s="73"/>
      <c r="C5" s="70"/>
      <c r="F5" s="71"/>
    </row>
    <row r="6" spans="1:11">
      <c r="B6" s="73"/>
      <c r="F6" s="43"/>
    </row>
    <row r="7" spans="1:11">
      <c r="B7" s="73"/>
      <c r="F7" s="43"/>
    </row>
    <row r="8" spans="1:11">
      <c r="B8" s="73"/>
      <c r="C8" s="73"/>
      <c r="F8" s="71"/>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0929A-1ED2-4365-A8AF-F2C9E29E8A39}">
  <dimension ref="A1:X16"/>
  <sheetViews>
    <sheetView workbookViewId="0">
      <selection activeCell="A3" sqref="A3"/>
    </sheetView>
  </sheetViews>
  <sheetFormatPr defaultRowHeight="12.75"/>
  <cols>
    <col min="1" max="1" width="9.140625" style="70"/>
    <col min="2" max="2" width="11.85546875" style="43" customWidth="1"/>
    <col min="3" max="3" width="12.5703125" bestFit="1" customWidth="1"/>
    <col min="4" max="4" width="15.7109375" style="48" customWidth="1"/>
    <col min="5" max="5" width="95" bestFit="1" customWidth="1"/>
    <col min="6" max="6" width="17" style="48" customWidth="1"/>
    <col min="7" max="7" width="9.140625" style="48"/>
    <col min="9" max="9" width="10.140625" bestFit="1" customWidth="1"/>
    <col min="10" max="10" width="14.42578125" customWidth="1"/>
    <col min="11" max="11" width="12.42578125" customWidth="1"/>
    <col min="12" max="12" width="10.140625" customWidth="1"/>
    <col min="13" max="13" width="24" customWidth="1"/>
    <col min="14" max="14" width="38.85546875" customWidth="1"/>
    <col min="15" max="16" width="9.42578125" bestFit="1" customWidth="1"/>
    <col min="20" max="20" width="9.42578125" bestFit="1" customWidth="1"/>
    <col min="22" max="22" width="18.28515625" customWidth="1"/>
    <col min="23" max="23" width="59.5703125" customWidth="1"/>
    <col min="24" max="24" width="39" customWidth="1"/>
  </cols>
  <sheetData>
    <row r="1" spans="1:24" ht="53.25">
      <c r="A1" s="1" t="s">
        <v>243</v>
      </c>
      <c r="B1" s="7" t="s">
        <v>244</v>
      </c>
      <c r="C1" s="7" t="s">
        <v>245</v>
      </c>
      <c r="D1" s="88" t="s">
        <v>246</v>
      </c>
      <c r="E1" s="7" t="s">
        <v>247</v>
      </c>
      <c r="F1" s="1" t="s">
        <v>248</v>
      </c>
      <c r="G1" s="1" t="s">
        <v>966</v>
      </c>
      <c r="H1" s="7" t="s">
        <v>967</v>
      </c>
      <c r="I1" s="7" t="s">
        <v>254</v>
      </c>
      <c r="J1" s="7" t="s">
        <v>255</v>
      </c>
      <c r="K1" s="7" t="s">
        <v>256</v>
      </c>
      <c r="L1" s="7" t="s">
        <v>257</v>
      </c>
      <c r="M1" s="7" t="s">
        <v>258</v>
      </c>
      <c r="N1" s="7" t="s">
        <v>259</v>
      </c>
      <c r="O1" s="7" t="s">
        <v>260</v>
      </c>
      <c r="P1" s="7" t="s">
        <v>261</v>
      </c>
      <c r="Q1" s="7" t="s">
        <v>262</v>
      </c>
      <c r="R1" s="7" t="s">
        <v>263</v>
      </c>
      <c r="S1" s="7" t="s">
        <v>264</v>
      </c>
      <c r="T1" s="7" t="s">
        <v>265</v>
      </c>
      <c r="U1" s="7" t="s">
        <v>263</v>
      </c>
      <c r="V1" s="7" t="s">
        <v>267</v>
      </c>
      <c r="W1" s="7" t="s">
        <v>268</v>
      </c>
      <c r="X1" s="64" t="s">
        <v>269</v>
      </c>
    </row>
    <row r="2" spans="1:24">
      <c r="A2" s="67">
        <v>1</v>
      </c>
      <c r="B2" s="32" t="s">
        <v>52</v>
      </c>
      <c r="C2" s="67" t="s">
        <v>1255</v>
      </c>
      <c r="D2" s="83">
        <v>45026</v>
      </c>
      <c r="E2" t="s">
        <v>1219</v>
      </c>
      <c r="F2" s="83" t="s">
        <v>1242</v>
      </c>
      <c r="G2" s="83">
        <v>3</v>
      </c>
      <c r="H2" s="68"/>
      <c r="I2" s="96" t="s">
        <v>448</v>
      </c>
      <c r="J2" s="96" t="s">
        <v>448</v>
      </c>
      <c r="K2" s="65" t="s">
        <v>448</v>
      </c>
      <c r="L2" s="96" t="s">
        <v>448</v>
      </c>
      <c r="M2" s="96" t="s">
        <v>448</v>
      </c>
      <c r="N2" s="65" t="s">
        <v>448</v>
      </c>
      <c r="O2" s="96" t="s">
        <v>448</v>
      </c>
      <c r="P2" s="96" t="s">
        <v>448</v>
      </c>
      <c r="Q2" s="65" t="s">
        <v>448</v>
      </c>
      <c r="R2" s="96" t="s">
        <v>448</v>
      </c>
      <c r="S2" s="96" t="s">
        <v>448</v>
      </c>
      <c r="T2" s="65" t="s">
        <v>448</v>
      </c>
      <c r="U2" s="96" t="s">
        <v>448</v>
      </c>
      <c r="V2" s="96" t="s">
        <v>448</v>
      </c>
      <c r="W2" s="65" t="s">
        <v>448</v>
      </c>
      <c r="X2" s="65" t="s">
        <v>1256</v>
      </c>
    </row>
    <row r="3" spans="1:24">
      <c r="A3" s="67">
        <v>2</v>
      </c>
      <c r="B3" s="32" t="s">
        <v>52</v>
      </c>
      <c r="C3" s="67" t="s">
        <v>275</v>
      </c>
      <c r="D3" s="83">
        <v>45029</v>
      </c>
      <c r="E3" t="s">
        <v>1257</v>
      </c>
      <c r="F3" s="83" t="s">
        <v>13</v>
      </c>
      <c r="G3" s="83">
        <v>5</v>
      </c>
      <c r="H3" s="68">
        <v>5</v>
      </c>
      <c r="I3" s="96" t="s">
        <v>13</v>
      </c>
      <c r="J3" s="96" t="s">
        <v>1019</v>
      </c>
      <c r="K3" s="65"/>
      <c r="L3" s="67" t="s">
        <v>287</v>
      </c>
      <c r="M3" s="96" t="s">
        <v>1208</v>
      </c>
      <c r="N3" s="65" t="s">
        <v>448</v>
      </c>
      <c r="O3" s="96" t="s">
        <v>448</v>
      </c>
      <c r="P3" s="96" t="s">
        <v>448</v>
      </c>
      <c r="Q3" s="65" t="s">
        <v>448</v>
      </c>
      <c r="R3" s="96" t="s">
        <v>448</v>
      </c>
      <c r="S3" s="96" t="s">
        <v>448</v>
      </c>
      <c r="T3" s="65" t="s">
        <v>448</v>
      </c>
      <c r="U3" s="96" t="s">
        <v>448</v>
      </c>
      <c r="V3" s="96" t="s">
        <v>448</v>
      </c>
      <c r="W3" s="65" t="s">
        <v>448</v>
      </c>
      <c r="X3" s="65" t="s">
        <v>1258</v>
      </c>
    </row>
    <row r="4" spans="1:24">
      <c r="A4" s="70">
        <v>3</v>
      </c>
      <c r="B4" s="32" t="s">
        <v>52</v>
      </c>
      <c r="C4" s="67" t="s">
        <v>287</v>
      </c>
      <c r="D4" s="83">
        <v>45024</v>
      </c>
      <c r="E4" t="s">
        <v>1259</v>
      </c>
      <c r="F4" s="83" t="s">
        <v>13</v>
      </c>
      <c r="G4" s="83">
        <v>5</v>
      </c>
      <c r="H4" s="68">
        <v>8</v>
      </c>
      <c r="I4" s="96" t="s">
        <v>342</v>
      </c>
      <c r="J4" s="96" t="s">
        <v>287</v>
      </c>
      <c r="K4" s="65" t="s">
        <v>448</v>
      </c>
      <c r="L4" s="96" t="s">
        <v>287</v>
      </c>
      <c r="M4" s="96" t="s">
        <v>448</v>
      </c>
      <c r="N4" s="85" t="s">
        <v>1260</v>
      </c>
      <c r="O4" s="116">
        <v>45470</v>
      </c>
      <c r="P4" s="116">
        <v>45470</v>
      </c>
      <c r="Q4" s="67" t="s">
        <v>287</v>
      </c>
      <c r="R4" s="96" t="s">
        <v>448</v>
      </c>
      <c r="S4" s="67" t="s">
        <v>441</v>
      </c>
      <c r="T4" s="116">
        <v>45470</v>
      </c>
      <c r="U4" s="96" t="s">
        <v>448</v>
      </c>
      <c r="V4" s="96" t="s">
        <v>448</v>
      </c>
      <c r="W4" s="65" t="s">
        <v>448</v>
      </c>
      <c r="X4" t="s">
        <v>13</v>
      </c>
    </row>
    <row r="5" spans="1:24">
      <c r="A5" s="70">
        <v>4</v>
      </c>
      <c r="B5" s="86" t="s">
        <v>52</v>
      </c>
      <c r="C5" s="67" t="s">
        <v>1019</v>
      </c>
      <c r="D5" s="83">
        <v>45025</v>
      </c>
      <c r="E5" s="67" t="s">
        <v>1261</v>
      </c>
      <c r="F5" s="83" t="s">
        <v>13</v>
      </c>
      <c r="G5" s="83">
        <v>8</v>
      </c>
      <c r="H5" s="67">
        <v>8</v>
      </c>
      <c r="I5" s="67" t="s">
        <v>342</v>
      </c>
      <c r="J5" s="67" t="s">
        <v>287</v>
      </c>
      <c r="K5" s="67"/>
      <c r="L5" s="67" t="s">
        <v>287</v>
      </c>
      <c r="M5" s="67"/>
      <c r="N5" s="85" t="s">
        <v>1262</v>
      </c>
      <c r="O5" s="116">
        <v>45470</v>
      </c>
      <c r="P5" s="116">
        <v>45470</v>
      </c>
      <c r="Q5" s="67" t="s">
        <v>287</v>
      </c>
      <c r="R5" s="67"/>
      <c r="S5" s="67" t="s">
        <v>441</v>
      </c>
      <c r="T5" s="116">
        <v>45470</v>
      </c>
      <c r="U5" s="67"/>
      <c r="V5" s="67"/>
      <c r="W5" s="67"/>
      <c r="X5" s="67"/>
    </row>
    <row r="6" spans="1:24">
      <c r="A6" s="70">
        <v>5</v>
      </c>
      <c r="B6" s="86" t="s">
        <v>52</v>
      </c>
      <c r="C6" s="67"/>
      <c r="D6" s="117">
        <v>45027</v>
      </c>
      <c r="E6" s="118" t="s">
        <v>1263</v>
      </c>
      <c r="F6" s="83" t="s">
        <v>640</v>
      </c>
      <c r="G6" s="83">
        <v>8</v>
      </c>
      <c r="H6" s="67"/>
      <c r="I6" s="67"/>
      <c r="J6" s="67"/>
      <c r="K6" s="67"/>
      <c r="L6" s="67"/>
      <c r="M6" s="67"/>
      <c r="N6" s="67"/>
      <c r="O6" s="67"/>
      <c r="P6" s="67"/>
      <c r="Q6" s="67"/>
      <c r="R6" s="67"/>
      <c r="S6" s="67"/>
      <c r="T6" s="67"/>
      <c r="U6" s="67"/>
      <c r="V6" s="67"/>
      <c r="W6" s="67"/>
      <c r="X6" s="67" t="s">
        <v>1264</v>
      </c>
    </row>
    <row r="7" spans="1:24">
      <c r="A7" s="70">
        <v>6</v>
      </c>
      <c r="B7" s="86" t="s">
        <v>52</v>
      </c>
      <c r="C7" s="67"/>
      <c r="D7" s="120">
        <v>45028</v>
      </c>
      <c r="E7" s="119" t="s">
        <v>1222</v>
      </c>
      <c r="F7" s="83" t="s">
        <v>640</v>
      </c>
      <c r="G7" s="83">
        <v>5</v>
      </c>
      <c r="H7" s="67"/>
      <c r="I7" s="67"/>
      <c r="J7" s="67"/>
      <c r="K7" s="67"/>
      <c r="L7" s="67"/>
      <c r="M7" s="67"/>
      <c r="N7" s="67"/>
      <c r="O7" s="67"/>
      <c r="P7" s="67"/>
      <c r="Q7" s="67"/>
      <c r="R7" s="67"/>
      <c r="S7" s="67"/>
      <c r="T7" s="67"/>
      <c r="U7" s="67"/>
      <c r="V7" s="67"/>
      <c r="W7" s="67"/>
      <c r="X7" s="67" t="s">
        <v>1264</v>
      </c>
    </row>
    <row r="8" spans="1:24">
      <c r="B8" s="86"/>
      <c r="C8" s="67"/>
      <c r="D8" s="83"/>
      <c r="E8" s="67"/>
      <c r="F8" s="83"/>
      <c r="G8" s="83"/>
      <c r="H8" s="67"/>
      <c r="I8" s="67"/>
      <c r="J8" s="67"/>
      <c r="K8" s="67"/>
      <c r="L8" s="67"/>
      <c r="M8" s="67"/>
      <c r="N8" s="67"/>
      <c r="O8" s="67"/>
      <c r="P8" s="67"/>
      <c r="Q8" s="67"/>
      <c r="R8" s="67"/>
      <c r="S8" s="67"/>
      <c r="T8" s="67"/>
      <c r="U8" s="67"/>
      <c r="V8" s="67"/>
      <c r="W8" s="67"/>
      <c r="X8" s="67"/>
    </row>
    <row r="9" spans="1:24">
      <c r="B9" s="86"/>
      <c r="C9" s="67"/>
      <c r="D9" s="83"/>
      <c r="E9" s="67"/>
      <c r="F9" s="83"/>
      <c r="G9" s="83"/>
      <c r="H9" s="67"/>
      <c r="I9" s="67"/>
      <c r="J9" s="67"/>
      <c r="K9" s="67"/>
      <c r="L9" s="67"/>
      <c r="M9" s="67"/>
      <c r="N9" s="67"/>
      <c r="O9" s="67"/>
      <c r="P9" s="67"/>
      <c r="Q9" s="67"/>
      <c r="R9" s="67"/>
      <c r="S9" s="67"/>
      <c r="T9" s="67"/>
      <c r="U9" s="67"/>
      <c r="V9" s="67"/>
      <c r="W9" s="67"/>
      <c r="X9" s="67"/>
    </row>
    <row r="10" spans="1:24">
      <c r="B10" s="86"/>
      <c r="C10" s="67"/>
      <c r="D10" s="83"/>
      <c r="E10" s="67"/>
      <c r="F10" s="83"/>
      <c r="G10" s="83"/>
      <c r="H10" s="67"/>
      <c r="I10" s="67"/>
      <c r="J10" s="67"/>
      <c r="K10" s="67"/>
      <c r="L10" s="67"/>
      <c r="M10" s="67"/>
      <c r="N10" s="67"/>
      <c r="O10" s="67"/>
      <c r="P10" s="67"/>
      <c r="Q10" s="67"/>
      <c r="R10" s="67"/>
      <c r="S10" s="67"/>
      <c r="T10" s="67"/>
      <c r="U10" s="67"/>
      <c r="V10" s="67"/>
      <c r="W10" s="67"/>
      <c r="X10" s="67"/>
    </row>
    <row r="11" spans="1:24">
      <c r="B11" s="86"/>
      <c r="C11" s="67"/>
      <c r="D11" s="83"/>
      <c r="E11" s="67"/>
      <c r="F11" s="83"/>
      <c r="G11" s="83"/>
      <c r="H11" s="67"/>
      <c r="I11" s="67"/>
      <c r="J11" s="67"/>
      <c r="K11" s="67"/>
      <c r="L11" s="67"/>
      <c r="M11" s="67"/>
      <c r="N11" s="67"/>
      <c r="O11" s="67"/>
      <c r="P11" s="67"/>
      <c r="Q11" s="67"/>
      <c r="R11" s="67"/>
      <c r="S11" s="67"/>
      <c r="T11" s="67"/>
      <c r="U11" s="67"/>
      <c r="V11" s="67"/>
      <c r="W11" s="67"/>
      <c r="X11" s="67"/>
    </row>
    <row r="12" spans="1:24">
      <c r="B12" s="86"/>
      <c r="C12" s="67"/>
      <c r="D12" s="83"/>
      <c r="E12" s="67"/>
      <c r="F12" s="83"/>
      <c r="G12" s="83"/>
      <c r="H12" s="67"/>
      <c r="I12" s="67"/>
      <c r="J12" s="67"/>
      <c r="K12" s="67"/>
      <c r="L12" s="67"/>
      <c r="M12" s="67"/>
      <c r="N12" s="67"/>
      <c r="O12" s="67"/>
      <c r="P12" s="67"/>
      <c r="Q12" s="67"/>
      <c r="R12" s="67"/>
      <c r="S12" s="67"/>
      <c r="T12" s="67"/>
      <c r="U12" s="67"/>
      <c r="V12" s="67"/>
      <c r="W12" s="67"/>
      <c r="X12" s="67"/>
    </row>
    <row r="13" spans="1:24">
      <c r="B13" s="86"/>
      <c r="C13" s="67"/>
      <c r="D13" s="83"/>
      <c r="E13" s="67"/>
      <c r="F13" s="83"/>
      <c r="G13" s="83"/>
      <c r="H13" s="67"/>
      <c r="I13" s="67"/>
      <c r="J13" s="67"/>
      <c r="K13" s="67"/>
      <c r="L13" s="67"/>
      <c r="M13" s="67"/>
      <c r="N13" s="67"/>
      <c r="O13" s="67"/>
      <c r="P13" s="67"/>
      <c r="Q13" s="67"/>
      <c r="R13" s="67"/>
      <c r="S13" s="67"/>
      <c r="T13" s="67"/>
      <c r="U13" s="67"/>
      <c r="V13" s="67"/>
      <c r="W13" s="67"/>
      <c r="X13" s="67"/>
    </row>
    <row r="14" spans="1:24">
      <c r="B14" s="86"/>
      <c r="C14" s="67"/>
      <c r="D14" s="83"/>
      <c r="E14" s="67"/>
      <c r="F14" s="83"/>
      <c r="G14" s="83"/>
      <c r="H14" s="67"/>
      <c r="I14" s="67"/>
      <c r="J14" s="67"/>
      <c r="K14" s="67"/>
      <c r="L14" s="67"/>
      <c r="M14" s="67"/>
      <c r="N14" s="67"/>
      <c r="O14" s="67"/>
      <c r="P14" s="67"/>
      <c r="Q14" s="67"/>
      <c r="R14" s="67"/>
      <c r="S14" s="67"/>
      <c r="T14" s="67"/>
      <c r="U14" s="67"/>
      <c r="V14" s="67"/>
      <c r="W14" s="67"/>
      <c r="X14" s="67"/>
    </row>
    <row r="15" spans="1:24">
      <c r="B15" s="86"/>
      <c r="C15" s="67"/>
      <c r="D15" s="83"/>
      <c r="E15" s="67"/>
      <c r="F15" s="83"/>
      <c r="G15" s="83"/>
      <c r="H15" s="67"/>
      <c r="I15" s="67"/>
      <c r="J15" s="67"/>
      <c r="K15" s="67"/>
      <c r="L15" s="67"/>
      <c r="M15" s="67"/>
      <c r="N15" s="67"/>
      <c r="O15" s="67"/>
      <c r="P15" s="67"/>
      <c r="Q15" s="67"/>
      <c r="R15" s="67"/>
      <c r="S15" s="67"/>
      <c r="T15" s="67"/>
      <c r="U15" s="67"/>
      <c r="V15" s="67"/>
      <c r="W15" s="67"/>
      <c r="X15" s="67"/>
    </row>
    <row r="16" spans="1:24">
      <c r="B16" s="86"/>
      <c r="C16" s="67"/>
      <c r="D16" s="83"/>
      <c r="E16" s="67"/>
      <c r="F16" s="83"/>
      <c r="G16" s="83"/>
      <c r="H16" s="67"/>
      <c r="I16" s="67"/>
      <c r="J16" s="67"/>
      <c r="K16" s="67"/>
      <c r="L16" s="67"/>
      <c r="M16" s="67"/>
      <c r="N16" s="67"/>
      <c r="O16" s="67"/>
      <c r="P16" s="67"/>
      <c r="Q16" s="67"/>
      <c r="R16" s="67"/>
      <c r="S16" s="67"/>
      <c r="T16" s="67"/>
      <c r="U16" s="67"/>
      <c r="V16" s="67"/>
      <c r="W16" s="67"/>
      <c r="X16" s="67"/>
    </row>
  </sheetData>
  <hyperlinks>
    <hyperlink ref="N5" r:id="rId1" xr:uid="{5491408C-17FF-487A-9BD7-26111E6DCFD7}"/>
    <hyperlink ref="N4" r:id="rId2" xr:uid="{1590D209-F64A-4D95-8E53-F6F4D670CA0D}"/>
    <hyperlink ref="D6" r:id="rId3" display="45027" xr:uid="{7A4F86DD-3F89-46A3-BE15-8819BD74FA7C}"/>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A26FB-DC58-496A-B5D4-090EF533AB80}">
  <dimension ref="A1:K8"/>
  <sheetViews>
    <sheetView workbookViewId="0">
      <selection activeCell="A2" sqref="A2"/>
    </sheetView>
  </sheetViews>
  <sheetFormatPr defaultRowHeight="12.75"/>
  <cols>
    <col min="2" max="2" width="9.140625" bestFit="1" customWidth="1"/>
    <col min="6" max="6" width="49.5703125" customWidth="1"/>
    <col min="8" max="8" width="11.7109375" customWidth="1"/>
    <col min="9" max="9" width="13.5703125" customWidth="1"/>
    <col min="10" max="10" width="11" customWidth="1"/>
  </cols>
  <sheetData>
    <row r="1" spans="1:11" ht="40.5">
      <c r="A1" s="51" t="s">
        <v>243</v>
      </c>
      <c r="B1" s="54" t="s">
        <v>11</v>
      </c>
      <c r="C1" s="54" t="s">
        <v>297</v>
      </c>
      <c r="D1" s="54" t="s">
        <v>245</v>
      </c>
      <c r="E1" s="55" t="s">
        <v>299</v>
      </c>
      <c r="F1" s="55" t="s">
        <v>300</v>
      </c>
      <c r="G1" s="54" t="s">
        <v>301</v>
      </c>
      <c r="H1" s="54" t="s">
        <v>303</v>
      </c>
      <c r="I1" s="54" t="s">
        <v>248</v>
      </c>
      <c r="J1" s="56" t="s">
        <v>305</v>
      </c>
      <c r="K1" s="57" t="s">
        <v>269</v>
      </c>
    </row>
    <row r="2" spans="1:11">
      <c r="B2" s="32"/>
      <c r="C2" s="74"/>
      <c r="F2" s="49"/>
    </row>
    <row r="3" spans="1:11">
      <c r="B3" s="73"/>
      <c r="C3" s="73"/>
      <c r="F3" s="71"/>
    </row>
    <row r="4" spans="1:11">
      <c r="B4" s="73"/>
      <c r="C4" s="73"/>
      <c r="F4" s="71"/>
    </row>
    <row r="5" spans="1:11">
      <c r="B5" s="73"/>
      <c r="C5" s="70"/>
      <c r="F5" s="71"/>
    </row>
    <row r="6" spans="1:11">
      <c r="B6" s="73"/>
      <c r="F6" s="43"/>
    </row>
    <row r="7" spans="1:11">
      <c r="B7" s="73"/>
      <c r="F7" s="43"/>
    </row>
    <row r="8" spans="1:11">
      <c r="B8" s="73"/>
      <c r="C8" s="73"/>
      <c r="F8" s="71"/>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EC1CD-DF43-4BDC-A001-8ADB54731A61}">
  <dimension ref="A1:X24"/>
  <sheetViews>
    <sheetView workbookViewId="0">
      <selection activeCell="E3" sqref="E3"/>
    </sheetView>
  </sheetViews>
  <sheetFormatPr defaultRowHeight="12.75"/>
  <cols>
    <col min="1" max="1" width="9.140625" style="70"/>
    <col min="2" max="2" width="11.85546875" style="43" customWidth="1"/>
    <col min="3" max="3" width="12.5703125" bestFit="1" customWidth="1"/>
    <col min="4" max="4" width="15.7109375" style="48" customWidth="1"/>
    <col min="5" max="5" width="95" bestFit="1" customWidth="1"/>
    <col min="6" max="6" width="17" style="48" customWidth="1"/>
    <col min="9" max="9" width="10.140625" bestFit="1" customWidth="1"/>
    <col min="10" max="10" width="14.42578125" customWidth="1"/>
    <col min="11" max="11" width="12.42578125" customWidth="1"/>
    <col min="12" max="12" width="10.140625" customWidth="1"/>
    <col min="13" max="13" width="24" customWidth="1"/>
    <col min="14" max="14" width="38.85546875" customWidth="1"/>
    <col min="15" max="16" width="9.42578125" bestFit="1" customWidth="1"/>
    <col min="20" max="20" width="9.42578125" bestFit="1" customWidth="1"/>
    <col min="22" max="22" width="18.28515625" customWidth="1"/>
    <col min="23" max="23" width="59.5703125" customWidth="1"/>
    <col min="24" max="24" width="39" customWidth="1"/>
  </cols>
  <sheetData>
    <row r="1" spans="1:24" ht="53.25">
      <c r="A1" s="1" t="s">
        <v>243</v>
      </c>
      <c r="B1" s="7" t="s">
        <v>244</v>
      </c>
      <c r="C1" s="7" t="s">
        <v>245</v>
      </c>
      <c r="D1" s="88" t="s">
        <v>246</v>
      </c>
      <c r="E1" s="7" t="s">
        <v>247</v>
      </c>
      <c r="F1" s="1" t="s">
        <v>248</v>
      </c>
      <c r="G1" s="7" t="s">
        <v>966</v>
      </c>
      <c r="H1" s="7" t="s">
        <v>967</v>
      </c>
      <c r="I1" s="7" t="s">
        <v>254</v>
      </c>
      <c r="J1" s="7" t="s">
        <v>255</v>
      </c>
      <c r="K1" s="7" t="s">
        <v>256</v>
      </c>
      <c r="L1" s="7" t="s">
        <v>257</v>
      </c>
      <c r="M1" s="7" t="s">
        <v>258</v>
      </c>
      <c r="N1" s="7" t="s">
        <v>259</v>
      </c>
      <c r="O1" s="7" t="s">
        <v>260</v>
      </c>
      <c r="P1" s="7" t="s">
        <v>261</v>
      </c>
      <c r="Q1" s="7" t="s">
        <v>262</v>
      </c>
      <c r="R1" s="7" t="s">
        <v>263</v>
      </c>
      <c r="S1" s="7" t="s">
        <v>264</v>
      </c>
      <c r="T1" s="7" t="s">
        <v>265</v>
      </c>
      <c r="U1" s="7" t="s">
        <v>263</v>
      </c>
      <c r="V1" s="7" t="s">
        <v>267</v>
      </c>
      <c r="W1" s="7" t="s">
        <v>268</v>
      </c>
      <c r="X1" s="64" t="s">
        <v>269</v>
      </c>
    </row>
    <row r="2" spans="1:24" s="99" customFormat="1" ht="23.25" customHeight="1">
      <c r="A2" s="67">
        <v>1</v>
      </c>
      <c r="B2" s="32" t="s">
        <v>49</v>
      </c>
      <c r="C2" s="67" t="s">
        <v>275</v>
      </c>
      <c r="D2" s="76">
        <v>44665</v>
      </c>
      <c r="E2" s="78" t="s">
        <v>1265</v>
      </c>
      <c r="F2" s="83" t="s">
        <v>338</v>
      </c>
      <c r="G2" s="68">
        <v>2</v>
      </c>
      <c r="H2" s="68">
        <v>2</v>
      </c>
      <c r="I2" s="96" t="s">
        <v>13</v>
      </c>
      <c r="J2" s="96" t="s">
        <v>1019</v>
      </c>
      <c r="K2" s="65"/>
      <c r="L2" s="65" t="s">
        <v>1019</v>
      </c>
      <c r="M2" s="65" t="s">
        <v>1221</v>
      </c>
      <c r="N2" s="66" t="s">
        <v>1266</v>
      </c>
      <c r="O2" s="50">
        <v>45446</v>
      </c>
      <c r="P2" s="50">
        <v>45446</v>
      </c>
      <c r="Q2" s="65" t="s">
        <v>287</v>
      </c>
      <c r="R2" s="65" t="s">
        <v>1208</v>
      </c>
      <c r="S2" s="65" t="s">
        <v>441</v>
      </c>
      <c r="T2" s="50">
        <v>45446</v>
      </c>
      <c r="U2" s="65" t="s">
        <v>1208</v>
      </c>
      <c r="V2" s="65" t="s">
        <v>1208</v>
      </c>
      <c r="W2" s="65" t="s">
        <v>1267</v>
      </c>
      <c r="X2" s="65"/>
    </row>
    <row r="3" spans="1:24" ht="35.25">
      <c r="A3" s="67">
        <v>2</v>
      </c>
      <c r="B3" s="32" t="s">
        <v>49</v>
      </c>
      <c r="C3" s="67" t="s">
        <v>275</v>
      </c>
      <c r="D3" s="76">
        <v>44934</v>
      </c>
      <c r="E3" s="78" t="s">
        <v>1268</v>
      </c>
      <c r="F3" s="83" t="s">
        <v>1269</v>
      </c>
      <c r="G3" s="68">
        <v>2</v>
      </c>
      <c r="H3" s="68">
        <v>3</v>
      </c>
      <c r="I3" s="96" t="s">
        <v>448</v>
      </c>
      <c r="J3" s="96" t="s">
        <v>448</v>
      </c>
      <c r="K3" s="65" t="s">
        <v>448</v>
      </c>
      <c r="L3" s="96" t="s">
        <v>448</v>
      </c>
      <c r="M3" s="96" t="s">
        <v>448</v>
      </c>
      <c r="N3" s="65" t="s">
        <v>448</v>
      </c>
      <c r="O3" s="96" t="s">
        <v>448</v>
      </c>
      <c r="P3" s="96" t="s">
        <v>448</v>
      </c>
      <c r="Q3" s="65" t="s">
        <v>448</v>
      </c>
      <c r="R3" s="96" t="s">
        <v>448</v>
      </c>
      <c r="S3" s="96" t="s">
        <v>448</v>
      </c>
      <c r="T3" s="65" t="s">
        <v>448</v>
      </c>
      <c r="U3" s="96" t="s">
        <v>448</v>
      </c>
      <c r="V3" s="96" t="s">
        <v>448</v>
      </c>
      <c r="W3" s="65" t="s">
        <v>448</v>
      </c>
      <c r="X3" s="58" t="s">
        <v>1270</v>
      </c>
    </row>
    <row r="4" spans="1:24" ht="23.25">
      <c r="A4" s="67">
        <v>3</v>
      </c>
      <c r="B4" s="32" t="s">
        <v>1271</v>
      </c>
      <c r="C4" s="67" t="s">
        <v>275</v>
      </c>
      <c r="D4" s="83">
        <v>45026</v>
      </c>
      <c r="E4" t="s">
        <v>1219</v>
      </c>
      <c r="F4" s="83" t="s">
        <v>1242</v>
      </c>
      <c r="G4" s="68">
        <v>3</v>
      </c>
      <c r="H4" s="68">
        <v>2</v>
      </c>
      <c r="I4" s="96" t="s">
        <v>448</v>
      </c>
      <c r="J4" s="96" t="s">
        <v>448</v>
      </c>
      <c r="K4" s="65" t="s">
        <v>448</v>
      </c>
      <c r="L4" s="96" t="s">
        <v>448</v>
      </c>
      <c r="M4" s="96" t="s">
        <v>448</v>
      </c>
      <c r="N4" s="65" t="s">
        <v>448</v>
      </c>
      <c r="O4" s="96" t="s">
        <v>448</v>
      </c>
      <c r="P4" s="96" t="s">
        <v>448</v>
      </c>
      <c r="Q4" s="65" t="s">
        <v>448</v>
      </c>
      <c r="R4" s="96" t="s">
        <v>448</v>
      </c>
      <c r="S4" s="96" t="s">
        <v>448</v>
      </c>
      <c r="T4" s="65" t="s">
        <v>448</v>
      </c>
      <c r="U4" s="96" t="s">
        <v>448</v>
      </c>
      <c r="V4" s="96" t="s">
        <v>448</v>
      </c>
      <c r="W4" s="65" t="s">
        <v>448</v>
      </c>
      <c r="X4" s="65" t="s">
        <v>1256</v>
      </c>
    </row>
    <row r="5" spans="1:24" ht="24">
      <c r="A5" s="67">
        <v>4</v>
      </c>
      <c r="B5" s="32" t="s">
        <v>1271</v>
      </c>
      <c r="C5" s="67" t="s">
        <v>272</v>
      </c>
      <c r="D5" s="83"/>
      <c r="E5" t="s">
        <v>1272</v>
      </c>
      <c r="F5" s="83" t="s">
        <v>338</v>
      </c>
      <c r="G5" s="68">
        <v>3</v>
      </c>
      <c r="H5" s="68">
        <v>2</v>
      </c>
      <c r="I5" s="65" t="s">
        <v>448</v>
      </c>
      <c r="J5" s="65" t="s">
        <v>448</v>
      </c>
      <c r="K5" s="65" t="s">
        <v>448</v>
      </c>
      <c r="L5" s="65" t="s">
        <v>448</v>
      </c>
      <c r="M5" s="65" t="s">
        <v>448</v>
      </c>
      <c r="N5" s="84" t="s">
        <v>1273</v>
      </c>
      <c r="O5" s="50">
        <v>45450</v>
      </c>
      <c r="P5" s="50">
        <v>45450</v>
      </c>
      <c r="Q5" s="65" t="s">
        <v>448</v>
      </c>
      <c r="R5" s="65" t="s">
        <v>448</v>
      </c>
      <c r="S5" s="65" t="s">
        <v>448</v>
      </c>
      <c r="T5" s="50" t="s">
        <v>448</v>
      </c>
      <c r="U5" s="65" t="s">
        <v>448</v>
      </c>
      <c r="V5" s="65" t="s">
        <v>448</v>
      </c>
      <c r="W5" s="65" t="s">
        <v>448</v>
      </c>
      <c r="X5" s="58"/>
    </row>
    <row r="6" spans="1:24" ht="15">
      <c r="A6" s="67">
        <v>5</v>
      </c>
      <c r="B6" s="32" t="s">
        <v>49</v>
      </c>
      <c r="C6" s="67" t="s">
        <v>1019</v>
      </c>
      <c r="D6" s="76">
        <v>44837</v>
      </c>
      <c r="E6" s="49" t="s">
        <v>1274</v>
      </c>
      <c r="F6" s="83" t="s">
        <v>338</v>
      </c>
      <c r="G6" s="87">
        <v>1</v>
      </c>
      <c r="H6" s="68">
        <v>1</v>
      </c>
      <c r="I6" s="65" t="s">
        <v>13</v>
      </c>
      <c r="J6" s="65" t="s">
        <v>275</v>
      </c>
      <c r="K6" s="65" t="s">
        <v>448</v>
      </c>
      <c r="L6" s="65" t="s">
        <v>275</v>
      </c>
      <c r="M6" s="65" t="s">
        <v>1221</v>
      </c>
      <c r="N6" s="66" t="s">
        <v>1275</v>
      </c>
      <c r="O6" s="50">
        <v>45449</v>
      </c>
      <c r="P6" s="50">
        <v>45449</v>
      </c>
      <c r="Q6" s="65" t="s">
        <v>275</v>
      </c>
      <c r="R6" s="65" t="s">
        <v>1208</v>
      </c>
      <c r="S6" s="65" t="s">
        <v>441</v>
      </c>
      <c r="T6" s="50">
        <v>45449</v>
      </c>
      <c r="U6" s="65" t="s">
        <v>1208</v>
      </c>
      <c r="V6" s="65" t="s">
        <v>1208</v>
      </c>
      <c r="W6" s="65" t="s">
        <v>1208</v>
      </c>
      <c r="X6" s="65"/>
    </row>
    <row r="7" spans="1:24" ht="23.25">
      <c r="A7" s="67">
        <v>6</v>
      </c>
      <c r="B7" s="32" t="s">
        <v>1271</v>
      </c>
      <c r="C7" s="67" t="s">
        <v>1019</v>
      </c>
      <c r="D7" s="76">
        <v>45023</v>
      </c>
      <c r="E7" s="78" t="s">
        <v>1272</v>
      </c>
      <c r="F7" s="83" t="s">
        <v>338</v>
      </c>
      <c r="G7" s="68">
        <v>3</v>
      </c>
      <c r="H7" s="68">
        <v>3</v>
      </c>
      <c r="I7" s="65" t="s">
        <v>13</v>
      </c>
      <c r="J7" s="65" t="s">
        <v>275</v>
      </c>
      <c r="K7" s="65" t="s">
        <v>448</v>
      </c>
      <c r="L7" s="65" t="s">
        <v>275</v>
      </c>
      <c r="M7" s="65" t="s">
        <v>1221</v>
      </c>
      <c r="N7" s="66" t="s">
        <v>1273</v>
      </c>
      <c r="O7" s="50">
        <v>45450</v>
      </c>
      <c r="P7" s="50">
        <v>45450</v>
      </c>
      <c r="Q7" s="65" t="s">
        <v>275</v>
      </c>
      <c r="R7" s="65" t="s">
        <v>1208</v>
      </c>
      <c r="S7" s="65" t="s">
        <v>441</v>
      </c>
      <c r="T7" s="50">
        <v>45450</v>
      </c>
      <c r="U7" s="65" t="s">
        <v>1208</v>
      </c>
      <c r="V7" s="65" t="s">
        <v>1208</v>
      </c>
      <c r="W7" s="65" t="s">
        <v>1208</v>
      </c>
      <c r="X7" s="65"/>
    </row>
    <row r="8" spans="1:24" ht="15">
      <c r="A8" s="67">
        <v>7</v>
      </c>
      <c r="B8" s="32" t="s">
        <v>49</v>
      </c>
      <c r="C8" s="67" t="s">
        <v>1019</v>
      </c>
      <c r="D8" s="76">
        <v>44843</v>
      </c>
      <c r="E8" s="78" t="s">
        <v>1276</v>
      </c>
      <c r="F8" s="83" t="s">
        <v>338</v>
      </c>
      <c r="G8" s="68">
        <v>3</v>
      </c>
      <c r="H8" s="68">
        <v>3</v>
      </c>
      <c r="I8" s="96" t="s">
        <v>13</v>
      </c>
      <c r="J8" s="96" t="s">
        <v>275</v>
      </c>
      <c r="K8" s="65" t="s">
        <v>448</v>
      </c>
      <c r="L8" s="65" t="s">
        <v>275</v>
      </c>
      <c r="M8" s="65" t="s">
        <v>1221</v>
      </c>
      <c r="N8" s="66" t="s">
        <v>1277</v>
      </c>
      <c r="O8" s="50">
        <v>45450</v>
      </c>
      <c r="P8" s="50">
        <v>45450</v>
      </c>
      <c r="Q8" s="65" t="s">
        <v>275</v>
      </c>
      <c r="R8" s="65" t="s">
        <v>1208</v>
      </c>
      <c r="S8" s="65" t="s">
        <v>441</v>
      </c>
      <c r="T8" s="50">
        <v>45450</v>
      </c>
      <c r="U8" s="65" t="s">
        <v>1278</v>
      </c>
      <c r="V8" s="65" t="s">
        <v>1208</v>
      </c>
      <c r="W8" s="65" t="s">
        <v>1208</v>
      </c>
      <c r="X8" s="65"/>
    </row>
    <row r="9" spans="1:24" ht="23.25">
      <c r="A9" s="107">
        <v>8</v>
      </c>
      <c r="B9" s="74" t="s">
        <v>1271</v>
      </c>
      <c r="C9" s="107" t="s">
        <v>1279</v>
      </c>
      <c r="D9" s="108">
        <v>45024</v>
      </c>
      <c r="E9" s="78" t="s">
        <v>1280</v>
      </c>
      <c r="F9" s="83" t="s">
        <v>628</v>
      </c>
      <c r="G9" s="87">
        <v>8</v>
      </c>
      <c r="H9" s="68">
        <v>3</v>
      </c>
      <c r="I9" s="96" t="s">
        <v>448</v>
      </c>
      <c r="J9" s="96" t="s">
        <v>448</v>
      </c>
      <c r="K9" s="65"/>
      <c r="L9" s="65"/>
      <c r="M9" s="65"/>
      <c r="N9" s="66"/>
      <c r="O9" s="50"/>
      <c r="P9" s="50"/>
      <c r="Q9" s="65"/>
      <c r="R9" s="65"/>
      <c r="S9" s="65"/>
      <c r="T9" s="50"/>
      <c r="U9" s="65"/>
      <c r="V9" s="65"/>
      <c r="W9" s="65"/>
      <c r="X9" s="65"/>
    </row>
    <row r="10" spans="1:24" ht="35.25">
      <c r="A10" s="67">
        <v>9</v>
      </c>
      <c r="B10" s="95" t="s">
        <v>1281</v>
      </c>
      <c r="C10" s="67" t="s">
        <v>287</v>
      </c>
      <c r="D10" s="76">
        <v>23453</v>
      </c>
      <c r="E10" s="11" t="s">
        <v>1282</v>
      </c>
      <c r="F10" s="111" t="s">
        <v>338</v>
      </c>
      <c r="G10" s="87">
        <v>5</v>
      </c>
      <c r="H10" s="87">
        <v>5</v>
      </c>
      <c r="I10" s="96" t="s">
        <v>13</v>
      </c>
      <c r="J10" s="96" t="s">
        <v>448</v>
      </c>
      <c r="K10" s="65" t="s">
        <v>448</v>
      </c>
      <c r="L10" s="65" t="s">
        <v>441</v>
      </c>
      <c r="M10" s="65" t="s">
        <v>1221</v>
      </c>
      <c r="N10" s="62" t="s">
        <v>1283</v>
      </c>
      <c r="O10" s="60" t="s">
        <v>1284</v>
      </c>
      <c r="P10" s="60" t="s">
        <v>1284</v>
      </c>
      <c r="Q10" s="43" t="s">
        <v>1285</v>
      </c>
      <c r="R10" s="43" t="s">
        <v>1208</v>
      </c>
      <c r="S10" s="58" t="s">
        <v>441</v>
      </c>
      <c r="T10" s="58" t="s">
        <v>1208</v>
      </c>
      <c r="U10" s="58" t="s">
        <v>1208</v>
      </c>
      <c r="V10" s="58" t="s">
        <v>1208</v>
      </c>
      <c r="W10" s="58" t="s">
        <v>1208</v>
      </c>
      <c r="X10" s="67"/>
    </row>
    <row r="11" spans="1:24">
      <c r="B11" s="110"/>
      <c r="C11" s="79"/>
      <c r="E11" s="79"/>
      <c r="F11" s="83"/>
      <c r="G11" s="68"/>
      <c r="H11" s="68"/>
      <c r="I11" s="67"/>
      <c r="J11" s="67"/>
      <c r="K11" s="67"/>
      <c r="L11" s="67"/>
      <c r="M11" s="67"/>
      <c r="N11" s="85"/>
      <c r="O11" s="50"/>
      <c r="P11" s="50"/>
      <c r="Q11" s="67"/>
      <c r="R11" s="67"/>
      <c r="S11" s="65"/>
      <c r="T11" s="50"/>
      <c r="U11" s="67"/>
      <c r="V11" s="67"/>
      <c r="W11" s="67"/>
      <c r="X11" s="67"/>
    </row>
    <row r="12" spans="1:24">
      <c r="B12" s="86"/>
      <c r="C12" s="67"/>
      <c r="D12" s="83"/>
      <c r="E12" s="67"/>
      <c r="F12" s="83"/>
      <c r="G12" s="68"/>
      <c r="H12" s="68"/>
      <c r="I12" s="67"/>
      <c r="J12" s="67"/>
      <c r="K12" s="67"/>
      <c r="L12" s="67"/>
      <c r="M12" s="67"/>
      <c r="N12" s="85"/>
      <c r="O12" s="50"/>
      <c r="P12" s="50"/>
      <c r="Q12" s="67"/>
      <c r="R12" s="67"/>
      <c r="S12" s="65"/>
      <c r="T12" s="50"/>
      <c r="U12" s="67"/>
      <c r="V12" s="67"/>
      <c r="W12" s="67"/>
      <c r="X12" s="67"/>
    </row>
    <row r="13" spans="1:24">
      <c r="B13" s="86"/>
      <c r="C13" s="67"/>
      <c r="D13" s="83"/>
      <c r="E13" s="67"/>
      <c r="F13" s="83"/>
      <c r="G13" s="67"/>
      <c r="H13" s="67"/>
      <c r="I13" s="67"/>
      <c r="J13" s="67"/>
      <c r="K13" s="67"/>
      <c r="L13" s="67"/>
      <c r="M13" s="67"/>
      <c r="N13" s="67"/>
      <c r="O13" s="67"/>
      <c r="P13" s="67"/>
      <c r="Q13" s="67"/>
      <c r="R13" s="67"/>
      <c r="S13" s="67"/>
      <c r="T13" s="67"/>
      <c r="U13" s="67"/>
      <c r="V13" s="67"/>
      <c r="W13" s="67"/>
      <c r="X13" s="67"/>
    </row>
    <row r="14" spans="1:24">
      <c r="B14" s="86"/>
      <c r="C14" s="67"/>
      <c r="D14" s="83"/>
      <c r="E14" s="67"/>
      <c r="F14" s="83"/>
      <c r="G14" s="67"/>
      <c r="H14" s="67"/>
      <c r="I14" s="67"/>
      <c r="J14" s="67"/>
      <c r="K14" s="67"/>
      <c r="L14" s="67"/>
      <c r="M14" s="67"/>
      <c r="N14" s="67"/>
      <c r="O14" s="67"/>
      <c r="P14" s="67"/>
      <c r="Q14" s="67"/>
      <c r="R14" s="67"/>
      <c r="S14" s="67"/>
      <c r="T14" s="67"/>
      <c r="U14" s="67"/>
      <c r="V14" s="67"/>
      <c r="W14" s="67"/>
      <c r="X14" s="67"/>
    </row>
    <row r="15" spans="1:24">
      <c r="B15" s="86"/>
      <c r="C15" s="67"/>
      <c r="D15" s="83"/>
      <c r="E15" s="67"/>
      <c r="F15" s="83"/>
      <c r="G15" s="67"/>
      <c r="H15" s="67"/>
      <c r="I15" s="67"/>
      <c r="J15" s="67"/>
      <c r="K15" s="67"/>
      <c r="L15" s="67"/>
      <c r="M15" s="67"/>
      <c r="N15" s="67"/>
      <c r="O15" s="67"/>
      <c r="P15" s="67"/>
      <c r="Q15" s="67"/>
      <c r="R15" s="67"/>
      <c r="S15" s="67"/>
      <c r="T15" s="67"/>
      <c r="U15" s="67"/>
      <c r="V15" s="67"/>
      <c r="W15" s="67"/>
      <c r="X15" s="67"/>
    </row>
    <row r="16" spans="1:24">
      <c r="B16" s="86"/>
      <c r="C16" s="67"/>
      <c r="D16" s="83"/>
      <c r="E16" s="67"/>
      <c r="F16" s="83"/>
      <c r="G16" s="67"/>
      <c r="H16" s="67"/>
      <c r="I16" s="67"/>
      <c r="J16" s="67"/>
      <c r="K16" s="67"/>
      <c r="L16" s="67"/>
      <c r="M16" s="67"/>
      <c r="N16" s="67"/>
      <c r="O16" s="67"/>
      <c r="P16" s="67"/>
      <c r="Q16" s="67"/>
      <c r="R16" s="67"/>
      <c r="S16" s="67"/>
      <c r="T16" s="67"/>
      <c r="U16" s="67"/>
      <c r="V16" s="67"/>
      <c r="W16" s="67"/>
      <c r="X16" s="67"/>
    </row>
    <row r="17" spans="2:24">
      <c r="B17" s="86"/>
      <c r="C17" s="67"/>
      <c r="D17" s="83"/>
      <c r="E17" s="67"/>
      <c r="F17" s="83"/>
      <c r="G17" s="67"/>
      <c r="H17" s="67"/>
      <c r="I17" s="67"/>
      <c r="J17" s="67"/>
      <c r="K17" s="67"/>
      <c r="L17" s="67"/>
      <c r="M17" s="67"/>
      <c r="N17" s="67"/>
      <c r="O17" s="67"/>
      <c r="P17" s="67"/>
      <c r="Q17" s="67"/>
      <c r="R17" s="67"/>
      <c r="S17" s="67"/>
      <c r="T17" s="67"/>
      <c r="U17" s="67"/>
      <c r="V17" s="67"/>
      <c r="W17" s="67"/>
      <c r="X17" s="67"/>
    </row>
    <row r="18" spans="2:24">
      <c r="B18" s="86"/>
      <c r="C18" s="67"/>
      <c r="D18" s="83"/>
      <c r="E18" s="67"/>
      <c r="F18" s="83"/>
      <c r="G18" s="67"/>
      <c r="H18" s="67"/>
      <c r="I18" s="67"/>
      <c r="J18" s="67"/>
      <c r="K18" s="67"/>
      <c r="L18" s="67"/>
      <c r="M18" s="67"/>
      <c r="N18" s="67"/>
      <c r="O18" s="67"/>
      <c r="P18" s="67"/>
      <c r="Q18" s="67"/>
      <c r="R18" s="67"/>
      <c r="S18" s="67"/>
      <c r="T18" s="67"/>
      <c r="U18" s="67"/>
      <c r="V18" s="67"/>
      <c r="W18" s="67"/>
      <c r="X18" s="67"/>
    </row>
    <row r="19" spans="2:24">
      <c r="B19" s="86"/>
      <c r="C19" s="67"/>
      <c r="D19" s="83"/>
      <c r="E19" s="67"/>
      <c r="F19" s="83"/>
      <c r="G19" s="67"/>
      <c r="H19" s="67"/>
      <c r="I19" s="67"/>
      <c r="J19" s="67"/>
      <c r="K19" s="67"/>
      <c r="L19" s="67"/>
      <c r="M19" s="67"/>
      <c r="N19" s="67"/>
      <c r="O19" s="67"/>
      <c r="P19" s="67"/>
      <c r="Q19" s="67"/>
      <c r="R19" s="67"/>
      <c r="S19" s="67"/>
      <c r="T19" s="67"/>
      <c r="U19" s="67"/>
      <c r="V19" s="67"/>
      <c r="W19" s="67"/>
      <c r="X19" s="67"/>
    </row>
    <row r="20" spans="2:24">
      <c r="B20" s="86"/>
      <c r="C20" s="67"/>
      <c r="D20" s="83"/>
      <c r="E20" s="67"/>
      <c r="F20" s="83"/>
      <c r="G20" s="67"/>
      <c r="H20" s="67"/>
      <c r="I20" s="67"/>
      <c r="J20" s="67"/>
      <c r="K20" s="67"/>
      <c r="L20" s="67"/>
      <c r="M20" s="67"/>
      <c r="N20" s="67"/>
      <c r="O20" s="67"/>
      <c r="P20" s="67"/>
      <c r="Q20" s="67"/>
      <c r="R20" s="67"/>
      <c r="S20" s="67"/>
      <c r="T20" s="67"/>
      <c r="U20" s="67"/>
      <c r="V20" s="67"/>
      <c r="W20" s="67"/>
      <c r="X20" s="67"/>
    </row>
    <row r="21" spans="2:24">
      <c r="B21" s="86"/>
      <c r="C21" s="67"/>
      <c r="D21" s="83"/>
      <c r="E21" s="67"/>
      <c r="F21" s="83"/>
      <c r="G21" s="67"/>
      <c r="H21" s="67"/>
      <c r="I21" s="67"/>
      <c r="J21" s="67"/>
      <c r="K21" s="67"/>
      <c r="L21" s="67"/>
      <c r="M21" s="67"/>
      <c r="N21" s="67"/>
      <c r="O21" s="67"/>
      <c r="P21" s="67"/>
      <c r="Q21" s="67"/>
      <c r="R21" s="67"/>
      <c r="S21" s="67"/>
      <c r="T21" s="67"/>
      <c r="U21" s="67"/>
      <c r="V21" s="67"/>
      <c r="W21" s="67"/>
      <c r="X21" s="67"/>
    </row>
    <row r="22" spans="2:24">
      <c r="B22" s="86"/>
      <c r="C22" s="67"/>
      <c r="D22" s="83"/>
      <c r="E22" s="67"/>
      <c r="F22" s="83"/>
      <c r="G22" s="67"/>
      <c r="H22" s="67"/>
      <c r="I22" s="67"/>
      <c r="J22" s="67"/>
      <c r="K22" s="67"/>
      <c r="L22" s="67"/>
      <c r="M22" s="67"/>
      <c r="N22" s="67"/>
      <c r="O22" s="67"/>
      <c r="P22" s="67"/>
      <c r="Q22" s="67"/>
      <c r="R22" s="67"/>
      <c r="S22" s="67"/>
      <c r="T22" s="67"/>
      <c r="U22" s="67"/>
      <c r="V22" s="67"/>
      <c r="W22" s="67"/>
      <c r="X22" s="67"/>
    </row>
    <row r="23" spans="2:24">
      <c r="B23" s="86"/>
      <c r="C23" s="67"/>
      <c r="D23" s="83"/>
      <c r="E23" s="67"/>
      <c r="F23" s="83"/>
      <c r="G23" s="67"/>
      <c r="H23" s="67"/>
      <c r="I23" s="67"/>
      <c r="J23" s="67"/>
      <c r="K23" s="67"/>
      <c r="L23" s="67"/>
      <c r="M23" s="67"/>
      <c r="N23" s="67"/>
      <c r="O23" s="67"/>
      <c r="P23" s="67"/>
      <c r="Q23" s="67"/>
      <c r="R23" s="67"/>
      <c r="S23" s="67"/>
      <c r="T23" s="67"/>
      <c r="U23" s="67"/>
      <c r="V23" s="67"/>
      <c r="W23" s="67"/>
      <c r="X23" s="67"/>
    </row>
    <row r="24" spans="2:24">
      <c r="B24" s="86"/>
      <c r="C24" s="67"/>
      <c r="D24" s="83"/>
      <c r="E24" s="67"/>
      <c r="F24" s="83"/>
      <c r="G24" s="67"/>
      <c r="H24" s="67"/>
      <c r="I24" s="67"/>
      <c r="J24" s="67"/>
      <c r="K24" s="67"/>
      <c r="L24" s="67"/>
      <c r="M24" s="67"/>
      <c r="N24" s="67"/>
      <c r="O24" s="67"/>
      <c r="P24" s="67"/>
      <c r="Q24" s="67"/>
      <c r="R24" s="67"/>
      <c r="S24" s="67"/>
      <c r="T24" s="67"/>
      <c r="U24" s="67"/>
      <c r="V24" s="67"/>
      <c r="W24" s="67"/>
      <c r="X24" s="67"/>
    </row>
  </sheetData>
  <hyperlinks>
    <hyperlink ref="N2" r:id="rId1" xr:uid="{800E0BE8-D874-40E0-A7A5-8F83D37FCDCD}"/>
    <hyperlink ref="N5" r:id="rId2" xr:uid="{230F9CD1-870A-49A1-B94F-500678AB3B41}"/>
    <hyperlink ref="N6" r:id="rId3" xr:uid="{B0D078C4-5A5C-4F54-B736-780B1190571F}"/>
    <hyperlink ref="N7" r:id="rId4" xr:uid="{4CE8A6B6-9D4C-4B76-B232-44F9CA0FC7F0}"/>
    <hyperlink ref="N8" r:id="rId5" xr:uid="{4E0B21DF-25DB-4798-AFAD-A1B8D9519BA7}"/>
    <hyperlink ref="N10" r:id="rId6" xr:uid="{A6D89890-9FD3-4B78-B1A1-61F0D12ED636}"/>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E70C-D7F6-490E-A20E-E4C2A1BB8B67}">
  <dimension ref="A1:K9"/>
  <sheetViews>
    <sheetView workbookViewId="0">
      <selection activeCell="J2" sqref="J2"/>
    </sheetView>
  </sheetViews>
  <sheetFormatPr defaultRowHeight="12.75"/>
  <cols>
    <col min="2" max="2" width="9.140625" bestFit="1" customWidth="1"/>
    <col min="6" max="6" width="49.5703125" customWidth="1"/>
    <col min="8" max="8" width="11.7109375" customWidth="1"/>
    <col min="9" max="9" width="13.5703125" customWidth="1"/>
    <col min="10" max="10" width="11" customWidth="1"/>
  </cols>
  <sheetData>
    <row r="1" spans="1:11" ht="40.5">
      <c r="A1" s="51" t="s">
        <v>243</v>
      </c>
      <c r="B1" s="54" t="s">
        <v>11</v>
      </c>
      <c r="C1" s="54" t="s">
        <v>297</v>
      </c>
      <c r="D1" s="54" t="s">
        <v>245</v>
      </c>
      <c r="E1" s="55" t="s">
        <v>299</v>
      </c>
      <c r="F1" s="55" t="s">
        <v>300</v>
      </c>
      <c r="G1" s="54" t="s">
        <v>301</v>
      </c>
      <c r="H1" s="54" t="s">
        <v>303</v>
      </c>
      <c r="I1" s="54" t="s">
        <v>248</v>
      </c>
      <c r="J1" s="56" t="s">
        <v>305</v>
      </c>
      <c r="K1" s="57" t="s">
        <v>269</v>
      </c>
    </row>
    <row r="2" spans="1:11" ht="58.5">
      <c r="A2" s="43">
        <v>1</v>
      </c>
      <c r="B2" s="32" t="s">
        <v>49</v>
      </c>
      <c r="C2" s="115">
        <v>23453</v>
      </c>
      <c r="D2" s="43" t="s">
        <v>287</v>
      </c>
      <c r="E2" s="43" t="s">
        <v>1286</v>
      </c>
      <c r="F2" s="71" t="s">
        <v>1282</v>
      </c>
      <c r="G2" s="43" t="s">
        <v>1186</v>
      </c>
      <c r="H2" s="43" t="s">
        <v>1187</v>
      </c>
      <c r="I2" s="43" t="s">
        <v>13</v>
      </c>
      <c r="J2" s="43" t="s">
        <v>1287</v>
      </c>
      <c r="K2" s="43"/>
    </row>
    <row r="3" spans="1:11">
      <c r="B3" s="32"/>
      <c r="C3" s="74"/>
      <c r="F3" s="49"/>
    </row>
    <row r="4" spans="1:11">
      <c r="B4" s="73"/>
      <c r="C4" s="73"/>
      <c r="F4" s="71"/>
    </row>
    <row r="5" spans="1:11">
      <c r="B5" s="73"/>
      <c r="C5" s="73"/>
      <c r="F5" s="71"/>
    </row>
    <row r="6" spans="1:11">
      <c r="B6" s="73"/>
      <c r="C6" s="70"/>
      <c r="F6" s="71"/>
    </row>
    <row r="7" spans="1:11">
      <c r="B7" s="73"/>
      <c r="F7" s="43"/>
    </row>
    <row r="8" spans="1:11">
      <c r="B8" s="73"/>
      <c r="F8" s="43"/>
    </row>
    <row r="9" spans="1:11">
      <c r="B9" s="73"/>
      <c r="C9" s="73"/>
      <c r="F9" s="71"/>
    </row>
  </sheetData>
  <hyperlinks>
    <hyperlink ref="C2" r:id="rId1" display="23453" xr:uid="{93A65C5D-3FA5-4ED7-A2BF-2B68782A324D}"/>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D57A8-6028-48FE-8FE9-C2F1573BFA65}">
  <dimension ref="A1:X24"/>
  <sheetViews>
    <sheetView topLeftCell="A5" workbookViewId="0">
      <selection activeCell="A7" sqref="A7"/>
    </sheetView>
  </sheetViews>
  <sheetFormatPr defaultRowHeight="12.75"/>
  <cols>
    <col min="1" max="1" width="9.140625" style="70"/>
    <col min="2" max="2" width="11.85546875" style="43" customWidth="1"/>
    <col min="4" max="4" width="15.7109375" style="48" customWidth="1"/>
    <col min="5" max="5" width="95" bestFit="1" customWidth="1"/>
    <col min="6" max="6" width="17" style="48" customWidth="1"/>
    <col min="9" max="9" width="10.140625" bestFit="1" customWidth="1"/>
    <col min="10" max="10" width="14.42578125" customWidth="1"/>
    <col min="11" max="11" width="12.42578125" customWidth="1"/>
    <col min="12" max="12" width="10.140625" customWidth="1"/>
    <col min="13" max="13" width="24" customWidth="1"/>
    <col min="14" max="14" width="38.85546875" customWidth="1"/>
    <col min="15" max="16" width="9.42578125" bestFit="1" customWidth="1"/>
    <col min="20" max="20" width="9.42578125" bestFit="1" customWidth="1"/>
    <col min="22" max="22" width="18.28515625" customWidth="1"/>
    <col min="23" max="23" width="59.5703125" customWidth="1"/>
    <col min="24" max="24" width="39" customWidth="1"/>
  </cols>
  <sheetData>
    <row r="1" spans="1:24" ht="53.25">
      <c r="A1" s="1" t="s">
        <v>243</v>
      </c>
      <c r="B1" s="7" t="s">
        <v>244</v>
      </c>
      <c r="C1" s="7" t="s">
        <v>245</v>
      </c>
      <c r="D1" s="88" t="s">
        <v>246</v>
      </c>
      <c r="E1" s="7" t="s">
        <v>247</v>
      </c>
      <c r="F1" s="1" t="s">
        <v>248</v>
      </c>
      <c r="G1" s="7" t="s">
        <v>966</v>
      </c>
      <c r="H1" s="7" t="s">
        <v>967</v>
      </c>
      <c r="I1" s="7" t="s">
        <v>254</v>
      </c>
      <c r="J1" s="7" t="s">
        <v>255</v>
      </c>
      <c r="K1" s="7" t="s">
        <v>256</v>
      </c>
      <c r="L1" s="7" t="s">
        <v>257</v>
      </c>
      <c r="M1" s="7" t="s">
        <v>258</v>
      </c>
      <c r="N1" s="7" t="s">
        <v>259</v>
      </c>
      <c r="O1" s="7" t="s">
        <v>260</v>
      </c>
      <c r="P1" s="7" t="s">
        <v>261</v>
      </c>
      <c r="Q1" s="7" t="s">
        <v>262</v>
      </c>
      <c r="R1" s="7" t="s">
        <v>263</v>
      </c>
      <c r="S1" s="7" t="s">
        <v>264</v>
      </c>
      <c r="T1" s="7" t="s">
        <v>265</v>
      </c>
      <c r="U1" s="7" t="s">
        <v>263</v>
      </c>
      <c r="V1" s="7" t="s">
        <v>267</v>
      </c>
      <c r="W1" s="7" t="s">
        <v>268</v>
      </c>
      <c r="X1" s="64" t="s">
        <v>269</v>
      </c>
    </row>
    <row r="2" spans="1:24" s="99" customFormat="1" ht="220.5" customHeight="1">
      <c r="A2" s="105">
        <v>1</v>
      </c>
      <c r="B2" s="95" t="s">
        <v>46</v>
      </c>
      <c r="C2" s="96" t="s">
        <v>275</v>
      </c>
      <c r="D2" s="83">
        <v>44666</v>
      </c>
      <c r="E2" s="97" t="s">
        <v>1288</v>
      </c>
      <c r="F2" s="83" t="s">
        <v>13</v>
      </c>
      <c r="G2" s="87">
        <v>5</v>
      </c>
      <c r="H2" s="87">
        <v>8</v>
      </c>
      <c r="I2" s="96" t="s">
        <v>13</v>
      </c>
      <c r="J2" s="96" t="s">
        <v>1019</v>
      </c>
      <c r="K2" s="65" t="s">
        <v>1289</v>
      </c>
      <c r="L2" s="96" t="s">
        <v>287</v>
      </c>
      <c r="M2" s="106" t="s">
        <v>1290</v>
      </c>
      <c r="N2" s="98" t="s">
        <v>1291</v>
      </c>
      <c r="O2" s="50">
        <v>45435</v>
      </c>
      <c r="P2" s="50">
        <v>45435</v>
      </c>
      <c r="Q2" s="96" t="s">
        <v>287</v>
      </c>
      <c r="R2" s="65" t="s">
        <v>1208</v>
      </c>
      <c r="S2" s="96" t="s">
        <v>441</v>
      </c>
      <c r="T2" s="50">
        <v>45436</v>
      </c>
      <c r="U2" s="65" t="s">
        <v>1208</v>
      </c>
      <c r="V2" s="65" t="s">
        <v>1208</v>
      </c>
      <c r="W2" s="104" t="s">
        <v>1292</v>
      </c>
      <c r="X2" s="96" t="s">
        <v>1293</v>
      </c>
    </row>
    <row r="3" spans="1:24">
      <c r="A3" s="67">
        <v>2</v>
      </c>
      <c r="B3" s="95" t="s">
        <v>46</v>
      </c>
      <c r="C3" s="67" t="s">
        <v>272</v>
      </c>
      <c r="D3" s="83">
        <v>44111</v>
      </c>
      <c r="E3" s="97" t="s">
        <v>1294</v>
      </c>
      <c r="F3" s="83" t="s">
        <v>13</v>
      </c>
      <c r="G3" s="87">
        <v>1</v>
      </c>
      <c r="H3" s="87">
        <v>1</v>
      </c>
      <c r="I3" s="65" t="s">
        <v>541</v>
      </c>
      <c r="J3" s="65" t="s">
        <v>541</v>
      </c>
      <c r="K3" s="65" t="s">
        <v>541</v>
      </c>
      <c r="L3" s="65" t="s">
        <v>541</v>
      </c>
      <c r="M3" s="65" t="s">
        <v>541</v>
      </c>
      <c r="N3" s="66" t="s">
        <v>1295</v>
      </c>
      <c r="O3" s="65" t="s">
        <v>541</v>
      </c>
      <c r="P3" s="65" t="s">
        <v>541</v>
      </c>
      <c r="Q3" s="65" t="s">
        <v>541</v>
      </c>
      <c r="R3" s="65" t="s">
        <v>541</v>
      </c>
      <c r="S3" s="65" t="s">
        <v>541</v>
      </c>
      <c r="T3" s="65" t="s">
        <v>541</v>
      </c>
      <c r="U3" s="65" t="s">
        <v>541</v>
      </c>
      <c r="V3" s="65"/>
      <c r="W3" s="65"/>
      <c r="X3" s="65"/>
    </row>
    <row r="4" spans="1:24">
      <c r="A4" s="67">
        <v>3</v>
      </c>
      <c r="B4" s="95" t="s">
        <v>46</v>
      </c>
      <c r="C4" s="67" t="s">
        <v>272</v>
      </c>
      <c r="D4" s="83">
        <v>44112</v>
      </c>
      <c r="E4" s="97" t="s">
        <v>1296</v>
      </c>
      <c r="F4" s="83" t="s">
        <v>13</v>
      </c>
      <c r="G4" s="87">
        <v>1</v>
      </c>
      <c r="H4" s="87">
        <v>1</v>
      </c>
      <c r="I4" s="65" t="s">
        <v>541</v>
      </c>
      <c r="J4" s="65" t="s">
        <v>541</v>
      </c>
      <c r="K4" s="65" t="s">
        <v>541</v>
      </c>
      <c r="L4" s="65" t="s">
        <v>541</v>
      </c>
      <c r="M4" s="65" t="s">
        <v>541</v>
      </c>
      <c r="N4" s="66" t="s">
        <v>1295</v>
      </c>
      <c r="O4" s="65" t="s">
        <v>541</v>
      </c>
      <c r="P4" s="65" t="s">
        <v>541</v>
      </c>
      <c r="Q4" s="65" t="s">
        <v>541</v>
      </c>
      <c r="R4" s="65" t="s">
        <v>541</v>
      </c>
      <c r="S4" s="65" t="s">
        <v>541</v>
      </c>
      <c r="T4" s="65" t="s">
        <v>541</v>
      </c>
      <c r="U4" s="65" t="s">
        <v>541</v>
      </c>
      <c r="V4" s="65"/>
      <c r="W4" s="58"/>
      <c r="X4" s="65"/>
    </row>
    <row r="5" spans="1:24" ht="24">
      <c r="A5" s="67">
        <v>4</v>
      </c>
      <c r="B5" s="32" t="s">
        <v>1297</v>
      </c>
      <c r="C5" s="67" t="s">
        <v>1019</v>
      </c>
      <c r="D5" s="83">
        <v>44837</v>
      </c>
      <c r="E5" t="s">
        <v>1274</v>
      </c>
      <c r="F5" s="83" t="s">
        <v>1232</v>
      </c>
      <c r="G5" s="68">
        <v>3</v>
      </c>
      <c r="H5" s="68">
        <v>2</v>
      </c>
      <c r="I5" s="65" t="s">
        <v>342</v>
      </c>
      <c r="J5" s="65" t="s">
        <v>287</v>
      </c>
      <c r="K5" s="65" t="s">
        <v>1289</v>
      </c>
      <c r="L5" s="65" t="s">
        <v>1298</v>
      </c>
      <c r="M5" s="65" t="s">
        <v>1221</v>
      </c>
      <c r="N5" s="84" t="s">
        <v>1299</v>
      </c>
      <c r="O5" s="50">
        <v>45434</v>
      </c>
      <c r="P5" s="50">
        <v>45434</v>
      </c>
      <c r="Q5" s="65" t="s">
        <v>275</v>
      </c>
      <c r="R5" s="65" t="s">
        <v>1208</v>
      </c>
      <c r="S5" s="65" t="s">
        <v>441</v>
      </c>
      <c r="T5" s="50">
        <v>45434</v>
      </c>
      <c r="U5" s="65" t="s">
        <v>1208</v>
      </c>
      <c r="V5" s="65" t="s">
        <v>1208</v>
      </c>
      <c r="W5" s="65"/>
      <c r="X5" s="58"/>
    </row>
    <row r="6" spans="1:24" ht="24">
      <c r="A6" s="67">
        <v>5</v>
      </c>
      <c r="B6" s="32" t="s">
        <v>1297</v>
      </c>
      <c r="C6" s="67" t="s">
        <v>1019</v>
      </c>
      <c r="D6" s="76">
        <v>23420</v>
      </c>
      <c r="E6" s="49" t="s">
        <v>1300</v>
      </c>
      <c r="F6" s="83" t="s">
        <v>13</v>
      </c>
      <c r="G6" s="87">
        <v>2</v>
      </c>
      <c r="H6" s="68">
        <v>2</v>
      </c>
      <c r="I6" s="65" t="s">
        <v>342</v>
      </c>
      <c r="J6" s="65" t="s">
        <v>1301</v>
      </c>
      <c r="K6" s="65" t="s">
        <v>1289</v>
      </c>
      <c r="L6" s="65" t="s">
        <v>1302</v>
      </c>
      <c r="M6" s="65" t="s">
        <v>1221</v>
      </c>
      <c r="N6" s="66" t="s">
        <v>1303</v>
      </c>
      <c r="O6" s="50">
        <v>45434</v>
      </c>
      <c r="P6" s="50">
        <v>45434</v>
      </c>
      <c r="Q6" s="65" t="s">
        <v>275</v>
      </c>
      <c r="R6" s="65" t="s">
        <v>1208</v>
      </c>
      <c r="S6" s="65" t="s">
        <v>441</v>
      </c>
      <c r="T6" s="50">
        <v>45434</v>
      </c>
      <c r="U6" s="65" t="s">
        <v>1208</v>
      </c>
      <c r="V6" s="65" t="s">
        <v>1208</v>
      </c>
      <c r="W6" s="65"/>
      <c r="X6" s="65"/>
    </row>
    <row r="7" spans="1:24" ht="23.25">
      <c r="A7" s="67">
        <v>6</v>
      </c>
      <c r="B7" s="32" t="s">
        <v>1297</v>
      </c>
      <c r="C7" s="67" t="s">
        <v>1019</v>
      </c>
      <c r="D7" s="76">
        <v>44843</v>
      </c>
      <c r="E7" s="78" t="s">
        <v>1276</v>
      </c>
      <c r="F7" s="83" t="s">
        <v>1304</v>
      </c>
      <c r="G7" s="68">
        <v>8</v>
      </c>
      <c r="H7" s="68">
        <v>7</v>
      </c>
      <c r="I7" s="65" t="s">
        <v>342</v>
      </c>
      <c r="J7" s="65"/>
      <c r="K7" s="65"/>
      <c r="L7" s="65"/>
      <c r="M7" s="65"/>
      <c r="N7" s="66"/>
      <c r="O7" s="50"/>
      <c r="P7" s="50"/>
      <c r="Q7" s="65"/>
      <c r="R7" s="65"/>
      <c r="S7" s="65"/>
      <c r="T7" s="50"/>
      <c r="U7" s="65"/>
      <c r="V7" s="65"/>
      <c r="W7" s="65"/>
      <c r="X7" s="65" t="s">
        <v>1305</v>
      </c>
    </row>
    <row r="8" spans="1:24" ht="24">
      <c r="A8" s="67">
        <v>7</v>
      </c>
      <c r="B8" s="32" t="s">
        <v>1297</v>
      </c>
      <c r="C8" s="67" t="s">
        <v>275</v>
      </c>
      <c r="D8" s="76">
        <v>44665</v>
      </c>
      <c r="E8" s="78" t="s">
        <v>1265</v>
      </c>
      <c r="F8" s="83" t="s">
        <v>1306</v>
      </c>
      <c r="G8" s="68">
        <v>5</v>
      </c>
      <c r="H8" s="68">
        <v>5</v>
      </c>
      <c r="I8" s="96" t="s">
        <v>13</v>
      </c>
      <c r="J8" s="96" t="s">
        <v>1019</v>
      </c>
      <c r="K8" s="65" t="s">
        <v>1289</v>
      </c>
      <c r="L8" s="65" t="s">
        <v>287</v>
      </c>
      <c r="M8" s="65" t="s">
        <v>1221</v>
      </c>
      <c r="N8" s="66"/>
      <c r="O8" s="50"/>
      <c r="P8" s="50"/>
      <c r="Q8" s="65"/>
      <c r="R8" s="65"/>
      <c r="S8" s="65"/>
      <c r="T8" s="50"/>
      <c r="U8" s="65"/>
      <c r="V8" s="65"/>
      <c r="W8" s="65"/>
      <c r="X8" s="65"/>
    </row>
    <row r="9" spans="1:24" ht="24">
      <c r="A9" s="107">
        <v>8</v>
      </c>
      <c r="B9" s="74" t="s">
        <v>1297</v>
      </c>
      <c r="C9" s="107" t="s">
        <v>275</v>
      </c>
      <c r="D9" s="108">
        <v>23453</v>
      </c>
      <c r="E9" s="109" t="s">
        <v>1282</v>
      </c>
      <c r="F9" s="83" t="s">
        <v>13</v>
      </c>
      <c r="G9" s="87">
        <v>2</v>
      </c>
      <c r="H9" s="68">
        <v>2</v>
      </c>
      <c r="I9" s="96" t="s">
        <v>13</v>
      </c>
      <c r="J9" s="96" t="s">
        <v>272</v>
      </c>
      <c r="K9" s="65" t="s">
        <v>1289</v>
      </c>
      <c r="L9" s="65" t="s">
        <v>287</v>
      </c>
      <c r="M9" s="65" t="s">
        <v>1221</v>
      </c>
      <c r="N9" s="66" t="s">
        <v>1307</v>
      </c>
      <c r="O9" s="50">
        <v>45441</v>
      </c>
      <c r="P9" s="50">
        <v>45441</v>
      </c>
      <c r="Q9" s="65" t="s">
        <v>287</v>
      </c>
      <c r="R9" s="65" t="s">
        <v>1208</v>
      </c>
      <c r="S9" s="65" t="s">
        <v>441</v>
      </c>
      <c r="T9" s="50">
        <v>45441</v>
      </c>
      <c r="U9" s="65" t="s">
        <v>1208</v>
      </c>
      <c r="V9" s="65" t="s">
        <v>541</v>
      </c>
      <c r="W9" s="65" t="s">
        <v>541</v>
      </c>
      <c r="X9" s="65"/>
    </row>
    <row r="10" spans="1:24" ht="15">
      <c r="A10" s="67">
        <v>9</v>
      </c>
      <c r="B10" s="95" t="s">
        <v>46</v>
      </c>
      <c r="C10" s="67" t="s">
        <v>287</v>
      </c>
      <c r="D10" s="76">
        <v>44677</v>
      </c>
      <c r="E10" s="11" t="s">
        <v>1308</v>
      </c>
      <c r="F10" s="111" t="s">
        <v>13</v>
      </c>
      <c r="G10" s="87">
        <v>5</v>
      </c>
      <c r="H10" s="87">
        <v>5</v>
      </c>
      <c r="I10" s="96" t="s">
        <v>13</v>
      </c>
      <c r="J10" s="96" t="s">
        <v>272</v>
      </c>
      <c r="K10" s="65" t="s">
        <v>1289</v>
      </c>
      <c r="L10" s="65" t="s">
        <v>275</v>
      </c>
      <c r="M10" s="65" t="s">
        <v>1221</v>
      </c>
      <c r="N10" s="66" t="s">
        <v>1309</v>
      </c>
      <c r="O10" s="50">
        <v>45433</v>
      </c>
      <c r="P10" s="50">
        <v>45433</v>
      </c>
      <c r="Q10" s="65" t="s">
        <v>275</v>
      </c>
      <c r="R10" s="65" t="s">
        <v>1208</v>
      </c>
      <c r="S10" s="65" t="s">
        <v>441</v>
      </c>
      <c r="T10" s="50">
        <v>45433</v>
      </c>
      <c r="U10" s="65" t="s">
        <v>1208</v>
      </c>
      <c r="V10" s="65" t="s">
        <v>541</v>
      </c>
      <c r="W10" s="65" t="s">
        <v>541</v>
      </c>
      <c r="X10" s="67"/>
    </row>
    <row r="11" spans="1:24">
      <c r="B11" s="110"/>
      <c r="C11" s="79"/>
      <c r="E11" s="79"/>
      <c r="F11" s="83"/>
      <c r="G11" s="68"/>
      <c r="H11" s="68"/>
      <c r="I11" s="67"/>
      <c r="J11" s="67"/>
      <c r="K11" s="67"/>
      <c r="L11" s="67"/>
      <c r="M11" s="67"/>
      <c r="N11" s="85"/>
      <c r="O11" s="50"/>
      <c r="P11" s="50"/>
      <c r="Q11" s="67"/>
      <c r="R11" s="67"/>
      <c r="S11" s="65"/>
      <c r="T11" s="50"/>
      <c r="U11" s="67"/>
      <c r="V11" s="67"/>
      <c r="W11" s="67"/>
      <c r="X11" s="67"/>
    </row>
    <row r="12" spans="1:24">
      <c r="B12" s="86"/>
      <c r="C12" s="67"/>
      <c r="D12" s="83"/>
      <c r="E12" s="67"/>
      <c r="F12" s="83"/>
      <c r="G12" s="68"/>
      <c r="H12" s="68"/>
      <c r="I12" s="67"/>
      <c r="J12" s="67"/>
      <c r="K12" s="67"/>
      <c r="L12" s="67"/>
      <c r="M12" s="67"/>
      <c r="N12" s="85"/>
      <c r="O12" s="50"/>
      <c r="P12" s="50"/>
      <c r="Q12" s="67"/>
      <c r="R12" s="67"/>
      <c r="S12" s="65"/>
      <c r="T12" s="50"/>
      <c r="U12" s="67"/>
      <c r="V12" s="67"/>
      <c r="W12" s="67"/>
      <c r="X12" s="67"/>
    </row>
    <row r="13" spans="1:24">
      <c r="B13" s="86"/>
      <c r="C13" s="67"/>
      <c r="D13" s="83"/>
      <c r="E13" s="67"/>
      <c r="F13" s="83"/>
      <c r="G13" s="67"/>
      <c r="H13" s="67"/>
      <c r="I13" s="67"/>
      <c r="J13" s="67"/>
      <c r="K13" s="67"/>
      <c r="L13" s="67"/>
      <c r="M13" s="67"/>
      <c r="N13" s="67"/>
      <c r="O13" s="67"/>
      <c r="P13" s="67"/>
      <c r="Q13" s="67"/>
      <c r="R13" s="67"/>
      <c r="S13" s="67"/>
      <c r="T13" s="67"/>
      <c r="U13" s="67"/>
      <c r="V13" s="67"/>
      <c r="W13" s="67"/>
      <c r="X13" s="67"/>
    </row>
    <row r="14" spans="1:24">
      <c r="B14" s="86"/>
      <c r="C14" s="67"/>
      <c r="D14" s="83"/>
      <c r="E14" s="67"/>
      <c r="F14" s="83"/>
      <c r="G14" s="67"/>
      <c r="H14" s="67"/>
      <c r="I14" s="67"/>
      <c r="J14" s="67"/>
      <c r="K14" s="67"/>
      <c r="L14" s="67"/>
      <c r="M14" s="67"/>
      <c r="N14" s="67"/>
      <c r="O14" s="67"/>
      <c r="P14" s="67"/>
      <c r="Q14" s="67"/>
      <c r="R14" s="67"/>
      <c r="S14" s="67"/>
      <c r="T14" s="67"/>
      <c r="U14" s="67"/>
      <c r="V14" s="67"/>
      <c r="W14" s="67"/>
      <c r="X14" s="67"/>
    </row>
    <row r="15" spans="1:24">
      <c r="B15" s="86"/>
      <c r="C15" s="67"/>
      <c r="D15" s="83"/>
      <c r="E15" s="67"/>
      <c r="F15" s="83"/>
      <c r="G15" s="67"/>
      <c r="H15" s="67"/>
      <c r="I15" s="67"/>
      <c r="J15" s="67"/>
      <c r="K15" s="67"/>
      <c r="L15" s="67"/>
      <c r="M15" s="67"/>
      <c r="N15" s="67"/>
      <c r="O15" s="67"/>
      <c r="P15" s="67"/>
      <c r="Q15" s="67"/>
      <c r="R15" s="67"/>
      <c r="S15" s="67"/>
      <c r="T15" s="67"/>
      <c r="U15" s="67"/>
      <c r="V15" s="67"/>
      <c r="W15" s="67"/>
      <c r="X15" s="67"/>
    </row>
    <row r="16" spans="1:24">
      <c r="B16" s="86"/>
      <c r="C16" s="67"/>
      <c r="D16" s="83"/>
      <c r="E16" s="67"/>
      <c r="F16" s="83"/>
      <c r="G16" s="67"/>
      <c r="H16" s="67"/>
      <c r="I16" s="67"/>
      <c r="J16" s="67"/>
      <c r="K16" s="67"/>
      <c r="L16" s="67"/>
      <c r="M16" s="67"/>
      <c r="N16" s="67"/>
      <c r="O16" s="67"/>
      <c r="P16" s="67"/>
      <c r="Q16" s="67"/>
      <c r="R16" s="67"/>
      <c r="S16" s="67"/>
      <c r="T16" s="67"/>
      <c r="U16" s="67"/>
      <c r="V16" s="67"/>
      <c r="W16" s="67"/>
      <c r="X16" s="67"/>
    </row>
    <row r="17" spans="2:24">
      <c r="B17" s="86"/>
      <c r="C17" s="67"/>
      <c r="D17" s="83"/>
      <c r="E17" s="67"/>
      <c r="F17" s="83"/>
      <c r="G17" s="67"/>
      <c r="H17" s="67"/>
      <c r="I17" s="67"/>
      <c r="J17" s="67"/>
      <c r="K17" s="67"/>
      <c r="L17" s="67"/>
      <c r="M17" s="67"/>
      <c r="N17" s="67"/>
      <c r="O17" s="67"/>
      <c r="P17" s="67"/>
      <c r="Q17" s="67"/>
      <c r="R17" s="67"/>
      <c r="S17" s="67"/>
      <c r="T17" s="67"/>
      <c r="U17" s="67"/>
      <c r="V17" s="67"/>
      <c r="W17" s="67"/>
      <c r="X17" s="67"/>
    </row>
    <row r="18" spans="2:24">
      <c r="B18" s="86"/>
      <c r="C18" s="67"/>
      <c r="D18" s="83"/>
      <c r="E18" s="67"/>
      <c r="F18" s="83"/>
      <c r="G18" s="67"/>
      <c r="H18" s="67"/>
      <c r="I18" s="67"/>
      <c r="J18" s="67"/>
      <c r="K18" s="67"/>
      <c r="L18" s="67"/>
      <c r="M18" s="67"/>
      <c r="N18" s="67"/>
      <c r="O18" s="67"/>
      <c r="P18" s="67"/>
      <c r="Q18" s="67"/>
      <c r="R18" s="67"/>
      <c r="S18" s="67"/>
      <c r="T18" s="67"/>
      <c r="U18" s="67"/>
      <c r="V18" s="67"/>
      <c r="W18" s="67"/>
      <c r="X18" s="67"/>
    </row>
    <row r="19" spans="2:24">
      <c r="B19" s="86"/>
      <c r="C19" s="67"/>
      <c r="D19" s="83"/>
      <c r="E19" s="67"/>
      <c r="F19" s="83"/>
      <c r="G19" s="67"/>
      <c r="H19" s="67"/>
      <c r="I19" s="67"/>
      <c r="J19" s="67"/>
      <c r="K19" s="67"/>
      <c r="L19" s="67"/>
      <c r="M19" s="67"/>
      <c r="N19" s="67"/>
      <c r="O19" s="67"/>
      <c r="P19" s="67"/>
      <c r="Q19" s="67"/>
      <c r="R19" s="67"/>
      <c r="S19" s="67"/>
      <c r="T19" s="67"/>
      <c r="U19" s="67"/>
      <c r="V19" s="67"/>
      <c r="W19" s="67"/>
      <c r="X19" s="67"/>
    </row>
    <row r="20" spans="2:24">
      <c r="B20" s="86"/>
      <c r="C20" s="67"/>
      <c r="D20" s="83"/>
      <c r="E20" s="67"/>
      <c r="F20" s="83"/>
      <c r="G20" s="67"/>
      <c r="H20" s="67"/>
      <c r="I20" s="67"/>
      <c r="J20" s="67"/>
      <c r="K20" s="67"/>
      <c r="L20" s="67"/>
      <c r="M20" s="67"/>
      <c r="N20" s="67"/>
      <c r="O20" s="67"/>
      <c r="P20" s="67"/>
      <c r="Q20" s="67"/>
      <c r="R20" s="67"/>
      <c r="S20" s="67"/>
      <c r="T20" s="67"/>
      <c r="U20" s="67"/>
      <c r="V20" s="67"/>
      <c r="W20" s="67"/>
      <c r="X20" s="67"/>
    </row>
    <row r="21" spans="2:24">
      <c r="B21" s="86"/>
      <c r="C21" s="67"/>
      <c r="D21" s="83"/>
      <c r="E21" s="67"/>
      <c r="F21" s="83"/>
      <c r="G21" s="67"/>
      <c r="H21" s="67"/>
      <c r="I21" s="67"/>
      <c r="J21" s="67"/>
      <c r="K21" s="67"/>
      <c r="L21" s="67"/>
      <c r="M21" s="67"/>
      <c r="N21" s="67"/>
      <c r="O21" s="67"/>
      <c r="P21" s="67"/>
      <c r="Q21" s="67"/>
      <c r="R21" s="67"/>
      <c r="S21" s="67"/>
      <c r="T21" s="67"/>
      <c r="U21" s="67"/>
      <c r="V21" s="67"/>
      <c r="W21" s="67"/>
      <c r="X21" s="67"/>
    </row>
    <row r="22" spans="2:24">
      <c r="B22" s="86"/>
      <c r="C22" s="67"/>
      <c r="D22" s="83"/>
      <c r="E22" s="67"/>
      <c r="F22" s="83"/>
      <c r="G22" s="67"/>
      <c r="H22" s="67"/>
      <c r="I22" s="67"/>
      <c r="J22" s="67"/>
      <c r="K22" s="67"/>
      <c r="L22" s="67"/>
      <c r="M22" s="67"/>
      <c r="N22" s="67"/>
      <c r="O22" s="67"/>
      <c r="P22" s="67"/>
      <c r="Q22" s="67"/>
      <c r="R22" s="67"/>
      <c r="S22" s="67"/>
      <c r="T22" s="67"/>
      <c r="U22" s="67"/>
      <c r="V22" s="67"/>
      <c r="W22" s="67"/>
      <c r="X22" s="67"/>
    </row>
    <row r="23" spans="2:24">
      <c r="B23" s="86"/>
      <c r="C23" s="67"/>
      <c r="D23" s="83"/>
      <c r="E23" s="67"/>
      <c r="F23" s="83"/>
      <c r="G23" s="67"/>
      <c r="H23" s="67"/>
      <c r="I23" s="67"/>
      <c r="J23" s="67"/>
      <c r="K23" s="67"/>
      <c r="L23" s="67"/>
      <c r="M23" s="67"/>
      <c r="N23" s="67"/>
      <c r="O23" s="67"/>
      <c r="P23" s="67"/>
      <c r="Q23" s="67"/>
      <c r="R23" s="67"/>
      <c r="S23" s="67"/>
      <c r="T23" s="67"/>
      <c r="U23" s="67"/>
      <c r="V23" s="67"/>
      <c r="W23" s="67"/>
      <c r="X23" s="67"/>
    </row>
    <row r="24" spans="2:24">
      <c r="B24" s="86"/>
      <c r="C24" s="67"/>
      <c r="D24" s="83"/>
      <c r="E24" s="67"/>
      <c r="F24" s="83"/>
      <c r="G24" s="67"/>
      <c r="H24" s="67"/>
      <c r="I24" s="67"/>
      <c r="J24" s="67"/>
      <c r="K24" s="67"/>
      <c r="L24" s="67"/>
      <c r="M24" s="67"/>
      <c r="N24" s="67"/>
      <c r="O24" s="67"/>
      <c r="P24" s="67"/>
      <c r="Q24" s="67"/>
      <c r="R24" s="67"/>
      <c r="S24" s="67"/>
      <c r="T24" s="67"/>
      <c r="U24" s="67"/>
      <c r="V24" s="67"/>
      <c r="W24" s="67"/>
      <c r="X24" s="67"/>
    </row>
  </sheetData>
  <hyperlinks>
    <hyperlink ref="N5" r:id="rId1" xr:uid="{35D12950-12FF-4DA5-91DE-C819B3F985C9}"/>
    <hyperlink ref="N6" r:id="rId2" xr:uid="{B5D77621-6ADA-4B78-A456-78DE090989C0}"/>
    <hyperlink ref="N3" r:id="rId3" xr:uid="{2A3884C4-0FBD-4484-8C81-29CED923E15B}"/>
    <hyperlink ref="N4" r:id="rId4" xr:uid="{93F3A836-7103-4D0F-8290-B0890FA322D2}"/>
    <hyperlink ref="N2" r:id="rId5" xr:uid="{2189575E-DADD-4DAE-AB9C-0B74913C80FE}"/>
    <hyperlink ref="M2" r:id="rId6" xr:uid="{DF9D24F0-64B2-4192-914E-69A0B4DF81B1}"/>
    <hyperlink ref="N9" r:id="rId7" xr:uid="{CBDBE75F-B822-43E1-AFE0-6858047DBC49}"/>
    <hyperlink ref="N10" r:id="rId8" xr:uid="{C487CE8F-8066-48BC-AC58-1036EA52BE74}"/>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C0A96-B79D-45EA-B983-7DD8194635CB}">
  <dimension ref="A1:K9"/>
  <sheetViews>
    <sheetView workbookViewId="0">
      <selection activeCell="H2" sqref="H2"/>
    </sheetView>
  </sheetViews>
  <sheetFormatPr defaultRowHeight="12.75"/>
  <cols>
    <col min="2" max="2" width="9.140625" bestFit="1" customWidth="1"/>
    <col min="6" max="6" width="49.5703125" customWidth="1"/>
    <col min="9" max="9" width="13.5703125" customWidth="1"/>
  </cols>
  <sheetData>
    <row r="1" spans="1:11" ht="40.5">
      <c r="A1" s="7" t="s">
        <v>243</v>
      </c>
      <c r="B1" s="7" t="s">
        <v>11</v>
      </c>
      <c r="C1" s="7" t="s">
        <v>297</v>
      </c>
      <c r="D1" s="7" t="s">
        <v>245</v>
      </c>
      <c r="E1" s="112" t="s">
        <v>299</v>
      </c>
      <c r="F1" s="112" t="s">
        <v>300</v>
      </c>
      <c r="G1" s="7" t="s">
        <v>301</v>
      </c>
      <c r="H1" s="7" t="s">
        <v>303</v>
      </c>
      <c r="I1" s="7" t="s">
        <v>248</v>
      </c>
      <c r="J1" s="113" t="s">
        <v>305</v>
      </c>
      <c r="K1" s="8" t="s">
        <v>269</v>
      </c>
    </row>
    <row r="2" spans="1:11" ht="31.5" customHeight="1">
      <c r="A2" s="65">
        <v>1</v>
      </c>
      <c r="B2" s="32" t="s">
        <v>1297</v>
      </c>
      <c r="C2" s="32">
        <v>23420</v>
      </c>
      <c r="D2" s="65" t="s">
        <v>1019</v>
      </c>
      <c r="E2" s="65" t="s">
        <v>715</v>
      </c>
      <c r="F2" s="114" t="s">
        <v>1300</v>
      </c>
      <c r="G2" s="65" t="s">
        <v>335</v>
      </c>
      <c r="H2" s="65" t="s">
        <v>371</v>
      </c>
      <c r="I2" s="65" t="s">
        <v>13</v>
      </c>
      <c r="J2" s="58" t="s">
        <v>1310</v>
      </c>
      <c r="K2" s="65"/>
    </row>
    <row r="3" spans="1:11" ht="32.25" customHeight="1">
      <c r="A3" s="65">
        <v>2</v>
      </c>
      <c r="B3" s="32" t="s">
        <v>1297</v>
      </c>
      <c r="C3" s="32">
        <v>23453</v>
      </c>
      <c r="D3" s="65" t="s">
        <v>275</v>
      </c>
      <c r="E3" s="65" t="s">
        <v>715</v>
      </c>
      <c r="F3" s="114" t="s">
        <v>1282</v>
      </c>
      <c r="G3" s="65" t="s">
        <v>1186</v>
      </c>
      <c r="H3" s="65" t="s">
        <v>311</v>
      </c>
      <c r="I3" s="65" t="s">
        <v>1127</v>
      </c>
      <c r="J3" s="58" t="s">
        <v>1241</v>
      </c>
      <c r="K3" s="65"/>
    </row>
    <row r="4" spans="1:11">
      <c r="B4" s="73"/>
      <c r="C4" s="73"/>
      <c r="F4" s="71"/>
    </row>
    <row r="5" spans="1:11">
      <c r="B5" s="73"/>
      <c r="C5" s="73"/>
      <c r="F5" s="71"/>
    </row>
    <row r="6" spans="1:11">
      <c r="B6" s="73"/>
      <c r="C6" s="70"/>
      <c r="F6" s="71"/>
    </row>
    <row r="7" spans="1:11">
      <c r="B7" s="73"/>
      <c r="F7" s="43"/>
    </row>
    <row r="8" spans="1:11">
      <c r="B8" s="73"/>
      <c r="F8" s="43"/>
    </row>
    <row r="9" spans="1:11">
      <c r="B9" s="73"/>
      <c r="C9" s="73"/>
      <c r="F9" s="71"/>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23D6-7D19-41EA-9BE4-B78D753ECAF9}">
  <dimension ref="A1:X24"/>
  <sheetViews>
    <sheetView workbookViewId="0">
      <selection activeCell="A8" sqref="A8"/>
    </sheetView>
  </sheetViews>
  <sheetFormatPr defaultRowHeight="12.75"/>
  <cols>
    <col min="2" max="2" width="11.85546875" style="43" customWidth="1"/>
    <col min="4" max="4" width="15.7109375" style="48" customWidth="1"/>
    <col min="5" max="5" width="95" bestFit="1" customWidth="1"/>
    <col min="6" max="6" width="17" style="48" customWidth="1"/>
    <col min="9" max="9" width="10.140625" bestFit="1" customWidth="1"/>
    <col min="10" max="10" width="14.42578125" customWidth="1"/>
    <col min="11" max="11" width="12.42578125" customWidth="1"/>
    <col min="12" max="12" width="10.140625" customWidth="1"/>
    <col min="13" max="13" width="24" customWidth="1"/>
    <col min="14" max="14" width="38.85546875" customWidth="1"/>
    <col min="15" max="16" width="9.42578125" bestFit="1" customWidth="1"/>
    <col min="20" max="20" width="9.42578125" bestFit="1" customWidth="1"/>
    <col min="22" max="22" width="18.28515625" customWidth="1"/>
    <col min="23" max="23" width="20.5703125" customWidth="1"/>
    <col min="24" max="24" width="39" customWidth="1"/>
  </cols>
  <sheetData>
    <row r="1" spans="1:24" ht="53.25">
      <c r="A1" s="7" t="s">
        <v>243</v>
      </c>
      <c r="B1" s="7" t="s">
        <v>244</v>
      </c>
      <c r="C1" s="7" t="s">
        <v>245</v>
      </c>
      <c r="D1" s="88" t="s">
        <v>246</v>
      </c>
      <c r="E1" s="7" t="s">
        <v>247</v>
      </c>
      <c r="F1" s="1" t="s">
        <v>248</v>
      </c>
      <c r="G1" s="7" t="s">
        <v>966</v>
      </c>
      <c r="H1" s="7" t="s">
        <v>967</v>
      </c>
      <c r="I1" s="7" t="s">
        <v>254</v>
      </c>
      <c r="J1" s="7" t="s">
        <v>255</v>
      </c>
      <c r="K1" s="7" t="s">
        <v>256</v>
      </c>
      <c r="L1" s="7" t="s">
        <v>257</v>
      </c>
      <c r="M1" s="7" t="s">
        <v>258</v>
      </c>
      <c r="N1" s="7" t="s">
        <v>259</v>
      </c>
      <c r="O1" s="7" t="s">
        <v>260</v>
      </c>
      <c r="P1" s="7" t="s">
        <v>261</v>
      </c>
      <c r="Q1" s="7" t="s">
        <v>262</v>
      </c>
      <c r="R1" s="7" t="s">
        <v>263</v>
      </c>
      <c r="S1" s="7" t="s">
        <v>264</v>
      </c>
      <c r="T1" s="7" t="s">
        <v>265</v>
      </c>
      <c r="U1" s="7" t="s">
        <v>263</v>
      </c>
      <c r="V1" s="7" t="s">
        <v>267</v>
      </c>
      <c r="W1" s="7" t="s">
        <v>268</v>
      </c>
      <c r="X1" s="64" t="s">
        <v>269</v>
      </c>
    </row>
    <row r="2" spans="1:24" ht="30.75" customHeight="1">
      <c r="A2" s="32">
        <v>1</v>
      </c>
      <c r="B2" s="32" t="s">
        <v>43</v>
      </c>
      <c r="C2" s="77" t="s">
        <v>275</v>
      </c>
      <c r="D2" s="89">
        <v>44653</v>
      </c>
      <c r="E2" s="78" t="s">
        <v>1311</v>
      </c>
      <c r="F2" s="92" t="s">
        <v>13</v>
      </c>
      <c r="G2" s="33">
        <v>5</v>
      </c>
      <c r="H2" s="33">
        <v>5</v>
      </c>
      <c r="I2" s="65" t="s">
        <v>13</v>
      </c>
      <c r="J2" s="65" t="s">
        <v>1019</v>
      </c>
      <c r="K2" s="65" t="s">
        <v>1289</v>
      </c>
      <c r="L2" s="65" t="s">
        <v>287</v>
      </c>
      <c r="M2" s="65" t="s">
        <v>1221</v>
      </c>
      <c r="N2" s="66" t="s">
        <v>1312</v>
      </c>
      <c r="O2" s="50">
        <v>45420</v>
      </c>
      <c r="P2" s="50">
        <v>45420</v>
      </c>
      <c r="Q2" s="65" t="s">
        <v>287</v>
      </c>
      <c r="R2" s="65" t="s">
        <v>1208</v>
      </c>
      <c r="S2" s="65" t="s">
        <v>441</v>
      </c>
      <c r="T2" s="50">
        <v>45420</v>
      </c>
      <c r="U2" s="65" t="s">
        <v>1208</v>
      </c>
      <c r="V2" s="65" t="s">
        <v>1208</v>
      </c>
      <c r="W2" s="65"/>
      <c r="X2" s="15"/>
    </row>
    <row r="3" spans="1:24" ht="24">
      <c r="A3" s="65">
        <v>2</v>
      </c>
      <c r="B3" s="32" t="s">
        <v>1313</v>
      </c>
      <c r="C3" s="67" t="s">
        <v>272</v>
      </c>
      <c r="D3" s="89">
        <v>84843</v>
      </c>
      <c r="E3" s="78" t="s">
        <v>1314</v>
      </c>
      <c r="F3" s="92" t="s">
        <v>13</v>
      </c>
      <c r="G3" s="68">
        <v>2</v>
      </c>
      <c r="H3" s="68">
        <v>2</v>
      </c>
      <c r="I3" s="65" t="s">
        <v>541</v>
      </c>
      <c r="J3" s="65" t="s">
        <v>541</v>
      </c>
      <c r="K3" s="65" t="s">
        <v>541</v>
      </c>
      <c r="L3" s="65" t="s">
        <v>541</v>
      </c>
      <c r="M3" s="65" t="s">
        <v>541</v>
      </c>
      <c r="N3" s="65" t="s">
        <v>541</v>
      </c>
      <c r="O3" s="65" t="s">
        <v>541</v>
      </c>
      <c r="P3" s="65" t="s">
        <v>541</v>
      </c>
      <c r="Q3" s="65" t="s">
        <v>541</v>
      </c>
      <c r="R3" s="65" t="s">
        <v>541</v>
      </c>
      <c r="S3" s="65" t="s">
        <v>541</v>
      </c>
      <c r="T3" s="65" t="s">
        <v>541</v>
      </c>
      <c r="U3" s="65" t="s">
        <v>541</v>
      </c>
      <c r="V3" s="65" t="s">
        <v>541</v>
      </c>
      <c r="W3" s="65"/>
      <c r="X3" s="65"/>
    </row>
    <row r="4" spans="1:24" ht="24">
      <c r="A4" s="65">
        <v>3</v>
      </c>
      <c r="B4" s="32" t="s">
        <v>1313</v>
      </c>
      <c r="C4" s="67" t="s">
        <v>1019</v>
      </c>
      <c r="D4" s="48">
        <v>43391</v>
      </c>
      <c r="E4" s="90" t="s">
        <v>1315</v>
      </c>
      <c r="F4" s="94" t="s">
        <v>1232</v>
      </c>
      <c r="G4" s="68">
        <v>2</v>
      </c>
      <c r="H4" s="87">
        <v>1.5</v>
      </c>
      <c r="I4" s="12" t="s">
        <v>13</v>
      </c>
      <c r="J4" s="65" t="s">
        <v>275</v>
      </c>
      <c r="K4" s="65" t="s">
        <v>1289</v>
      </c>
      <c r="L4" s="65" t="s">
        <v>275</v>
      </c>
      <c r="M4" s="65" t="s">
        <v>1316</v>
      </c>
      <c r="N4" s="66" t="s">
        <v>1317</v>
      </c>
      <c r="O4" s="50">
        <v>45420</v>
      </c>
      <c r="P4" s="50">
        <v>45421</v>
      </c>
      <c r="Q4" s="65" t="s">
        <v>275</v>
      </c>
      <c r="R4" s="65" t="s">
        <v>1208</v>
      </c>
      <c r="S4" s="65" t="s">
        <v>441</v>
      </c>
      <c r="T4" s="50">
        <v>45421</v>
      </c>
      <c r="U4" s="68" t="s">
        <v>1208</v>
      </c>
      <c r="V4" s="65" t="s">
        <v>1208</v>
      </c>
      <c r="W4" s="58"/>
    </row>
    <row r="5" spans="1:24" ht="24">
      <c r="A5" s="65">
        <v>4</v>
      </c>
      <c r="B5" s="32" t="s">
        <v>1313</v>
      </c>
      <c r="C5" s="67" t="s">
        <v>1019</v>
      </c>
      <c r="D5" s="83">
        <v>44669</v>
      </c>
      <c r="E5" s="78" t="s">
        <v>1318</v>
      </c>
      <c r="F5" s="92" t="s">
        <v>13</v>
      </c>
      <c r="G5" s="68">
        <v>2</v>
      </c>
      <c r="H5" s="68">
        <v>2</v>
      </c>
      <c r="I5" s="65" t="s">
        <v>13</v>
      </c>
      <c r="J5" s="65" t="s">
        <v>275</v>
      </c>
      <c r="K5" s="65" t="s">
        <v>1289</v>
      </c>
      <c r="L5" s="65" t="s">
        <v>275</v>
      </c>
      <c r="M5" s="65" t="s">
        <v>1221</v>
      </c>
      <c r="N5" s="84" t="s">
        <v>1319</v>
      </c>
      <c r="O5" s="50">
        <v>45421</v>
      </c>
      <c r="P5" s="50">
        <v>45421</v>
      </c>
      <c r="Q5" s="65" t="s">
        <v>275</v>
      </c>
      <c r="R5" s="65" t="s">
        <v>1208</v>
      </c>
      <c r="S5" s="65" t="s">
        <v>441</v>
      </c>
      <c r="T5" s="50">
        <v>45421</v>
      </c>
      <c r="U5" s="68" t="s">
        <v>1208</v>
      </c>
      <c r="V5" s="65" t="s">
        <v>1208</v>
      </c>
      <c r="W5" s="65"/>
      <c r="X5" s="58"/>
    </row>
    <row r="6" spans="1:24" ht="24">
      <c r="A6" s="65">
        <v>5</v>
      </c>
      <c r="B6" s="32" t="s">
        <v>1313</v>
      </c>
      <c r="C6" s="67" t="s">
        <v>1019</v>
      </c>
      <c r="D6" s="76">
        <v>44700</v>
      </c>
      <c r="E6" s="78" t="s">
        <v>1320</v>
      </c>
      <c r="F6" s="92" t="s">
        <v>13</v>
      </c>
      <c r="G6" s="68">
        <v>1</v>
      </c>
      <c r="H6" s="68">
        <v>1</v>
      </c>
      <c r="I6" s="65" t="s">
        <v>13</v>
      </c>
      <c r="J6" s="65" t="s">
        <v>275</v>
      </c>
      <c r="K6" s="65" t="s">
        <v>1289</v>
      </c>
      <c r="L6" s="65" t="s">
        <v>275</v>
      </c>
      <c r="M6" s="65" t="s">
        <v>1221</v>
      </c>
      <c r="N6" s="66" t="s">
        <v>1321</v>
      </c>
      <c r="O6" s="50">
        <v>45421</v>
      </c>
      <c r="P6" s="50">
        <v>45421</v>
      </c>
      <c r="Q6" s="65" t="s">
        <v>275</v>
      </c>
      <c r="R6" s="65" t="s">
        <v>1208</v>
      </c>
      <c r="S6" s="65" t="s">
        <v>441</v>
      </c>
      <c r="T6" s="50">
        <v>45421</v>
      </c>
      <c r="U6" s="65" t="s">
        <v>1208</v>
      </c>
      <c r="V6" s="65" t="s">
        <v>1208</v>
      </c>
      <c r="W6" s="65"/>
      <c r="X6" s="65"/>
    </row>
    <row r="7" spans="1:24" ht="24">
      <c r="A7" s="65">
        <v>6</v>
      </c>
      <c r="B7" s="32" t="s">
        <v>1313</v>
      </c>
      <c r="C7" s="67" t="s">
        <v>1019</v>
      </c>
      <c r="D7" s="76">
        <v>23375</v>
      </c>
      <c r="E7" s="78" t="s">
        <v>1322</v>
      </c>
      <c r="F7" s="92" t="s">
        <v>13</v>
      </c>
      <c r="G7" s="68">
        <v>2</v>
      </c>
      <c r="H7" s="68">
        <v>2</v>
      </c>
      <c r="I7" s="65" t="s">
        <v>13</v>
      </c>
      <c r="J7" s="65" t="s">
        <v>287</v>
      </c>
      <c r="K7" s="65" t="s">
        <v>1289</v>
      </c>
      <c r="L7" s="65" t="s">
        <v>287</v>
      </c>
      <c r="M7" s="65" t="s">
        <v>1221</v>
      </c>
      <c r="N7" s="66" t="s">
        <v>1323</v>
      </c>
      <c r="O7" s="50">
        <v>45422</v>
      </c>
      <c r="P7" s="50">
        <v>45422</v>
      </c>
      <c r="Q7" s="65" t="s">
        <v>287</v>
      </c>
      <c r="R7" s="65" t="s">
        <v>1208</v>
      </c>
      <c r="S7" s="65" t="s">
        <v>441</v>
      </c>
      <c r="T7" s="50">
        <v>45422</v>
      </c>
      <c r="U7" s="65" t="s">
        <v>1208</v>
      </c>
      <c r="V7" s="65" t="s">
        <v>1208</v>
      </c>
      <c r="W7" s="65"/>
      <c r="X7" s="65"/>
    </row>
    <row r="8" spans="1:24" ht="24">
      <c r="A8" s="65">
        <v>7</v>
      </c>
      <c r="B8" s="32" t="s">
        <v>1313</v>
      </c>
      <c r="C8" s="67" t="s">
        <v>275</v>
      </c>
      <c r="D8" s="76">
        <v>44666</v>
      </c>
      <c r="E8" s="90" t="s">
        <v>1288</v>
      </c>
      <c r="F8" s="94" t="s">
        <v>1324</v>
      </c>
      <c r="G8" s="68">
        <v>5</v>
      </c>
      <c r="H8" s="87">
        <v>2</v>
      </c>
      <c r="I8" s="65"/>
      <c r="J8" s="65"/>
      <c r="K8" s="65"/>
      <c r="L8" s="65"/>
      <c r="M8" s="65"/>
      <c r="N8" s="66"/>
      <c r="O8" s="50"/>
      <c r="P8" s="50"/>
      <c r="Q8" s="65"/>
      <c r="R8" s="65"/>
      <c r="S8" s="65"/>
      <c r="T8" s="50"/>
      <c r="U8" s="65"/>
      <c r="V8" s="65"/>
      <c r="W8" s="65"/>
      <c r="X8" s="65"/>
    </row>
    <row r="9" spans="1:24" ht="24">
      <c r="A9" s="65">
        <v>8</v>
      </c>
      <c r="B9" s="86" t="s">
        <v>1313</v>
      </c>
      <c r="C9" s="67" t="s">
        <v>1019</v>
      </c>
      <c r="D9" s="83">
        <v>44111</v>
      </c>
      <c r="E9" s="91" t="s">
        <v>1294</v>
      </c>
      <c r="F9" s="94" t="s">
        <v>1325</v>
      </c>
      <c r="G9" s="68">
        <v>3</v>
      </c>
      <c r="H9" s="87">
        <v>3</v>
      </c>
      <c r="I9" s="67" t="s">
        <v>13</v>
      </c>
      <c r="J9" s="67" t="s">
        <v>275</v>
      </c>
      <c r="K9" s="67" t="s">
        <v>1289</v>
      </c>
      <c r="L9" s="67" t="s">
        <v>275</v>
      </c>
      <c r="M9" s="67" t="s">
        <v>1221</v>
      </c>
      <c r="N9" s="67" t="s">
        <v>1295</v>
      </c>
      <c r="O9" s="67">
        <v>45427</v>
      </c>
      <c r="P9" s="67"/>
      <c r="Q9" s="67" t="s">
        <v>275</v>
      </c>
      <c r="R9" s="67" t="s">
        <v>1208</v>
      </c>
      <c r="S9" s="65" t="s">
        <v>441</v>
      </c>
      <c r="T9" s="67"/>
      <c r="U9" s="67" t="s">
        <v>1208</v>
      </c>
      <c r="V9" s="67" t="s">
        <v>1326</v>
      </c>
      <c r="W9" s="67"/>
      <c r="X9" s="67"/>
    </row>
    <row r="10" spans="1:24" ht="24">
      <c r="A10">
        <v>9</v>
      </c>
      <c r="B10" s="86" t="s">
        <v>1313</v>
      </c>
      <c r="C10" s="67" t="s">
        <v>1019</v>
      </c>
      <c r="D10" s="83">
        <v>44112</v>
      </c>
      <c r="E10" s="91" t="s">
        <v>1296</v>
      </c>
      <c r="F10" s="94" t="s">
        <v>1325</v>
      </c>
      <c r="G10" s="68">
        <v>2</v>
      </c>
      <c r="H10" s="87">
        <v>2</v>
      </c>
      <c r="I10" s="67" t="s">
        <v>13</v>
      </c>
      <c r="J10" s="67" t="s">
        <v>275</v>
      </c>
      <c r="K10" s="67" t="s">
        <v>1289</v>
      </c>
      <c r="L10" s="67" t="s">
        <v>275</v>
      </c>
      <c r="M10" s="67" t="s">
        <v>1221</v>
      </c>
      <c r="N10" s="67" t="s">
        <v>1295</v>
      </c>
      <c r="O10" s="67">
        <v>45427</v>
      </c>
      <c r="P10" s="67"/>
      <c r="Q10" s="67" t="s">
        <v>275</v>
      </c>
      <c r="R10" s="67" t="s">
        <v>1208</v>
      </c>
      <c r="S10" s="65" t="s">
        <v>441</v>
      </c>
      <c r="T10" s="67"/>
      <c r="U10" s="67" t="s">
        <v>1208</v>
      </c>
      <c r="V10" s="67" t="s">
        <v>1326</v>
      </c>
      <c r="W10" s="67"/>
      <c r="X10" s="67"/>
    </row>
    <row r="11" spans="1:24">
      <c r="A11">
        <v>10</v>
      </c>
      <c r="B11" s="86" t="s">
        <v>43</v>
      </c>
      <c r="C11" s="67" t="s">
        <v>287</v>
      </c>
      <c r="D11" s="83">
        <v>44660</v>
      </c>
      <c r="E11" s="67" t="s">
        <v>1327</v>
      </c>
      <c r="F11" s="92" t="s">
        <v>13</v>
      </c>
      <c r="G11" s="68">
        <v>5</v>
      </c>
      <c r="H11" s="68">
        <v>5</v>
      </c>
      <c r="I11" s="67" t="s">
        <v>13</v>
      </c>
      <c r="J11" s="67" t="s">
        <v>275</v>
      </c>
      <c r="K11" s="67" t="s">
        <v>1328</v>
      </c>
      <c r="L11" s="67" t="s">
        <v>275</v>
      </c>
      <c r="M11" s="67" t="s">
        <v>1221</v>
      </c>
      <c r="N11" s="85" t="s">
        <v>1329</v>
      </c>
      <c r="O11" s="50">
        <v>45418</v>
      </c>
      <c r="P11" s="50">
        <v>45418</v>
      </c>
      <c r="Q11" s="67" t="s">
        <v>275</v>
      </c>
      <c r="R11" s="67" t="s">
        <v>1208</v>
      </c>
      <c r="S11" s="65" t="s">
        <v>441</v>
      </c>
      <c r="T11" s="50">
        <v>45418</v>
      </c>
      <c r="U11" s="67" t="s">
        <v>1208</v>
      </c>
      <c r="V11" s="67" t="s">
        <v>1208</v>
      </c>
      <c r="W11" s="67"/>
      <c r="X11" s="67"/>
    </row>
    <row r="12" spans="1:24" ht="24">
      <c r="A12">
        <v>11</v>
      </c>
      <c r="B12" s="86" t="s">
        <v>1313</v>
      </c>
      <c r="C12" s="67" t="s">
        <v>287</v>
      </c>
      <c r="D12" s="83">
        <v>44655</v>
      </c>
      <c r="E12" s="67" t="s">
        <v>1330</v>
      </c>
      <c r="F12" s="92" t="s">
        <v>13</v>
      </c>
      <c r="G12" s="68">
        <v>3</v>
      </c>
      <c r="H12" s="68">
        <v>3</v>
      </c>
      <c r="I12" s="67" t="s">
        <v>13</v>
      </c>
      <c r="J12" s="67" t="s">
        <v>275</v>
      </c>
      <c r="K12" s="67" t="s">
        <v>1328</v>
      </c>
      <c r="L12" s="67" t="s">
        <v>275</v>
      </c>
      <c r="M12" s="67" t="s">
        <v>1221</v>
      </c>
      <c r="N12" s="85" t="s">
        <v>1331</v>
      </c>
      <c r="O12" s="50">
        <v>45422</v>
      </c>
      <c r="P12" s="50">
        <v>45422</v>
      </c>
      <c r="Q12" s="67" t="s">
        <v>275</v>
      </c>
      <c r="R12" s="67" t="s">
        <v>1208</v>
      </c>
      <c r="S12" s="65" t="s">
        <v>441</v>
      </c>
      <c r="T12" s="50">
        <v>45422</v>
      </c>
      <c r="U12" s="67" t="s">
        <v>1208</v>
      </c>
      <c r="V12" s="67" t="s">
        <v>1208</v>
      </c>
      <c r="W12" s="67"/>
      <c r="X12" s="67"/>
    </row>
    <row r="13" spans="1:24">
      <c r="B13" s="86"/>
      <c r="C13" s="67"/>
      <c r="D13" s="83"/>
      <c r="E13" s="67"/>
      <c r="F13" s="83"/>
      <c r="G13" s="67"/>
      <c r="H13" s="67"/>
      <c r="I13" s="67"/>
      <c r="J13" s="67"/>
      <c r="K13" s="67"/>
      <c r="L13" s="67"/>
      <c r="M13" s="67"/>
      <c r="N13" s="67"/>
      <c r="O13" s="67"/>
      <c r="P13" s="67"/>
      <c r="Q13" s="67"/>
      <c r="R13" s="67"/>
      <c r="S13" s="67"/>
      <c r="T13" s="67"/>
      <c r="U13" s="67"/>
      <c r="V13" s="67"/>
      <c r="W13" s="67"/>
      <c r="X13" s="67"/>
    </row>
    <row r="14" spans="1:24">
      <c r="B14" s="86"/>
      <c r="C14" s="67"/>
      <c r="D14" s="83"/>
      <c r="E14" s="67"/>
      <c r="F14" s="83"/>
      <c r="G14" s="67"/>
      <c r="H14" s="67"/>
      <c r="I14" s="67"/>
      <c r="J14" s="67"/>
      <c r="K14" s="67"/>
      <c r="L14" s="67"/>
      <c r="M14" s="67"/>
      <c r="N14" s="67"/>
      <c r="O14" s="67"/>
      <c r="P14" s="67"/>
      <c r="Q14" s="67"/>
      <c r="R14" s="67"/>
      <c r="S14" s="67"/>
      <c r="T14" s="67"/>
      <c r="U14" s="67"/>
      <c r="V14" s="67"/>
      <c r="W14" s="67"/>
      <c r="X14" s="67"/>
    </row>
    <row r="15" spans="1:24">
      <c r="B15" s="86"/>
      <c r="C15" s="67"/>
      <c r="D15" s="83"/>
      <c r="E15" s="67"/>
      <c r="F15" s="83"/>
      <c r="G15" s="67"/>
      <c r="H15" s="67"/>
      <c r="I15" s="67"/>
      <c r="J15" s="67"/>
      <c r="K15" s="67"/>
      <c r="L15" s="67"/>
      <c r="M15" s="67"/>
      <c r="N15" s="67"/>
      <c r="O15" s="67"/>
      <c r="P15" s="67"/>
      <c r="Q15" s="67"/>
      <c r="R15" s="67"/>
      <c r="S15" s="67"/>
      <c r="T15" s="67"/>
      <c r="U15" s="67"/>
      <c r="V15" s="67"/>
      <c r="W15" s="67"/>
      <c r="X15" s="67"/>
    </row>
    <row r="16" spans="1:24">
      <c r="B16" s="86"/>
      <c r="C16" s="67"/>
      <c r="D16" s="83"/>
      <c r="E16" s="67"/>
      <c r="F16" s="83"/>
      <c r="G16" s="67"/>
      <c r="H16" s="67"/>
      <c r="I16" s="67"/>
      <c r="J16" s="67"/>
      <c r="K16" s="67"/>
      <c r="L16" s="67"/>
      <c r="M16" s="67"/>
      <c r="N16" s="67"/>
      <c r="O16" s="67"/>
      <c r="P16" s="67"/>
      <c r="Q16" s="67"/>
      <c r="R16" s="67"/>
      <c r="S16" s="67"/>
      <c r="T16" s="67"/>
      <c r="U16" s="67"/>
      <c r="V16" s="67"/>
      <c r="W16" s="67"/>
      <c r="X16" s="67"/>
    </row>
    <row r="17" spans="2:24">
      <c r="B17" s="86"/>
      <c r="C17" s="67"/>
      <c r="D17" s="83"/>
      <c r="E17" s="67"/>
      <c r="F17" s="83"/>
      <c r="G17" s="67"/>
      <c r="H17" s="67"/>
      <c r="I17" s="67"/>
      <c r="J17" s="67"/>
      <c r="K17" s="67"/>
      <c r="L17" s="67"/>
      <c r="M17" s="67"/>
      <c r="N17" s="67"/>
      <c r="O17" s="67"/>
      <c r="P17" s="67"/>
      <c r="Q17" s="67"/>
      <c r="R17" s="67"/>
      <c r="S17" s="67"/>
      <c r="T17" s="67"/>
      <c r="U17" s="67"/>
      <c r="V17" s="67"/>
      <c r="W17" s="67"/>
      <c r="X17" s="67"/>
    </row>
    <row r="18" spans="2:24">
      <c r="B18" s="86"/>
      <c r="C18" s="67"/>
      <c r="D18" s="83"/>
      <c r="E18" s="67"/>
      <c r="F18" s="83"/>
      <c r="G18" s="67"/>
      <c r="H18" s="67"/>
      <c r="I18" s="67"/>
      <c r="J18" s="67"/>
      <c r="K18" s="67"/>
      <c r="L18" s="67"/>
      <c r="M18" s="67"/>
      <c r="N18" s="67"/>
      <c r="O18" s="67"/>
      <c r="P18" s="67"/>
      <c r="Q18" s="67"/>
      <c r="R18" s="67"/>
      <c r="S18" s="67"/>
      <c r="T18" s="67"/>
      <c r="U18" s="67"/>
      <c r="V18" s="67"/>
      <c r="W18" s="67"/>
      <c r="X18" s="67"/>
    </row>
    <row r="19" spans="2:24">
      <c r="B19" s="86"/>
      <c r="C19" s="67"/>
      <c r="D19" s="83"/>
      <c r="E19" s="67"/>
      <c r="F19" s="83"/>
      <c r="G19" s="67"/>
      <c r="H19" s="67"/>
      <c r="I19" s="67"/>
      <c r="J19" s="67"/>
      <c r="K19" s="67"/>
      <c r="L19" s="67"/>
      <c r="M19" s="67"/>
      <c r="N19" s="67"/>
      <c r="O19" s="67"/>
      <c r="P19" s="67"/>
      <c r="Q19" s="67"/>
      <c r="R19" s="67"/>
      <c r="S19" s="67"/>
      <c r="T19" s="67"/>
      <c r="U19" s="67"/>
      <c r="V19" s="67"/>
      <c r="W19" s="67"/>
      <c r="X19" s="67"/>
    </row>
    <row r="20" spans="2:24">
      <c r="B20" s="86"/>
      <c r="C20" s="67"/>
      <c r="D20" s="83"/>
      <c r="E20" s="67"/>
      <c r="F20" s="83"/>
      <c r="G20" s="67"/>
      <c r="H20" s="67"/>
      <c r="I20" s="67"/>
      <c r="J20" s="67"/>
      <c r="K20" s="67"/>
      <c r="L20" s="67"/>
      <c r="M20" s="67"/>
      <c r="N20" s="67"/>
      <c r="O20" s="67"/>
      <c r="P20" s="67"/>
      <c r="Q20" s="67"/>
      <c r="R20" s="67"/>
      <c r="S20" s="67"/>
      <c r="T20" s="67"/>
      <c r="U20" s="67"/>
      <c r="V20" s="67"/>
      <c r="W20" s="67"/>
      <c r="X20" s="67"/>
    </row>
    <row r="21" spans="2:24">
      <c r="B21" s="86"/>
      <c r="C21" s="67"/>
      <c r="D21" s="83"/>
      <c r="E21" s="67"/>
      <c r="F21" s="83"/>
      <c r="G21" s="67"/>
      <c r="H21" s="67"/>
      <c r="I21" s="67"/>
      <c r="J21" s="67"/>
      <c r="K21" s="67"/>
      <c r="L21" s="67"/>
      <c r="M21" s="67"/>
      <c r="N21" s="67"/>
      <c r="O21" s="67"/>
      <c r="P21" s="67"/>
      <c r="Q21" s="67"/>
      <c r="R21" s="67"/>
      <c r="S21" s="67"/>
      <c r="T21" s="67"/>
      <c r="U21" s="67"/>
      <c r="V21" s="67"/>
      <c r="W21" s="67"/>
      <c r="X21" s="67"/>
    </row>
    <row r="22" spans="2:24">
      <c r="B22" s="86"/>
      <c r="C22" s="67"/>
      <c r="D22" s="83"/>
      <c r="E22" s="67"/>
      <c r="F22" s="83"/>
      <c r="G22" s="67"/>
      <c r="H22" s="67"/>
      <c r="I22" s="67"/>
      <c r="J22" s="67"/>
      <c r="K22" s="67"/>
      <c r="L22" s="67"/>
      <c r="M22" s="67"/>
      <c r="N22" s="67"/>
      <c r="O22" s="67"/>
      <c r="P22" s="67"/>
      <c r="Q22" s="67"/>
      <c r="R22" s="67"/>
      <c r="S22" s="67"/>
      <c r="T22" s="67"/>
      <c r="U22" s="67"/>
      <c r="V22" s="67"/>
      <c r="W22" s="67"/>
      <c r="X22" s="67"/>
    </row>
    <row r="23" spans="2:24">
      <c r="B23" s="86"/>
      <c r="C23" s="67"/>
      <c r="D23" s="83"/>
      <c r="E23" s="67"/>
      <c r="F23" s="83"/>
      <c r="G23" s="67"/>
      <c r="H23" s="67"/>
      <c r="I23" s="67"/>
      <c r="J23" s="67"/>
      <c r="K23" s="67"/>
      <c r="L23" s="67"/>
      <c r="M23" s="67"/>
      <c r="N23" s="67"/>
      <c r="O23" s="67"/>
      <c r="P23" s="67"/>
      <c r="Q23" s="67"/>
      <c r="R23" s="67"/>
      <c r="S23" s="67"/>
      <c r="T23" s="67"/>
      <c r="U23" s="67"/>
      <c r="V23" s="67"/>
      <c r="W23" s="67"/>
      <c r="X23" s="67"/>
    </row>
    <row r="24" spans="2:24">
      <c r="B24" s="86"/>
      <c r="C24" s="67"/>
      <c r="D24" s="83"/>
      <c r="E24" s="67"/>
      <c r="F24" s="83"/>
      <c r="G24" s="67"/>
      <c r="H24" s="67"/>
      <c r="I24" s="67"/>
      <c r="J24" s="67"/>
      <c r="K24" s="67"/>
      <c r="L24" s="67"/>
      <c r="M24" s="67"/>
      <c r="N24" s="67"/>
      <c r="O24" s="67"/>
      <c r="P24" s="67"/>
      <c r="Q24" s="67"/>
      <c r="R24" s="67"/>
      <c r="S24" s="67"/>
      <c r="T24" s="67"/>
      <c r="U24" s="67"/>
      <c r="V24" s="67"/>
      <c r="W24" s="67"/>
      <c r="X24" s="67"/>
    </row>
  </sheetData>
  <hyperlinks>
    <hyperlink ref="N2" r:id="rId1" xr:uid="{8D17AD14-CDAC-421C-8B8F-48723C269DAD}"/>
    <hyperlink ref="N4" r:id="rId2" xr:uid="{394AA0F1-FD5A-4C6C-BF48-CF80C03A473D}"/>
    <hyperlink ref="N5" r:id="rId3" xr:uid="{EEE6FD11-322A-464F-8B32-55A7F6CB497A}"/>
    <hyperlink ref="N6" r:id="rId4" xr:uid="{8277C430-00D9-4748-9A84-4B1C3A9AB56C}"/>
    <hyperlink ref="N7" r:id="rId5" xr:uid="{C1C916C7-A5E4-4248-A639-DB32E8B103DF}"/>
    <hyperlink ref="N9" r:id="rId6" xr:uid="{58E8C02F-6A42-49D5-BC30-6DCD68A3E630}"/>
    <hyperlink ref="N10" r:id="rId7" xr:uid="{137EC466-6419-47AA-B4C2-567CD3743C6D}"/>
    <hyperlink ref="N11" r:id="rId8" xr:uid="{27CBA829-CED2-4172-AF32-EDF0BD7D4BEA}"/>
    <hyperlink ref="N12" r:id="rId9" xr:uid="{A35DDF27-3050-4960-AE98-964C047A707C}"/>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F9AF4-4A15-487A-89AB-91467043320D}">
  <dimension ref="A1:K9"/>
  <sheetViews>
    <sheetView workbookViewId="0">
      <selection activeCell="A2" sqref="A2"/>
    </sheetView>
  </sheetViews>
  <sheetFormatPr defaultRowHeight="12.75"/>
  <cols>
    <col min="6" max="6" width="49.5703125" customWidth="1"/>
    <col min="9" max="9" width="13.5703125" customWidth="1"/>
  </cols>
  <sheetData>
    <row r="1" spans="1:11" ht="40.5">
      <c r="A1" s="51" t="s">
        <v>243</v>
      </c>
      <c r="B1" s="54" t="s">
        <v>11</v>
      </c>
      <c r="C1" s="54" t="s">
        <v>297</v>
      </c>
      <c r="D1" s="54" t="s">
        <v>245</v>
      </c>
      <c r="E1" s="55" t="s">
        <v>299</v>
      </c>
      <c r="F1" s="55" t="s">
        <v>300</v>
      </c>
      <c r="G1" s="54" t="s">
        <v>301</v>
      </c>
      <c r="H1" s="54" t="s">
        <v>303</v>
      </c>
      <c r="I1" s="54" t="s">
        <v>248</v>
      </c>
      <c r="J1" s="56" t="s">
        <v>305</v>
      </c>
      <c r="K1" s="57" t="s">
        <v>269</v>
      </c>
    </row>
    <row r="2" spans="1:11" ht="36">
      <c r="A2">
        <v>1</v>
      </c>
      <c r="B2" s="32" t="s">
        <v>1313</v>
      </c>
      <c r="C2" s="74">
        <v>23375</v>
      </c>
      <c r="D2" t="s">
        <v>1019</v>
      </c>
      <c r="E2" t="s">
        <v>715</v>
      </c>
      <c r="F2" s="49" t="s">
        <v>1322</v>
      </c>
      <c r="G2" t="s">
        <v>335</v>
      </c>
      <c r="H2" t="s">
        <v>371</v>
      </c>
      <c r="I2" s="93" t="s">
        <v>13</v>
      </c>
      <c r="J2" t="s">
        <v>1332</v>
      </c>
    </row>
    <row r="3" spans="1:11">
      <c r="B3" s="73"/>
      <c r="C3" s="73"/>
      <c r="F3" s="71"/>
    </row>
    <row r="4" spans="1:11">
      <c r="B4" s="73"/>
      <c r="C4" s="73"/>
      <c r="F4" s="71"/>
    </row>
    <row r="5" spans="1:11">
      <c r="B5" s="73"/>
      <c r="C5" s="73"/>
      <c r="F5" s="71"/>
    </row>
    <row r="6" spans="1:11">
      <c r="B6" s="73"/>
      <c r="C6" s="70"/>
      <c r="F6" s="71"/>
    </row>
    <row r="7" spans="1:11">
      <c r="B7" s="73"/>
      <c r="F7" s="43"/>
    </row>
    <row r="8" spans="1:11">
      <c r="B8" s="73"/>
      <c r="F8" s="43"/>
    </row>
    <row r="9" spans="1:11">
      <c r="B9" s="73"/>
      <c r="C9" s="73"/>
      <c r="F9" s="71"/>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C32B3-51DF-4E50-B0BE-8F93EC5B8A76}">
  <dimension ref="A1:X9"/>
  <sheetViews>
    <sheetView workbookViewId="0">
      <selection activeCell="E6" sqref="E6"/>
    </sheetView>
  </sheetViews>
  <sheetFormatPr defaultRowHeight="12.75"/>
  <cols>
    <col min="2" max="2" width="11.85546875" customWidth="1"/>
    <col min="4" max="4" width="11" bestFit="1" customWidth="1"/>
    <col min="5" max="5" width="73.7109375" customWidth="1"/>
    <col min="8" max="8" width="10.140625" bestFit="1" customWidth="1"/>
    <col min="9" max="9" width="11.85546875" customWidth="1"/>
    <col min="12" max="12" width="24" customWidth="1"/>
    <col min="14" max="15" width="9.42578125" bestFit="1" customWidth="1"/>
    <col min="19" max="19" width="9.42578125" bestFit="1" customWidth="1"/>
    <col min="21" max="21" width="18.28515625" customWidth="1"/>
    <col min="22" max="22" width="20.5703125" customWidth="1"/>
    <col min="23" max="23" width="17" customWidth="1"/>
    <col min="24" max="24" width="39" customWidth="1"/>
  </cols>
  <sheetData>
    <row r="1" spans="1:24" ht="53.25">
      <c r="A1" s="7" t="s">
        <v>243</v>
      </c>
      <c r="B1" s="7" t="s">
        <v>244</v>
      </c>
      <c r="C1" s="7" t="s">
        <v>245</v>
      </c>
      <c r="D1" s="51" t="s">
        <v>246</v>
      </c>
      <c r="E1" s="7" t="s">
        <v>247</v>
      </c>
      <c r="F1" s="7" t="s">
        <v>966</v>
      </c>
      <c r="G1" s="7" t="s">
        <v>967</v>
      </c>
      <c r="H1" s="7" t="s">
        <v>254</v>
      </c>
      <c r="I1" s="7" t="s">
        <v>255</v>
      </c>
      <c r="J1" s="7" t="s">
        <v>256</v>
      </c>
      <c r="K1" s="7" t="s">
        <v>257</v>
      </c>
      <c r="L1" s="7" t="s">
        <v>258</v>
      </c>
      <c r="M1" s="7" t="s">
        <v>259</v>
      </c>
      <c r="N1" s="7" t="s">
        <v>260</v>
      </c>
      <c r="O1" s="7" t="s">
        <v>261</v>
      </c>
      <c r="P1" s="7" t="s">
        <v>262</v>
      </c>
      <c r="Q1" s="7" t="s">
        <v>263</v>
      </c>
      <c r="R1" s="7" t="s">
        <v>264</v>
      </c>
      <c r="S1" s="7" t="s">
        <v>265</v>
      </c>
      <c r="T1" s="7" t="s">
        <v>263</v>
      </c>
      <c r="U1" s="7" t="s">
        <v>267</v>
      </c>
      <c r="V1" s="7" t="s">
        <v>268</v>
      </c>
      <c r="W1" s="7" t="s">
        <v>248</v>
      </c>
      <c r="X1" s="64" t="s">
        <v>269</v>
      </c>
    </row>
    <row r="2" spans="1:24" ht="30.75" customHeight="1">
      <c r="A2" s="32">
        <v>1</v>
      </c>
      <c r="B2" s="32" t="s">
        <v>40</v>
      </c>
      <c r="C2" s="77" t="s">
        <v>275</v>
      </c>
      <c r="D2" s="76">
        <v>43029</v>
      </c>
      <c r="E2" s="78" t="s">
        <v>1333</v>
      </c>
      <c r="F2" s="33">
        <v>5</v>
      </c>
      <c r="G2" s="33">
        <v>5</v>
      </c>
      <c r="H2" s="65" t="s">
        <v>13</v>
      </c>
      <c r="I2" s="65" t="s">
        <v>448</v>
      </c>
      <c r="J2" s="65" t="s">
        <v>448</v>
      </c>
      <c r="K2" s="65" t="s">
        <v>448</v>
      </c>
      <c r="L2" s="65" t="s">
        <v>448</v>
      </c>
      <c r="M2" s="65" t="s">
        <v>448</v>
      </c>
      <c r="N2" s="65" t="s">
        <v>448</v>
      </c>
      <c r="O2" s="65" t="s">
        <v>448</v>
      </c>
      <c r="P2" s="65" t="s">
        <v>448</v>
      </c>
      <c r="Q2" s="65" t="s">
        <v>448</v>
      </c>
      <c r="R2" s="65" t="s">
        <v>448</v>
      </c>
      <c r="S2" s="65" t="s">
        <v>448</v>
      </c>
      <c r="T2" s="65" t="s">
        <v>448</v>
      </c>
      <c r="U2" s="65" t="s">
        <v>448</v>
      </c>
      <c r="V2" s="65" t="s">
        <v>448</v>
      </c>
      <c r="W2" s="65" t="s">
        <v>13</v>
      </c>
      <c r="X2" s="15"/>
    </row>
    <row r="3" spans="1:24" ht="24">
      <c r="A3" s="65">
        <v>2</v>
      </c>
      <c r="B3" s="32" t="s">
        <v>40</v>
      </c>
      <c r="C3" s="67" t="s">
        <v>272</v>
      </c>
      <c r="D3" s="76">
        <v>44318</v>
      </c>
      <c r="E3" s="78" t="s">
        <v>1334</v>
      </c>
      <c r="F3" s="68">
        <v>3</v>
      </c>
      <c r="G3" s="68">
        <v>5</v>
      </c>
      <c r="H3" s="65" t="s">
        <v>448</v>
      </c>
      <c r="I3" s="65" t="s">
        <v>846</v>
      </c>
      <c r="J3" s="65" t="s">
        <v>448</v>
      </c>
      <c r="K3" s="65" t="s">
        <v>846</v>
      </c>
      <c r="L3" s="65" t="s">
        <v>448</v>
      </c>
      <c r="M3" s="66" t="s">
        <v>1335</v>
      </c>
      <c r="N3" s="50">
        <v>45408</v>
      </c>
      <c r="O3" s="50">
        <v>45411</v>
      </c>
      <c r="P3" s="65" t="s">
        <v>846</v>
      </c>
      <c r="Q3" s="65" t="s">
        <v>448</v>
      </c>
      <c r="R3" s="65" t="s">
        <v>448</v>
      </c>
      <c r="S3" s="50">
        <v>45411</v>
      </c>
      <c r="T3" s="65" t="s">
        <v>448</v>
      </c>
      <c r="U3" s="65" t="s">
        <v>448</v>
      </c>
      <c r="V3" s="65" t="s">
        <v>448</v>
      </c>
      <c r="W3" s="65" t="s">
        <v>13</v>
      </c>
      <c r="X3" s="65"/>
    </row>
    <row r="4" spans="1:24" ht="55.5" customHeight="1">
      <c r="A4" s="65">
        <v>3</v>
      </c>
      <c r="B4" s="32" t="s">
        <v>40</v>
      </c>
      <c r="C4" s="67" t="s">
        <v>1019</v>
      </c>
      <c r="D4" s="48">
        <v>44162</v>
      </c>
      <c r="E4" s="78" t="s">
        <v>1336</v>
      </c>
      <c r="F4" s="68">
        <v>2</v>
      </c>
      <c r="G4" s="68">
        <v>2</v>
      </c>
      <c r="H4" s="12" t="s">
        <v>13</v>
      </c>
      <c r="I4" s="65" t="s">
        <v>275</v>
      </c>
      <c r="J4" s="65" t="s">
        <v>448</v>
      </c>
      <c r="K4" s="65" t="s">
        <v>275</v>
      </c>
      <c r="L4" s="65" t="s">
        <v>1337</v>
      </c>
      <c r="M4" s="66" t="s">
        <v>1338</v>
      </c>
      <c r="N4" s="50">
        <v>45407</v>
      </c>
      <c r="O4" s="50">
        <v>45407</v>
      </c>
      <c r="P4" s="65" t="s">
        <v>275</v>
      </c>
      <c r="Q4" s="65" t="s">
        <v>448</v>
      </c>
      <c r="R4" s="65" t="s">
        <v>1339</v>
      </c>
      <c r="S4" s="50">
        <v>45407</v>
      </c>
      <c r="T4" s="68" t="s">
        <v>448</v>
      </c>
      <c r="U4" s="65" t="s">
        <v>448</v>
      </c>
      <c r="V4" s="58" t="s">
        <v>1340</v>
      </c>
      <c r="W4" s="65" t="s">
        <v>1341</v>
      </c>
      <c r="X4" s="58" t="s">
        <v>1342</v>
      </c>
    </row>
    <row r="5" spans="1:24" ht="24">
      <c r="A5" s="65">
        <v>4</v>
      </c>
      <c r="B5" s="32" t="s">
        <v>1343</v>
      </c>
      <c r="C5" s="67" t="s">
        <v>1019</v>
      </c>
      <c r="D5" s="83">
        <v>43391</v>
      </c>
      <c r="E5" s="78" t="s">
        <v>1315</v>
      </c>
      <c r="F5" s="68">
        <v>8</v>
      </c>
      <c r="G5" s="68">
        <v>3</v>
      </c>
      <c r="H5" s="65" t="s">
        <v>1344</v>
      </c>
      <c r="I5" s="65"/>
      <c r="J5" s="65"/>
      <c r="K5" s="65"/>
      <c r="L5" s="65"/>
      <c r="M5" s="50"/>
      <c r="N5" s="50"/>
      <c r="O5" s="50"/>
      <c r="P5" s="65"/>
      <c r="Q5" s="65"/>
      <c r="R5" s="65"/>
      <c r="S5" s="50"/>
      <c r="T5" s="68"/>
      <c r="U5" s="65"/>
      <c r="V5" s="65"/>
      <c r="W5" s="65" t="s">
        <v>1345</v>
      </c>
      <c r="X5" s="58" t="s">
        <v>1346</v>
      </c>
    </row>
    <row r="6" spans="1:24" ht="15">
      <c r="A6" s="65">
        <v>5</v>
      </c>
      <c r="B6" s="32" t="s">
        <v>40</v>
      </c>
      <c r="C6" s="67" t="s">
        <v>272</v>
      </c>
      <c r="D6" s="76">
        <v>84767</v>
      </c>
      <c r="E6" s="78" t="s">
        <v>1347</v>
      </c>
      <c r="F6" s="68">
        <v>1</v>
      </c>
      <c r="G6" s="68">
        <v>1</v>
      </c>
      <c r="H6" s="65" t="s">
        <v>448</v>
      </c>
      <c r="I6" s="65" t="s">
        <v>272</v>
      </c>
      <c r="J6" s="65" t="s">
        <v>448</v>
      </c>
      <c r="K6" s="65" t="s">
        <v>448</v>
      </c>
      <c r="L6" s="65" t="s">
        <v>448</v>
      </c>
      <c r="M6" s="66"/>
      <c r="N6" s="65" t="s">
        <v>448</v>
      </c>
      <c r="O6" s="65" t="s">
        <v>448</v>
      </c>
      <c r="P6" s="65" t="s">
        <v>448</v>
      </c>
      <c r="Q6" s="65" t="s">
        <v>448</v>
      </c>
      <c r="R6" s="65" t="s">
        <v>448</v>
      </c>
      <c r="S6" s="65" t="s">
        <v>448</v>
      </c>
      <c r="T6" s="65" t="s">
        <v>448</v>
      </c>
      <c r="U6" s="65" t="s">
        <v>448</v>
      </c>
      <c r="V6" s="65" t="s">
        <v>448</v>
      </c>
      <c r="W6" s="65" t="s">
        <v>13</v>
      </c>
      <c r="X6" s="65"/>
    </row>
    <row r="7" spans="1:24" ht="24">
      <c r="A7" s="65">
        <v>6</v>
      </c>
      <c r="B7" s="32" t="s">
        <v>1343</v>
      </c>
      <c r="C7" s="67" t="s">
        <v>275</v>
      </c>
      <c r="D7" s="76">
        <v>43414</v>
      </c>
      <c r="E7" s="78" t="s">
        <v>1348</v>
      </c>
      <c r="F7" s="68">
        <v>8</v>
      </c>
      <c r="G7" s="68">
        <v>5</v>
      </c>
      <c r="H7" s="65" t="s">
        <v>1344</v>
      </c>
      <c r="I7" s="65"/>
      <c r="J7" s="65"/>
      <c r="K7" s="65"/>
      <c r="L7" s="65"/>
      <c r="M7" s="66"/>
      <c r="N7" s="65"/>
      <c r="O7" s="65"/>
      <c r="P7" s="65"/>
      <c r="Q7" s="65"/>
      <c r="R7" s="65"/>
      <c r="S7" s="65"/>
      <c r="T7" s="65"/>
      <c r="U7" s="65"/>
      <c r="V7" s="65"/>
      <c r="W7" s="65" t="s">
        <v>1345</v>
      </c>
      <c r="X7" s="65"/>
    </row>
    <row r="8" spans="1:24" ht="24">
      <c r="A8" s="65">
        <v>7</v>
      </c>
      <c r="B8" s="32" t="s">
        <v>1343</v>
      </c>
      <c r="C8" s="67" t="s">
        <v>287</v>
      </c>
      <c r="D8" s="76">
        <v>44241</v>
      </c>
      <c r="E8" s="78" t="s">
        <v>1349</v>
      </c>
      <c r="F8" s="68">
        <v>5</v>
      </c>
      <c r="G8" s="68">
        <v>5</v>
      </c>
      <c r="H8" s="65" t="s">
        <v>13</v>
      </c>
      <c r="I8" s="65" t="s">
        <v>275</v>
      </c>
      <c r="J8" s="65" t="s">
        <v>448</v>
      </c>
      <c r="K8" s="65"/>
      <c r="L8" s="65"/>
      <c r="M8" s="66" t="s">
        <v>448</v>
      </c>
      <c r="N8" s="65" t="s">
        <v>448</v>
      </c>
      <c r="O8" s="65" t="s">
        <v>448</v>
      </c>
      <c r="P8" s="65" t="s">
        <v>448</v>
      </c>
      <c r="Q8" s="65" t="s">
        <v>448</v>
      </c>
      <c r="R8" s="65" t="s">
        <v>448</v>
      </c>
      <c r="S8" s="65" t="s">
        <v>448</v>
      </c>
      <c r="T8" s="65" t="s">
        <v>448</v>
      </c>
      <c r="U8" s="65" t="s">
        <v>448</v>
      </c>
      <c r="V8" s="65" t="s">
        <v>448</v>
      </c>
      <c r="W8" s="65" t="s">
        <v>13</v>
      </c>
      <c r="X8" s="65"/>
    </row>
    <row r="9" spans="1:24" ht="24">
      <c r="A9" s="65">
        <v>8</v>
      </c>
      <c r="B9" s="32" t="s">
        <v>1343</v>
      </c>
      <c r="C9" s="67" t="s">
        <v>287</v>
      </c>
      <c r="D9" s="76">
        <v>44369</v>
      </c>
      <c r="E9" s="78" t="s">
        <v>1350</v>
      </c>
      <c r="F9" s="68">
        <v>5</v>
      </c>
      <c r="G9" s="68">
        <v>5</v>
      </c>
      <c r="H9" s="65" t="s">
        <v>13</v>
      </c>
      <c r="I9" s="65" t="s">
        <v>275</v>
      </c>
      <c r="J9" s="65" t="s">
        <v>448</v>
      </c>
      <c r="K9" s="65" t="s">
        <v>448</v>
      </c>
      <c r="L9" s="65" t="s">
        <v>448</v>
      </c>
      <c r="M9" s="66" t="s">
        <v>1351</v>
      </c>
      <c r="N9" s="50">
        <v>45413</v>
      </c>
      <c r="O9" s="50">
        <v>45413</v>
      </c>
      <c r="P9" s="65" t="s">
        <v>275</v>
      </c>
      <c r="Q9" s="65" t="s">
        <v>448</v>
      </c>
      <c r="R9" s="65" t="s">
        <v>1352</v>
      </c>
      <c r="S9" s="50">
        <v>45413</v>
      </c>
      <c r="T9" s="65" t="s">
        <v>448</v>
      </c>
      <c r="U9" s="65" t="s">
        <v>448</v>
      </c>
      <c r="V9" s="65" t="s">
        <v>448</v>
      </c>
      <c r="W9" s="65" t="s">
        <v>13</v>
      </c>
      <c r="X9" s="65"/>
    </row>
  </sheetData>
  <hyperlinks>
    <hyperlink ref="M4" r:id="rId1" xr:uid="{5F1E3357-6478-4668-8E47-559AFF99EDB5}"/>
    <hyperlink ref="M3" r:id="rId2" xr:uid="{D172429D-16AA-4411-B180-E99D3473A7D7}"/>
    <hyperlink ref="M9" r:id="rId3" xr:uid="{7D7EB92F-6261-4ACB-88F4-E086EB44C45B}"/>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3D48-CC2D-485C-86B3-190021BD88E7}">
  <dimension ref="A1:K9"/>
  <sheetViews>
    <sheetView workbookViewId="0">
      <selection activeCell="F6" sqref="F6"/>
    </sheetView>
  </sheetViews>
  <sheetFormatPr defaultRowHeight="12.75"/>
  <cols>
    <col min="6" max="6" width="49.5703125" customWidth="1"/>
  </cols>
  <sheetData>
    <row r="1" spans="1:11" ht="40.5">
      <c r="A1" s="51" t="s">
        <v>243</v>
      </c>
      <c r="B1" s="54" t="s">
        <v>11</v>
      </c>
      <c r="C1" s="54" t="s">
        <v>297</v>
      </c>
      <c r="D1" s="54" t="s">
        <v>245</v>
      </c>
      <c r="E1" s="55" t="s">
        <v>299</v>
      </c>
      <c r="F1" s="55" t="s">
        <v>300</v>
      </c>
      <c r="G1" s="54" t="s">
        <v>301</v>
      </c>
      <c r="H1" s="54" t="s">
        <v>303</v>
      </c>
      <c r="I1" s="54" t="s">
        <v>248</v>
      </c>
      <c r="J1" s="56" t="s">
        <v>305</v>
      </c>
      <c r="K1" s="57" t="s">
        <v>269</v>
      </c>
    </row>
    <row r="2" spans="1:11">
      <c r="B2" s="74"/>
      <c r="C2" s="74"/>
      <c r="F2" s="49"/>
    </row>
    <row r="3" spans="1:11">
      <c r="B3" s="73"/>
      <c r="C3" s="73"/>
      <c r="F3" s="71"/>
    </row>
    <row r="4" spans="1:11">
      <c r="B4" s="73"/>
      <c r="C4" s="73"/>
      <c r="F4" s="71"/>
    </row>
    <row r="5" spans="1:11">
      <c r="B5" s="73"/>
      <c r="C5" s="73"/>
      <c r="F5" s="71"/>
    </row>
    <row r="6" spans="1:11">
      <c r="B6" s="73"/>
      <c r="C6" s="70"/>
      <c r="F6" s="71"/>
    </row>
    <row r="7" spans="1:11">
      <c r="B7" s="73"/>
      <c r="F7" s="43"/>
    </row>
    <row r="8" spans="1:11">
      <c r="B8" s="73"/>
      <c r="F8" s="43"/>
    </row>
    <row r="9" spans="1:11">
      <c r="B9" s="73"/>
      <c r="C9" s="73"/>
      <c r="F9" s="71"/>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9B962-CDD8-4D61-88B2-660FDC53A4E7}">
  <dimension ref="A1:X12"/>
  <sheetViews>
    <sheetView workbookViewId="0">
      <selection activeCell="H4" sqref="H4"/>
    </sheetView>
  </sheetViews>
  <sheetFormatPr defaultRowHeight="12.75"/>
  <cols>
    <col min="2" max="2" width="11.85546875" customWidth="1"/>
    <col min="4" max="4" width="11" bestFit="1" customWidth="1"/>
    <col min="5" max="5" width="73.7109375" customWidth="1"/>
    <col min="14" max="15" width="9.42578125" bestFit="1" customWidth="1"/>
    <col min="19" max="19" width="9.42578125" bestFit="1" customWidth="1"/>
    <col min="21" max="21" width="18.28515625" customWidth="1"/>
    <col min="22" max="22" width="20.5703125" customWidth="1"/>
    <col min="23" max="23" width="17" customWidth="1"/>
    <col min="24" max="24" width="20.7109375" customWidth="1"/>
  </cols>
  <sheetData>
    <row r="1" spans="1:24" ht="53.25">
      <c r="A1" s="7" t="s">
        <v>243</v>
      </c>
      <c r="B1" s="7" t="s">
        <v>244</v>
      </c>
      <c r="C1" s="7" t="s">
        <v>245</v>
      </c>
      <c r="D1" s="51" t="s">
        <v>246</v>
      </c>
      <c r="E1" s="7" t="s">
        <v>247</v>
      </c>
      <c r="F1" s="7" t="s">
        <v>966</v>
      </c>
      <c r="G1" s="7" t="s">
        <v>967</v>
      </c>
      <c r="H1" s="7" t="s">
        <v>254</v>
      </c>
      <c r="I1" s="7" t="s">
        <v>255</v>
      </c>
      <c r="J1" s="7" t="s">
        <v>256</v>
      </c>
      <c r="K1" s="7" t="s">
        <v>257</v>
      </c>
      <c r="L1" s="7" t="s">
        <v>258</v>
      </c>
      <c r="M1" s="7" t="s">
        <v>259</v>
      </c>
      <c r="N1" s="7" t="s">
        <v>260</v>
      </c>
      <c r="O1" s="7" t="s">
        <v>261</v>
      </c>
      <c r="P1" s="7" t="s">
        <v>262</v>
      </c>
      <c r="Q1" s="7" t="s">
        <v>263</v>
      </c>
      <c r="R1" s="7" t="s">
        <v>264</v>
      </c>
      <c r="S1" s="7" t="s">
        <v>265</v>
      </c>
      <c r="T1" s="7" t="s">
        <v>263</v>
      </c>
      <c r="U1" s="7" t="s">
        <v>267</v>
      </c>
      <c r="V1" s="7" t="s">
        <v>268</v>
      </c>
      <c r="W1" s="7" t="s">
        <v>248</v>
      </c>
      <c r="X1" s="64" t="s">
        <v>269</v>
      </c>
    </row>
    <row r="2" spans="1:24" ht="30.75" customHeight="1">
      <c r="A2" s="32">
        <v>1</v>
      </c>
      <c r="B2" s="32" t="s">
        <v>37</v>
      </c>
      <c r="C2" s="77" t="s">
        <v>275</v>
      </c>
      <c r="D2" s="76">
        <v>44295</v>
      </c>
      <c r="E2" s="78" t="s">
        <v>1353</v>
      </c>
      <c r="F2" s="33">
        <v>5</v>
      </c>
      <c r="G2" s="33">
        <v>5</v>
      </c>
      <c r="H2" s="65" t="s">
        <v>13</v>
      </c>
      <c r="I2" s="65" t="s">
        <v>1019</v>
      </c>
      <c r="J2" s="12" t="s">
        <v>1354</v>
      </c>
      <c r="K2" s="10" t="s">
        <v>1355</v>
      </c>
      <c r="L2" s="12" t="s">
        <v>1208</v>
      </c>
      <c r="M2" s="42" t="s">
        <v>1356</v>
      </c>
      <c r="N2" s="50">
        <v>45400</v>
      </c>
      <c r="O2" s="50"/>
      <c r="P2" s="10" t="s">
        <v>287</v>
      </c>
      <c r="Q2" s="15"/>
      <c r="R2" s="15" t="s">
        <v>441</v>
      </c>
      <c r="S2" s="50"/>
      <c r="T2" s="26"/>
      <c r="U2" s="10" t="s">
        <v>448</v>
      </c>
      <c r="V2" s="15" t="s">
        <v>448</v>
      </c>
      <c r="W2" s="65" t="s">
        <v>13</v>
      </c>
      <c r="X2" s="15"/>
    </row>
    <row r="3" spans="1:24" ht="36">
      <c r="A3" s="65">
        <v>2</v>
      </c>
      <c r="B3" s="32" t="s">
        <v>37</v>
      </c>
      <c r="C3" s="77" t="s">
        <v>1019</v>
      </c>
      <c r="D3" s="80">
        <v>23162</v>
      </c>
      <c r="E3" s="49" t="s">
        <v>1357</v>
      </c>
      <c r="F3" s="10">
        <v>5</v>
      </c>
      <c r="G3" s="68">
        <v>5</v>
      </c>
      <c r="H3" s="65" t="s">
        <v>13</v>
      </c>
      <c r="I3" s="65" t="s">
        <v>275</v>
      </c>
      <c r="J3" s="12" t="s">
        <v>1354</v>
      </c>
      <c r="K3" s="65" t="s">
        <v>275</v>
      </c>
      <c r="L3" s="12" t="s">
        <v>1208</v>
      </c>
      <c r="M3" s="66" t="s">
        <v>1358</v>
      </c>
      <c r="N3" s="50">
        <v>45392</v>
      </c>
      <c r="O3" s="50">
        <v>45392</v>
      </c>
      <c r="P3" s="10" t="s">
        <v>275</v>
      </c>
      <c r="Q3" s="12" t="s">
        <v>1208</v>
      </c>
      <c r="R3" s="15" t="s">
        <v>441</v>
      </c>
      <c r="S3" s="50">
        <v>45392</v>
      </c>
      <c r="T3" s="12" t="s">
        <v>1208</v>
      </c>
      <c r="U3" s="12" t="s">
        <v>1208</v>
      </c>
      <c r="V3" s="12" t="s">
        <v>1208</v>
      </c>
      <c r="W3" s="65" t="s">
        <v>13</v>
      </c>
      <c r="X3" s="65"/>
    </row>
    <row r="4" spans="1:24" ht="36">
      <c r="A4" s="9">
        <v>3</v>
      </c>
      <c r="B4" s="32" t="s">
        <v>1359</v>
      </c>
      <c r="C4" s="81" t="s">
        <v>1019</v>
      </c>
      <c r="D4" s="80">
        <v>44162</v>
      </c>
      <c r="E4" s="49" t="s">
        <v>1336</v>
      </c>
      <c r="F4" s="10">
        <v>5</v>
      </c>
      <c r="G4" s="10">
        <v>4</v>
      </c>
      <c r="H4" s="65" t="s">
        <v>628</v>
      </c>
      <c r="I4" s="65" t="s">
        <v>275</v>
      </c>
      <c r="J4" s="12" t="s">
        <v>1354</v>
      </c>
      <c r="K4" s="65" t="s">
        <v>275</v>
      </c>
      <c r="L4" s="12" t="s">
        <v>1208</v>
      </c>
      <c r="M4" s="66"/>
      <c r="N4" s="50"/>
      <c r="O4" s="50"/>
      <c r="P4" s="10"/>
      <c r="Q4" s="65"/>
      <c r="R4" s="65"/>
      <c r="S4" s="50"/>
      <c r="T4" s="68"/>
      <c r="V4" s="58" t="s">
        <v>1360</v>
      </c>
      <c r="W4" s="65" t="s">
        <v>628</v>
      </c>
      <c r="X4" s="58" t="s">
        <v>1361</v>
      </c>
    </row>
    <row r="5" spans="1:24" ht="24">
      <c r="A5" s="9">
        <v>4</v>
      </c>
      <c r="B5" s="32" t="s">
        <v>1359</v>
      </c>
      <c r="C5" s="81" t="s">
        <v>272</v>
      </c>
      <c r="D5" s="80">
        <v>44294</v>
      </c>
      <c r="E5" s="49" t="s">
        <v>1362</v>
      </c>
      <c r="F5" s="10">
        <v>3</v>
      </c>
      <c r="G5" s="10">
        <v>3</v>
      </c>
      <c r="H5" s="65" t="s">
        <v>448</v>
      </c>
      <c r="I5" s="65" t="s">
        <v>272</v>
      </c>
      <c r="J5" s="65" t="s">
        <v>448</v>
      </c>
      <c r="K5" s="65" t="s">
        <v>448</v>
      </c>
      <c r="L5" s="65" t="s">
        <v>448</v>
      </c>
      <c r="M5" s="65" t="s">
        <v>448</v>
      </c>
      <c r="N5" s="65" t="s">
        <v>448</v>
      </c>
      <c r="O5" s="65" t="s">
        <v>448</v>
      </c>
      <c r="P5" s="65" t="s">
        <v>448</v>
      </c>
      <c r="Q5" s="65" t="s">
        <v>448</v>
      </c>
      <c r="R5" s="65" t="s">
        <v>448</v>
      </c>
      <c r="S5" s="65" t="s">
        <v>448</v>
      </c>
      <c r="T5" s="65" t="s">
        <v>448</v>
      </c>
      <c r="U5" s="65" t="s">
        <v>448</v>
      </c>
      <c r="V5" s="65" t="s">
        <v>448</v>
      </c>
      <c r="W5" s="65" t="s">
        <v>13</v>
      </c>
      <c r="X5" s="65"/>
    </row>
    <row r="6" spans="1:24" ht="24">
      <c r="A6" s="9">
        <v>5</v>
      </c>
      <c r="B6" s="32" t="s">
        <v>1359</v>
      </c>
      <c r="C6" s="81" t="s">
        <v>272</v>
      </c>
      <c r="D6" s="80">
        <v>44318</v>
      </c>
      <c r="E6" s="78" t="s">
        <v>1334</v>
      </c>
      <c r="F6" s="10">
        <v>5</v>
      </c>
      <c r="G6" s="10">
        <v>3</v>
      </c>
      <c r="H6" s="12" t="s">
        <v>628</v>
      </c>
      <c r="I6" s="65" t="s">
        <v>448</v>
      </c>
      <c r="J6" s="65" t="s">
        <v>448</v>
      </c>
      <c r="K6" s="65"/>
      <c r="L6" s="65"/>
      <c r="M6" s="66"/>
      <c r="N6" s="50"/>
      <c r="O6" s="50"/>
      <c r="P6" s="65"/>
      <c r="Q6" s="65"/>
      <c r="R6" s="65"/>
      <c r="S6" s="50"/>
      <c r="T6" s="68"/>
      <c r="U6" s="68" t="s">
        <v>448</v>
      </c>
      <c r="V6" s="65" t="s">
        <v>448</v>
      </c>
      <c r="W6" s="65" t="s">
        <v>628</v>
      </c>
      <c r="X6" s="58" t="s">
        <v>1363</v>
      </c>
    </row>
    <row r="7" spans="1:24" ht="24">
      <c r="A7" s="9">
        <v>6</v>
      </c>
      <c r="B7" s="32" t="s">
        <v>1359</v>
      </c>
      <c r="C7" s="81" t="s">
        <v>287</v>
      </c>
      <c r="D7" s="80">
        <v>44329</v>
      </c>
      <c r="E7" s="78" t="s">
        <v>1364</v>
      </c>
      <c r="F7" s="10">
        <v>5</v>
      </c>
      <c r="G7" s="10">
        <v>6</v>
      </c>
      <c r="H7" s="65" t="s">
        <v>13</v>
      </c>
      <c r="I7" s="65" t="s">
        <v>275</v>
      </c>
      <c r="J7" s="65" t="s">
        <v>448</v>
      </c>
      <c r="K7" s="65" t="s">
        <v>275</v>
      </c>
      <c r="L7" s="65" t="s">
        <v>448</v>
      </c>
      <c r="M7" s="66" t="s">
        <v>1365</v>
      </c>
      <c r="N7" s="50">
        <v>45399</v>
      </c>
      <c r="O7" s="50">
        <v>45399</v>
      </c>
      <c r="P7" s="10" t="s">
        <v>275</v>
      </c>
      <c r="Q7" s="65" t="s">
        <v>448</v>
      </c>
      <c r="R7" s="15" t="s">
        <v>441</v>
      </c>
      <c r="S7" s="50">
        <v>45399</v>
      </c>
      <c r="T7" s="65" t="s">
        <v>448</v>
      </c>
      <c r="U7" s="65" t="s">
        <v>1366</v>
      </c>
      <c r="V7" s="65" t="s">
        <v>1366</v>
      </c>
      <c r="W7" s="65" t="s">
        <v>13</v>
      </c>
      <c r="X7" s="65"/>
    </row>
    <row r="8" spans="1:24" ht="24">
      <c r="A8" s="65">
        <v>7</v>
      </c>
      <c r="B8" s="32" t="s">
        <v>1359</v>
      </c>
      <c r="C8" s="77" t="s">
        <v>287</v>
      </c>
      <c r="D8" s="49">
        <v>44291</v>
      </c>
      <c r="E8" t="s">
        <v>1367</v>
      </c>
      <c r="F8" s="68">
        <v>5</v>
      </c>
      <c r="G8" s="68">
        <v>5</v>
      </c>
      <c r="H8" s="65" t="s">
        <v>13</v>
      </c>
      <c r="I8" s="65" t="s">
        <v>275</v>
      </c>
      <c r="J8" s="65" t="s">
        <v>448</v>
      </c>
      <c r="K8" s="65" t="s">
        <v>275</v>
      </c>
      <c r="L8" s="65" t="s">
        <v>448</v>
      </c>
      <c r="M8" s="66" t="s">
        <v>1368</v>
      </c>
      <c r="N8" s="50">
        <v>45393</v>
      </c>
      <c r="O8" s="50">
        <v>45394</v>
      </c>
      <c r="P8" s="10" t="s">
        <v>275</v>
      </c>
      <c r="Q8" s="65" t="s">
        <v>448</v>
      </c>
      <c r="R8" s="65" t="s">
        <v>441</v>
      </c>
      <c r="S8" s="50">
        <v>45394</v>
      </c>
      <c r="T8" s="68" t="s">
        <v>448</v>
      </c>
      <c r="U8" s="68" t="s">
        <v>1366</v>
      </c>
      <c r="V8" s="65" t="s">
        <v>1366</v>
      </c>
      <c r="W8" s="65" t="s">
        <v>13</v>
      </c>
      <c r="X8" s="65"/>
    </row>
    <row r="9" spans="1:24">
      <c r="A9" s="65"/>
      <c r="B9" s="32"/>
      <c r="C9" s="67"/>
      <c r="D9" s="79"/>
      <c r="E9" s="11"/>
      <c r="F9" s="68"/>
      <c r="G9" s="68"/>
      <c r="H9" s="12"/>
      <c r="I9" s="65"/>
      <c r="J9" s="65"/>
      <c r="K9" s="65"/>
      <c r="L9" s="65"/>
      <c r="M9" s="66"/>
      <c r="N9" s="50"/>
      <c r="O9" s="65"/>
      <c r="P9" s="65"/>
      <c r="Q9" s="65"/>
      <c r="R9" s="65"/>
      <c r="S9" s="50"/>
      <c r="T9" s="68"/>
      <c r="U9" s="68"/>
      <c r="V9" s="65"/>
      <c r="W9" s="65"/>
      <c r="X9" s="65"/>
    </row>
    <row r="10" spans="1:24">
      <c r="A10" s="65"/>
      <c r="B10" s="32"/>
      <c r="C10" s="67"/>
      <c r="D10" s="67"/>
      <c r="E10" s="58"/>
      <c r="F10" s="68"/>
      <c r="G10" s="68"/>
      <c r="H10" s="65"/>
      <c r="I10" s="65"/>
      <c r="J10" s="65"/>
      <c r="K10" s="65"/>
      <c r="L10" s="65"/>
      <c r="M10" s="66"/>
      <c r="N10" s="50"/>
      <c r="O10" s="50"/>
      <c r="P10" s="65"/>
      <c r="Q10" s="65"/>
      <c r="R10" s="65"/>
      <c r="S10" s="50"/>
      <c r="T10" s="68"/>
      <c r="U10" s="68"/>
      <c r="V10" s="65"/>
      <c r="W10" s="65"/>
      <c r="X10" s="58"/>
    </row>
    <row r="11" spans="1:24">
      <c r="A11" s="65"/>
      <c r="B11" s="32"/>
      <c r="C11" s="67"/>
      <c r="D11" s="67"/>
      <c r="E11" s="58"/>
      <c r="F11" s="68"/>
      <c r="G11" s="68"/>
      <c r="H11" s="65"/>
      <c r="I11" s="65"/>
      <c r="J11" s="65"/>
      <c r="K11" s="65"/>
      <c r="L11" s="65"/>
      <c r="M11" s="66"/>
      <c r="N11" s="50"/>
      <c r="O11" s="50"/>
      <c r="P11" s="65"/>
      <c r="Q11" s="65"/>
      <c r="R11" s="65"/>
      <c r="S11" s="50"/>
      <c r="T11" s="68"/>
      <c r="U11" s="46"/>
      <c r="V11" s="65"/>
      <c r="W11" s="65"/>
      <c r="X11" s="65"/>
    </row>
    <row r="12" spans="1:24">
      <c r="A12" s="65"/>
      <c r="B12" s="32"/>
      <c r="C12" s="67"/>
      <c r="D12" s="67"/>
      <c r="E12" s="71"/>
      <c r="F12" s="68"/>
      <c r="G12" s="68"/>
      <c r="H12" s="65"/>
      <c r="I12" s="65"/>
      <c r="J12" s="65"/>
      <c r="K12" s="65"/>
      <c r="L12" s="65"/>
      <c r="M12" s="66"/>
      <c r="N12" s="50"/>
      <c r="O12" s="50"/>
      <c r="P12" s="65"/>
      <c r="Q12" s="65"/>
      <c r="R12" s="65"/>
      <c r="S12" s="50"/>
      <c r="T12" s="68"/>
      <c r="U12" s="68"/>
      <c r="V12" s="65"/>
      <c r="W12" s="65"/>
      <c r="X12" s="65"/>
    </row>
  </sheetData>
  <hyperlinks>
    <hyperlink ref="M3" r:id="rId1" xr:uid="{8A506D1D-92D2-4A0B-95FB-3F0F4DE2FC5D}"/>
    <hyperlink ref="M7" r:id="rId2" xr:uid="{2BF6124B-E994-42C0-B242-5A80A327E26F}"/>
    <hyperlink ref="M2" r:id="rId3" xr:uid="{58BC5EAD-F460-4DF7-AB12-C9A4A46D9EBC}"/>
    <hyperlink ref="M8" r:id="rId4" xr:uid="{3AF7EAA1-3F7A-40F9-9B5E-32E6EBEE53BA}"/>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CE145-BE4D-48B0-B3CB-4E463D9CB293}">
  <dimension ref="A1:K9"/>
  <sheetViews>
    <sheetView workbookViewId="0">
      <selection activeCell="J2" sqref="J2"/>
    </sheetView>
  </sheetViews>
  <sheetFormatPr defaultRowHeight="12.75"/>
  <cols>
    <col min="6" max="6" width="49.5703125" customWidth="1"/>
    <col min="10" max="10" width="15.85546875" customWidth="1"/>
  </cols>
  <sheetData>
    <row r="1" spans="1:11" ht="40.5">
      <c r="A1" s="51" t="s">
        <v>243</v>
      </c>
      <c r="B1" s="54" t="s">
        <v>11</v>
      </c>
      <c r="C1" s="54" t="s">
        <v>297</v>
      </c>
      <c r="D1" s="54" t="s">
        <v>245</v>
      </c>
      <c r="E1" s="55" t="s">
        <v>299</v>
      </c>
      <c r="F1" s="55" t="s">
        <v>300</v>
      </c>
      <c r="G1" s="54" t="s">
        <v>301</v>
      </c>
      <c r="H1" s="54" t="s">
        <v>303</v>
      </c>
      <c r="I1" s="54" t="s">
        <v>248</v>
      </c>
      <c r="J1" s="56" t="s">
        <v>305</v>
      </c>
      <c r="K1" s="57" t="s">
        <v>269</v>
      </c>
    </row>
    <row r="2" spans="1:11" ht="24">
      <c r="A2">
        <v>1</v>
      </c>
      <c r="B2" s="74" t="s">
        <v>37</v>
      </c>
      <c r="C2" s="74">
        <v>23162</v>
      </c>
      <c r="D2" t="s">
        <v>1019</v>
      </c>
      <c r="E2" t="s">
        <v>715</v>
      </c>
      <c r="F2" s="49" t="s">
        <v>1357</v>
      </c>
      <c r="G2" t="s">
        <v>335</v>
      </c>
      <c r="H2" t="s">
        <v>371</v>
      </c>
      <c r="I2" t="s">
        <v>780</v>
      </c>
      <c r="J2" t="s">
        <v>859</v>
      </c>
    </row>
    <row r="3" spans="1:11">
      <c r="B3" s="73"/>
      <c r="C3" s="73"/>
      <c r="F3" s="71"/>
    </row>
    <row r="4" spans="1:11">
      <c r="B4" s="73"/>
      <c r="C4" s="73"/>
      <c r="F4" s="71"/>
    </row>
    <row r="5" spans="1:11">
      <c r="B5" s="73"/>
      <c r="C5" s="73"/>
      <c r="F5" s="71"/>
    </row>
    <row r="6" spans="1:11">
      <c r="B6" s="73"/>
      <c r="C6" s="70"/>
      <c r="F6" s="71"/>
    </row>
    <row r="7" spans="1:11">
      <c r="B7" s="73"/>
      <c r="F7" s="43"/>
    </row>
    <row r="8" spans="1:11">
      <c r="B8" s="73"/>
      <c r="F8" s="43"/>
    </row>
    <row r="9" spans="1:11">
      <c r="B9" s="73"/>
      <c r="C9" s="73"/>
      <c r="F9" s="71"/>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D0D4E-3B67-4A96-9696-E90AADEDFB21}">
  <dimension ref="A1:K9"/>
  <sheetViews>
    <sheetView topLeftCell="A2" workbookViewId="0">
      <selection activeCell="F11" sqref="F11"/>
    </sheetView>
  </sheetViews>
  <sheetFormatPr defaultRowHeight="12.75"/>
  <cols>
    <col min="6" max="6" width="55.28515625" customWidth="1"/>
  </cols>
  <sheetData>
    <row r="1" spans="1:11" ht="40.5">
      <c r="A1" s="51" t="s">
        <v>243</v>
      </c>
      <c r="B1" s="54" t="s">
        <v>11</v>
      </c>
      <c r="C1" s="54" t="s">
        <v>297</v>
      </c>
      <c r="D1" s="54" t="s">
        <v>245</v>
      </c>
      <c r="E1" s="55" t="s">
        <v>299</v>
      </c>
      <c r="F1" s="55" t="s">
        <v>300</v>
      </c>
      <c r="G1" s="54" t="s">
        <v>301</v>
      </c>
      <c r="H1" s="54" t="s">
        <v>303</v>
      </c>
      <c r="I1" s="54" t="s">
        <v>248</v>
      </c>
      <c r="J1" s="56" t="s">
        <v>305</v>
      </c>
      <c r="K1" s="57" t="s">
        <v>269</v>
      </c>
    </row>
    <row r="2" spans="1:11" ht="36">
      <c r="A2">
        <v>1</v>
      </c>
      <c r="B2" s="32" t="s">
        <v>34</v>
      </c>
      <c r="C2" s="32">
        <v>23041</v>
      </c>
      <c r="D2" t="s">
        <v>1019</v>
      </c>
      <c r="E2" t="s">
        <v>715</v>
      </c>
      <c r="F2" s="71" t="s">
        <v>1369</v>
      </c>
      <c r="G2" t="s">
        <v>335</v>
      </c>
      <c r="H2" t="s">
        <v>371</v>
      </c>
      <c r="I2" t="s">
        <v>13</v>
      </c>
      <c r="J2" t="s">
        <v>859</v>
      </c>
    </row>
    <row r="3" spans="1:11" ht="24">
      <c r="A3">
        <v>2</v>
      </c>
      <c r="B3" s="32" t="s">
        <v>34</v>
      </c>
      <c r="C3" s="32">
        <v>23043</v>
      </c>
      <c r="D3" t="s">
        <v>1019</v>
      </c>
      <c r="E3" t="s">
        <v>715</v>
      </c>
      <c r="F3" s="71" t="s">
        <v>1370</v>
      </c>
      <c r="G3" t="s">
        <v>335</v>
      </c>
      <c r="H3" t="s">
        <v>371</v>
      </c>
      <c r="I3" t="s">
        <v>13</v>
      </c>
      <c r="J3" t="s">
        <v>859</v>
      </c>
    </row>
    <row r="4" spans="1:11" ht="24">
      <c r="A4">
        <v>3</v>
      </c>
      <c r="B4" s="32" t="s">
        <v>34</v>
      </c>
      <c r="C4" s="32">
        <v>23045</v>
      </c>
      <c r="D4" t="s">
        <v>1019</v>
      </c>
      <c r="E4" t="s">
        <v>715</v>
      </c>
      <c r="F4" s="71" t="s">
        <v>1371</v>
      </c>
      <c r="G4" t="s">
        <v>335</v>
      </c>
      <c r="H4" t="s">
        <v>371</v>
      </c>
      <c r="I4" t="s">
        <v>13</v>
      </c>
      <c r="J4" t="s">
        <v>859</v>
      </c>
    </row>
    <row r="5" spans="1:11" ht="24">
      <c r="A5">
        <v>4</v>
      </c>
      <c r="B5" s="32" t="s">
        <v>1372</v>
      </c>
      <c r="C5" s="32">
        <v>22798</v>
      </c>
      <c r="D5" t="s">
        <v>1019</v>
      </c>
      <c r="E5" t="s">
        <v>715</v>
      </c>
      <c r="F5" s="71" t="s">
        <v>1373</v>
      </c>
      <c r="G5" t="s">
        <v>335</v>
      </c>
      <c r="H5" t="s">
        <v>371</v>
      </c>
      <c r="I5" t="s">
        <v>13</v>
      </c>
      <c r="J5" t="s">
        <v>859</v>
      </c>
    </row>
    <row r="6" spans="1:11" ht="24">
      <c r="A6">
        <v>5</v>
      </c>
      <c r="B6" s="32" t="s">
        <v>1372</v>
      </c>
      <c r="C6" s="67">
        <v>23086</v>
      </c>
      <c r="D6" t="s">
        <v>1019</v>
      </c>
      <c r="E6" t="s">
        <v>715</v>
      </c>
      <c r="F6" s="71" t="s">
        <v>1374</v>
      </c>
      <c r="G6" t="s">
        <v>1186</v>
      </c>
      <c r="H6" t="s">
        <v>371</v>
      </c>
      <c r="I6" t="s">
        <v>13</v>
      </c>
      <c r="J6" t="s">
        <v>859</v>
      </c>
    </row>
    <row r="7" spans="1:11" ht="36">
      <c r="A7">
        <v>6</v>
      </c>
      <c r="B7" s="32" t="s">
        <v>1372</v>
      </c>
      <c r="C7">
        <v>22944</v>
      </c>
      <c r="D7" t="s">
        <v>1019</v>
      </c>
      <c r="E7" t="s">
        <v>715</v>
      </c>
      <c r="F7" s="58" t="s">
        <v>1375</v>
      </c>
      <c r="G7" t="s">
        <v>335</v>
      </c>
      <c r="H7" t="s">
        <v>371</v>
      </c>
      <c r="I7" t="s">
        <v>1269</v>
      </c>
      <c r="J7" t="s">
        <v>859</v>
      </c>
    </row>
    <row r="8" spans="1:11" ht="24">
      <c r="A8">
        <v>7</v>
      </c>
      <c r="B8" s="32" t="s">
        <v>1372</v>
      </c>
      <c r="C8">
        <v>22598</v>
      </c>
      <c r="D8" t="s">
        <v>1019</v>
      </c>
      <c r="E8" t="s">
        <v>715</v>
      </c>
      <c r="F8" s="58" t="s">
        <v>1376</v>
      </c>
      <c r="G8" t="s">
        <v>335</v>
      </c>
      <c r="H8" t="s">
        <v>371</v>
      </c>
      <c r="I8" t="s">
        <v>13</v>
      </c>
      <c r="J8" t="s">
        <v>859</v>
      </c>
    </row>
    <row r="9" spans="1:11" ht="24">
      <c r="A9">
        <v>8</v>
      </c>
      <c r="B9" s="32" t="s">
        <v>1372</v>
      </c>
      <c r="C9" s="32">
        <v>23042</v>
      </c>
      <c r="D9" t="s">
        <v>1019</v>
      </c>
      <c r="E9" t="s">
        <v>715</v>
      </c>
      <c r="F9" s="71" t="s">
        <v>1377</v>
      </c>
      <c r="G9" t="s">
        <v>335</v>
      </c>
      <c r="H9" t="s">
        <v>371</v>
      </c>
      <c r="I9" t="s">
        <v>1341</v>
      </c>
      <c r="J9" t="s">
        <v>859</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3BD01-8B05-46E0-BD1D-9074D238A735}">
  <dimension ref="A1:Z13"/>
  <sheetViews>
    <sheetView topLeftCell="B1" workbookViewId="0">
      <selection activeCell="E12" sqref="E12"/>
    </sheetView>
  </sheetViews>
  <sheetFormatPr defaultRowHeight="12.75"/>
  <cols>
    <col min="1" max="1" width="4.7109375" bestFit="1" customWidth="1"/>
    <col min="2" max="2" width="22.140625" bestFit="1" customWidth="1"/>
    <col min="4" max="4" width="11" bestFit="1" customWidth="1"/>
    <col min="5" max="5" width="41" customWidth="1"/>
    <col min="6" max="7" width="9.140625" style="46"/>
    <col min="8" max="8" width="11.140625" bestFit="1" customWidth="1"/>
    <col min="13" max="13" width="18.42578125" customWidth="1"/>
    <col min="14" max="15" width="9.42578125" bestFit="1" customWidth="1"/>
    <col min="18" max="18" width="10.42578125" bestFit="1" customWidth="1"/>
    <col min="19" max="19" width="9.42578125" bestFit="1" customWidth="1"/>
    <col min="20" max="21" width="9.140625" style="46"/>
    <col min="23" max="23" width="10.85546875" bestFit="1" customWidth="1"/>
    <col min="24" max="24" width="38" customWidth="1"/>
    <col min="26" max="26" width="14.7109375" customWidth="1"/>
  </cols>
  <sheetData>
    <row r="1" spans="1:26" ht="53.25">
      <c r="A1" s="7" t="s">
        <v>243</v>
      </c>
      <c r="B1" s="7" t="s">
        <v>244</v>
      </c>
      <c r="C1" s="7" t="s">
        <v>245</v>
      </c>
      <c r="D1" s="7" t="s">
        <v>246</v>
      </c>
      <c r="E1" s="7" t="s">
        <v>247</v>
      </c>
      <c r="F1" s="7" t="s">
        <v>966</v>
      </c>
      <c r="G1" s="7" t="s">
        <v>967</v>
      </c>
      <c r="H1" s="7" t="s">
        <v>254</v>
      </c>
      <c r="I1" s="7" t="s">
        <v>255</v>
      </c>
      <c r="J1" s="7" t="s">
        <v>256</v>
      </c>
      <c r="K1" s="7" t="s">
        <v>257</v>
      </c>
      <c r="L1" s="7" t="s">
        <v>258</v>
      </c>
      <c r="M1" s="7" t="s">
        <v>259</v>
      </c>
      <c r="N1" s="7" t="s">
        <v>260</v>
      </c>
      <c r="O1" s="7" t="s">
        <v>261</v>
      </c>
      <c r="P1" s="7" t="s">
        <v>262</v>
      </c>
      <c r="Q1" s="7" t="s">
        <v>263</v>
      </c>
      <c r="R1" s="7" t="s">
        <v>264</v>
      </c>
      <c r="S1" s="7" t="s">
        <v>265</v>
      </c>
      <c r="T1" s="7" t="s">
        <v>263</v>
      </c>
      <c r="U1" s="7" t="s">
        <v>267</v>
      </c>
      <c r="V1" s="7" t="s">
        <v>268</v>
      </c>
      <c r="W1" s="7" t="s">
        <v>248</v>
      </c>
      <c r="X1" s="64" t="s">
        <v>269</v>
      </c>
    </row>
    <row r="2" spans="1:26" ht="36" customHeight="1">
      <c r="A2" s="9">
        <v>1</v>
      </c>
      <c r="B2" s="32" t="s">
        <v>1378</v>
      </c>
      <c r="C2" s="67" t="s">
        <v>275</v>
      </c>
      <c r="D2" s="32">
        <v>43922</v>
      </c>
      <c r="E2" s="11" t="s">
        <v>1379</v>
      </c>
      <c r="F2" s="10">
        <v>8</v>
      </c>
      <c r="G2" s="10">
        <v>8</v>
      </c>
      <c r="H2" s="12" t="s">
        <v>13</v>
      </c>
      <c r="I2" s="65" t="s">
        <v>1019</v>
      </c>
      <c r="J2" s="12"/>
      <c r="K2" s="10" t="s">
        <v>287</v>
      </c>
      <c r="L2" s="12"/>
      <c r="M2" s="42" t="s">
        <v>1380</v>
      </c>
      <c r="N2" s="50">
        <v>45369</v>
      </c>
      <c r="O2" s="50">
        <v>45370</v>
      </c>
      <c r="P2" s="10" t="s">
        <v>287</v>
      </c>
      <c r="Q2" s="15"/>
      <c r="R2" s="15" t="s">
        <v>1339</v>
      </c>
      <c r="S2" s="50">
        <v>45370</v>
      </c>
      <c r="T2" s="26"/>
      <c r="U2" s="10" t="s">
        <v>1381</v>
      </c>
      <c r="V2" s="15"/>
      <c r="W2" s="12"/>
      <c r="X2" s="15" t="s">
        <v>1382</v>
      </c>
      <c r="Y2" s="63"/>
      <c r="Z2" s="63"/>
    </row>
    <row r="3" spans="1:26" ht="24">
      <c r="A3" s="65">
        <v>2</v>
      </c>
      <c r="B3" s="32" t="s">
        <v>32</v>
      </c>
      <c r="C3" s="67" t="s">
        <v>272</v>
      </c>
      <c r="D3" s="32">
        <v>43953</v>
      </c>
      <c r="E3" s="11" t="s">
        <v>1383</v>
      </c>
      <c r="F3" s="10">
        <v>3</v>
      </c>
      <c r="G3" s="68">
        <v>3</v>
      </c>
      <c r="H3" s="65" t="s">
        <v>448</v>
      </c>
      <c r="I3" s="65" t="s">
        <v>448</v>
      </c>
      <c r="J3" s="65" t="s">
        <v>448</v>
      </c>
      <c r="K3" s="65" t="s">
        <v>448</v>
      </c>
      <c r="L3" s="65" t="s">
        <v>448</v>
      </c>
      <c r="M3" s="65" t="s">
        <v>448</v>
      </c>
      <c r="N3" s="65" t="s">
        <v>448</v>
      </c>
      <c r="O3" s="65" t="s">
        <v>448</v>
      </c>
      <c r="P3" s="65" t="s">
        <v>448</v>
      </c>
      <c r="Q3" s="65" t="s">
        <v>448</v>
      </c>
      <c r="R3" s="65" t="s">
        <v>448</v>
      </c>
      <c r="S3" s="65" t="s">
        <v>448</v>
      </c>
      <c r="T3" s="68" t="s">
        <v>448</v>
      </c>
      <c r="U3" s="68" t="s">
        <v>448</v>
      </c>
      <c r="V3" s="65" t="s">
        <v>448</v>
      </c>
      <c r="W3" s="65" t="s">
        <v>13</v>
      </c>
      <c r="X3" s="65" t="s">
        <v>1384</v>
      </c>
    </row>
    <row r="4" spans="1:26" ht="24">
      <c r="A4" s="9">
        <v>3</v>
      </c>
      <c r="B4" s="32" t="s">
        <v>32</v>
      </c>
      <c r="C4" s="32" t="s">
        <v>1019</v>
      </c>
      <c r="D4" s="32">
        <v>43354</v>
      </c>
      <c r="E4" s="11" t="s">
        <v>1385</v>
      </c>
      <c r="F4" s="10">
        <v>2</v>
      </c>
      <c r="G4" s="10">
        <v>1</v>
      </c>
      <c r="H4" s="12" t="s">
        <v>13</v>
      </c>
      <c r="I4" s="65" t="s">
        <v>275</v>
      </c>
      <c r="J4" s="65"/>
      <c r="K4" s="65" t="s">
        <v>275</v>
      </c>
      <c r="L4" s="65"/>
      <c r="M4" s="66" t="s">
        <v>1386</v>
      </c>
      <c r="N4" s="50">
        <v>45363</v>
      </c>
      <c r="O4" s="50">
        <v>45363</v>
      </c>
      <c r="P4" s="65" t="s">
        <v>275</v>
      </c>
      <c r="Q4" s="65"/>
      <c r="R4" s="65" t="s">
        <v>1339</v>
      </c>
      <c r="S4" s="50">
        <v>45363</v>
      </c>
      <c r="T4" s="68"/>
      <c r="U4" s="68">
        <v>1</v>
      </c>
      <c r="V4" s="65"/>
      <c r="W4" s="65" t="s">
        <v>13</v>
      </c>
      <c r="X4" s="65"/>
    </row>
    <row r="5" spans="1:26" ht="24">
      <c r="A5" s="9">
        <v>4</v>
      </c>
      <c r="B5" s="32" t="s">
        <v>32</v>
      </c>
      <c r="C5" s="32" t="s">
        <v>1019</v>
      </c>
      <c r="D5" s="32">
        <v>43355</v>
      </c>
      <c r="E5" s="11" t="s">
        <v>1387</v>
      </c>
      <c r="F5" s="10">
        <v>2</v>
      </c>
      <c r="G5" s="10">
        <v>1</v>
      </c>
      <c r="H5" s="12" t="s">
        <v>13</v>
      </c>
      <c r="I5" s="65" t="s">
        <v>275</v>
      </c>
      <c r="J5" s="65"/>
      <c r="K5" s="65" t="s">
        <v>275</v>
      </c>
      <c r="L5" s="65"/>
      <c r="M5" s="66" t="s">
        <v>1386</v>
      </c>
      <c r="N5" s="50">
        <v>45363</v>
      </c>
      <c r="O5" s="50">
        <v>45363</v>
      </c>
      <c r="P5" s="65" t="s">
        <v>275</v>
      </c>
      <c r="Q5" s="65"/>
      <c r="R5" s="65" t="s">
        <v>1339</v>
      </c>
      <c r="S5" s="50">
        <v>45363</v>
      </c>
      <c r="T5" s="68"/>
      <c r="U5" s="68">
        <v>1</v>
      </c>
      <c r="V5" s="65"/>
      <c r="W5" s="65" t="s">
        <v>13</v>
      </c>
      <c r="X5" s="65"/>
    </row>
    <row r="6" spans="1:26" ht="24">
      <c r="A6" s="9">
        <v>5</v>
      </c>
      <c r="B6" s="32" t="s">
        <v>32</v>
      </c>
      <c r="C6" s="32" t="s">
        <v>1019</v>
      </c>
      <c r="D6" s="32">
        <v>23003</v>
      </c>
      <c r="E6" s="11" t="s">
        <v>1388</v>
      </c>
      <c r="F6" s="10">
        <v>2</v>
      </c>
      <c r="G6" s="10">
        <v>2</v>
      </c>
      <c r="H6" s="12" t="s">
        <v>13</v>
      </c>
      <c r="I6" s="65" t="s">
        <v>275</v>
      </c>
      <c r="J6" s="65"/>
      <c r="K6" s="65" t="s">
        <v>275</v>
      </c>
      <c r="L6" s="65"/>
      <c r="M6" s="66" t="s">
        <v>1389</v>
      </c>
      <c r="N6" s="50">
        <v>45362</v>
      </c>
      <c r="O6" s="50">
        <v>45362</v>
      </c>
      <c r="P6" s="65" t="s">
        <v>275</v>
      </c>
      <c r="Q6" s="65"/>
      <c r="R6" s="65" t="s">
        <v>1339</v>
      </c>
      <c r="S6" s="50">
        <v>45362</v>
      </c>
      <c r="T6" s="68"/>
      <c r="U6" s="68">
        <v>1</v>
      </c>
      <c r="V6" s="65"/>
      <c r="W6" s="65" t="s">
        <v>13</v>
      </c>
      <c r="X6" s="65"/>
    </row>
    <row r="7" spans="1:26" ht="36">
      <c r="A7" s="9">
        <v>6</v>
      </c>
      <c r="B7" s="32" t="s">
        <v>32</v>
      </c>
      <c r="C7" s="32" t="s">
        <v>1019</v>
      </c>
      <c r="D7" s="32">
        <v>23008</v>
      </c>
      <c r="E7" s="11" t="s">
        <v>1390</v>
      </c>
      <c r="F7" s="10">
        <v>2</v>
      </c>
      <c r="G7" s="10">
        <v>1</v>
      </c>
      <c r="H7" s="12" t="s">
        <v>13</v>
      </c>
      <c r="I7" s="65" t="s">
        <v>275</v>
      </c>
      <c r="J7" s="65"/>
      <c r="K7" s="65" t="s">
        <v>275</v>
      </c>
      <c r="L7" s="65"/>
      <c r="M7" s="66" t="s">
        <v>1391</v>
      </c>
      <c r="N7" s="50">
        <v>45363</v>
      </c>
      <c r="O7" s="50">
        <v>45363</v>
      </c>
      <c r="P7" s="65" t="s">
        <v>275</v>
      </c>
      <c r="Q7" s="65"/>
      <c r="R7" s="65" t="s">
        <v>1339</v>
      </c>
      <c r="S7" s="50">
        <v>45363</v>
      </c>
      <c r="T7" s="68"/>
      <c r="U7" s="68"/>
      <c r="V7" s="65"/>
      <c r="W7" s="65" t="s">
        <v>13</v>
      </c>
      <c r="X7" s="65"/>
    </row>
    <row r="8" spans="1:26">
      <c r="A8" s="65">
        <v>7</v>
      </c>
      <c r="B8" s="32" t="s">
        <v>32</v>
      </c>
      <c r="C8" s="67" t="s">
        <v>272</v>
      </c>
      <c r="D8" s="32">
        <v>43947</v>
      </c>
      <c r="E8" s="11" t="s">
        <v>1392</v>
      </c>
      <c r="F8" s="68">
        <v>8</v>
      </c>
      <c r="G8" s="68">
        <v>8</v>
      </c>
      <c r="H8" s="65" t="s">
        <v>13</v>
      </c>
      <c r="I8" s="65" t="s">
        <v>272</v>
      </c>
      <c r="J8" s="65" t="s">
        <v>448</v>
      </c>
      <c r="K8" s="65" t="s">
        <v>448</v>
      </c>
      <c r="L8" s="65" t="s">
        <v>448</v>
      </c>
      <c r="M8" s="65" t="s">
        <v>448</v>
      </c>
      <c r="N8" s="65" t="s">
        <v>448</v>
      </c>
      <c r="O8" s="65" t="s">
        <v>448</v>
      </c>
      <c r="P8" s="65" t="s">
        <v>448</v>
      </c>
      <c r="Q8" s="65" t="s">
        <v>448</v>
      </c>
      <c r="R8" s="65" t="s">
        <v>448</v>
      </c>
      <c r="S8" s="65" t="s">
        <v>448</v>
      </c>
      <c r="T8" s="68" t="s">
        <v>448</v>
      </c>
      <c r="U8" s="68" t="s">
        <v>448</v>
      </c>
      <c r="V8" s="65" t="s">
        <v>448</v>
      </c>
      <c r="W8" s="65" t="s">
        <v>13</v>
      </c>
      <c r="X8" s="65"/>
    </row>
    <row r="9" spans="1:26">
      <c r="A9" s="65">
        <v>8</v>
      </c>
      <c r="B9" s="32" t="s">
        <v>32</v>
      </c>
      <c r="C9" s="67" t="s">
        <v>272</v>
      </c>
      <c r="D9" s="67">
        <v>43946</v>
      </c>
      <c r="E9" s="11" t="s">
        <v>1393</v>
      </c>
      <c r="F9" s="68">
        <v>5</v>
      </c>
      <c r="G9" s="68">
        <v>5</v>
      </c>
      <c r="H9" s="65" t="s">
        <v>13</v>
      </c>
      <c r="I9" s="65" t="s">
        <v>272</v>
      </c>
      <c r="J9" s="65" t="s">
        <v>448</v>
      </c>
      <c r="K9" s="65" t="s">
        <v>448</v>
      </c>
      <c r="L9" s="65" t="s">
        <v>448</v>
      </c>
      <c r="M9" s="65" t="s">
        <v>448</v>
      </c>
      <c r="N9" s="65" t="s">
        <v>448</v>
      </c>
      <c r="O9" s="65" t="s">
        <v>448</v>
      </c>
      <c r="P9" s="65" t="s">
        <v>448</v>
      </c>
      <c r="Q9" s="65" t="s">
        <v>448</v>
      </c>
      <c r="R9" s="65" t="s">
        <v>448</v>
      </c>
      <c r="S9" s="65" t="s">
        <v>448</v>
      </c>
      <c r="T9" s="68" t="s">
        <v>448</v>
      </c>
      <c r="U9" s="68" t="s">
        <v>448</v>
      </c>
      <c r="V9" s="65" t="s">
        <v>448</v>
      </c>
      <c r="W9" s="65" t="s">
        <v>13</v>
      </c>
      <c r="X9" s="65"/>
    </row>
    <row r="10" spans="1:26">
      <c r="A10" s="65">
        <v>9</v>
      </c>
      <c r="B10" s="67" t="s">
        <v>32</v>
      </c>
      <c r="C10" s="67" t="s">
        <v>1019</v>
      </c>
      <c r="D10" s="67">
        <v>23027</v>
      </c>
      <c r="E10" s="65" t="s">
        <v>1394</v>
      </c>
      <c r="F10" s="68">
        <v>1</v>
      </c>
      <c r="G10" s="68">
        <v>1</v>
      </c>
      <c r="H10" s="65" t="s">
        <v>13</v>
      </c>
      <c r="I10" s="65" t="s">
        <v>275</v>
      </c>
      <c r="J10" s="65"/>
      <c r="K10" s="65" t="s">
        <v>275</v>
      </c>
      <c r="L10" s="65"/>
      <c r="M10" s="66" t="s">
        <v>1395</v>
      </c>
      <c r="N10" s="50">
        <v>45365</v>
      </c>
      <c r="O10" s="50">
        <v>45365</v>
      </c>
      <c r="P10" s="65" t="s">
        <v>275</v>
      </c>
      <c r="Q10" s="65"/>
      <c r="R10" s="65" t="s">
        <v>1339</v>
      </c>
      <c r="S10" s="50">
        <v>45365</v>
      </c>
      <c r="T10" s="68"/>
      <c r="U10" s="68"/>
      <c r="V10" s="65"/>
      <c r="W10" s="65" t="s">
        <v>13</v>
      </c>
      <c r="X10" s="65"/>
    </row>
    <row r="11" spans="1:26">
      <c r="A11" s="65">
        <v>10</v>
      </c>
      <c r="B11" s="67" t="s">
        <v>32</v>
      </c>
      <c r="C11" s="67" t="s">
        <v>1019</v>
      </c>
      <c r="D11" s="67">
        <v>23038</v>
      </c>
      <c r="E11" s="65" t="s">
        <v>1396</v>
      </c>
      <c r="F11" s="68">
        <v>1</v>
      </c>
      <c r="G11" s="68">
        <v>1</v>
      </c>
      <c r="H11" s="65" t="s">
        <v>13</v>
      </c>
      <c r="I11" s="65" t="s">
        <v>275</v>
      </c>
      <c r="J11" s="65"/>
      <c r="K11" s="65" t="s">
        <v>275</v>
      </c>
      <c r="L11" s="65"/>
      <c r="M11" s="66" t="s">
        <v>1397</v>
      </c>
      <c r="N11" s="50">
        <v>45366</v>
      </c>
      <c r="O11" s="50">
        <v>45366</v>
      </c>
      <c r="P11" s="65" t="s">
        <v>275</v>
      </c>
      <c r="Q11" s="65"/>
      <c r="R11" s="65" t="s">
        <v>1339</v>
      </c>
      <c r="S11" s="50">
        <v>45366</v>
      </c>
      <c r="T11" s="68"/>
      <c r="V11" s="65"/>
      <c r="W11" s="65" t="s">
        <v>13</v>
      </c>
      <c r="X11" s="65"/>
    </row>
    <row r="12" spans="1:26">
      <c r="A12" s="65">
        <v>11</v>
      </c>
      <c r="B12" s="67" t="s">
        <v>32</v>
      </c>
      <c r="C12" s="67" t="s">
        <v>1019</v>
      </c>
      <c r="D12" s="67">
        <v>23049</v>
      </c>
      <c r="E12" s="65" t="s">
        <v>1398</v>
      </c>
      <c r="F12" s="68">
        <v>2</v>
      </c>
      <c r="G12" s="68">
        <v>2</v>
      </c>
      <c r="H12" s="65" t="s">
        <v>13</v>
      </c>
      <c r="I12" s="65" t="s">
        <v>275</v>
      </c>
      <c r="J12" s="65"/>
      <c r="K12" s="65" t="s">
        <v>275</v>
      </c>
      <c r="L12" s="65"/>
      <c r="M12" s="66" t="s">
        <v>1399</v>
      </c>
      <c r="N12" s="50">
        <v>45366</v>
      </c>
      <c r="O12" s="50">
        <v>45366</v>
      </c>
      <c r="P12" s="65" t="s">
        <v>275</v>
      </c>
      <c r="Q12" s="65"/>
      <c r="R12" s="65" t="s">
        <v>1339</v>
      </c>
      <c r="S12" s="50">
        <v>45366</v>
      </c>
      <c r="T12" s="68"/>
      <c r="U12" s="68"/>
      <c r="V12" s="65"/>
      <c r="W12" s="65" t="s">
        <v>13</v>
      </c>
      <c r="X12" s="65"/>
    </row>
    <row r="13" spans="1:26">
      <c r="A13" s="65">
        <v>12</v>
      </c>
      <c r="B13" s="67" t="s">
        <v>32</v>
      </c>
      <c r="C13" s="67" t="s">
        <v>287</v>
      </c>
      <c r="D13" s="67">
        <v>23047</v>
      </c>
      <c r="E13" s="65" t="s">
        <v>1400</v>
      </c>
      <c r="F13" s="68">
        <v>1</v>
      </c>
      <c r="G13" s="68">
        <v>3</v>
      </c>
      <c r="H13" s="65" t="s">
        <v>13</v>
      </c>
      <c r="I13" s="65" t="s">
        <v>275</v>
      </c>
      <c r="J13" s="65"/>
      <c r="K13" s="65" t="s">
        <v>275</v>
      </c>
      <c r="L13" s="65"/>
      <c r="M13" s="66" t="s">
        <v>1401</v>
      </c>
      <c r="N13" s="50">
        <v>45366</v>
      </c>
      <c r="O13" s="50">
        <v>45366</v>
      </c>
      <c r="P13" s="65" t="s">
        <v>275</v>
      </c>
      <c r="Q13" s="65"/>
      <c r="R13" s="65" t="s">
        <v>1339</v>
      </c>
      <c r="S13" s="50">
        <v>45366</v>
      </c>
      <c r="T13" s="68"/>
      <c r="U13" s="68"/>
      <c r="V13" s="65"/>
      <c r="W13" s="65" t="s">
        <v>13</v>
      </c>
      <c r="X13" s="65"/>
    </row>
  </sheetData>
  <dataValidations count="1">
    <dataValidation type="list" allowBlank="1" showErrorMessage="1" sqref="W2" xr:uid="{33228257-512E-4071-9606-6FD02C6BFC0D}">
      <formula1>"Open,Inprogress,Closed,In Testing"</formula1>
    </dataValidation>
  </dataValidations>
  <hyperlinks>
    <hyperlink ref="M6" r:id="rId1" xr:uid="{786436F3-6D13-4BC2-8C3C-FAE3423DC0A5}"/>
    <hyperlink ref="M7" r:id="rId2" xr:uid="{DA526DD4-6920-46ED-89D9-03232C72E163}"/>
    <hyperlink ref="M4" r:id="rId3" xr:uid="{E0A0998B-103D-47F3-80D4-F704C824020E}"/>
    <hyperlink ref="M5" r:id="rId4" xr:uid="{0D1E1497-4BE9-4B98-BAE3-A45F8E99F5AB}"/>
    <hyperlink ref="M10" r:id="rId5" xr:uid="{9820571A-A542-4C9E-9716-5892AAC85022}"/>
    <hyperlink ref="M11" r:id="rId6" xr:uid="{62741665-E9F0-490E-A3FE-B46237675D67}"/>
    <hyperlink ref="M12" r:id="rId7" xr:uid="{8ABE4F87-A812-453C-B9B8-A0C7F04805F9}"/>
    <hyperlink ref="M2" r:id="rId8" xr:uid="{1771B79B-E2FD-4800-8E3D-0C4C668B722E}"/>
    <hyperlink ref="M13" r:id="rId9" xr:uid="{549EE1C5-C667-46CC-B290-9F3752D6A434}"/>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7FFD-CB14-427F-BFA3-39CA7586D272}">
  <dimension ref="A1:Z7"/>
  <sheetViews>
    <sheetView workbookViewId="0">
      <selection activeCell="J2" sqref="J2"/>
    </sheetView>
  </sheetViews>
  <sheetFormatPr defaultRowHeight="12.75"/>
  <cols>
    <col min="2" max="2" width="11.28515625" customWidth="1"/>
    <col min="6" max="6" width="84" customWidth="1"/>
    <col min="10" max="10" width="14.140625" bestFit="1" customWidth="1"/>
  </cols>
  <sheetData>
    <row r="1" spans="1:26" ht="40.5">
      <c r="A1" s="51" t="s">
        <v>243</v>
      </c>
      <c r="B1" s="54" t="s">
        <v>11</v>
      </c>
      <c r="C1" s="54" t="s">
        <v>297</v>
      </c>
      <c r="D1" s="54" t="s">
        <v>245</v>
      </c>
      <c r="E1" s="55" t="s">
        <v>299</v>
      </c>
      <c r="F1" s="55" t="s">
        <v>300</v>
      </c>
      <c r="G1" s="54" t="s">
        <v>301</v>
      </c>
      <c r="H1" s="54" t="s">
        <v>303</v>
      </c>
      <c r="I1" s="54" t="s">
        <v>248</v>
      </c>
      <c r="J1" s="56" t="s">
        <v>305</v>
      </c>
      <c r="K1" s="57" t="s">
        <v>269</v>
      </c>
      <c r="L1" s="25"/>
      <c r="M1" s="25"/>
      <c r="N1" s="25"/>
      <c r="O1" s="25"/>
      <c r="P1" s="25"/>
      <c r="Q1" s="25"/>
      <c r="R1" s="25"/>
      <c r="S1" s="25"/>
      <c r="T1" s="25"/>
      <c r="U1" s="25"/>
      <c r="V1" s="25"/>
      <c r="W1" s="25"/>
      <c r="X1" s="25"/>
      <c r="Y1" s="25"/>
      <c r="Z1" s="25"/>
    </row>
    <row r="2" spans="1:26">
      <c r="A2">
        <v>1</v>
      </c>
      <c r="B2" t="s">
        <v>32</v>
      </c>
      <c r="C2">
        <v>23003</v>
      </c>
      <c r="D2" t="s">
        <v>1019</v>
      </c>
      <c r="E2" t="s">
        <v>715</v>
      </c>
      <c r="F2" t="s">
        <v>1388</v>
      </c>
      <c r="G2" t="s">
        <v>1186</v>
      </c>
      <c r="H2" t="s">
        <v>371</v>
      </c>
      <c r="I2" t="s">
        <v>780</v>
      </c>
      <c r="J2" t="s">
        <v>859</v>
      </c>
    </row>
    <row r="3" spans="1:26">
      <c r="A3">
        <v>2</v>
      </c>
      <c r="B3" t="s">
        <v>32</v>
      </c>
      <c r="C3">
        <v>23008</v>
      </c>
      <c r="D3" t="s">
        <v>1019</v>
      </c>
      <c r="E3" t="s">
        <v>715</v>
      </c>
      <c r="F3" s="11" t="s">
        <v>1390</v>
      </c>
      <c r="G3" t="s">
        <v>335</v>
      </c>
      <c r="H3" t="s">
        <v>371</v>
      </c>
      <c r="I3" t="s">
        <v>780</v>
      </c>
      <c r="J3" t="s">
        <v>859</v>
      </c>
    </row>
    <row r="4" spans="1:26">
      <c r="A4">
        <v>3</v>
      </c>
      <c r="B4" t="s">
        <v>32</v>
      </c>
      <c r="C4">
        <v>23027</v>
      </c>
      <c r="D4" t="s">
        <v>1019</v>
      </c>
      <c r="E4" t="s">
        <v>715</v>
      </c>
      <c r="F4" s="65" t="s">
        <v>1394</v>
      </c>
      <c r="G4" t="s">
        <v>1186</v>
      </c>
      <c r="H4" t="s">
        <v>371</v>
      </c>
      <c r="I4" t="s">
        <v>780</v>
      </c>
      <c r="J4" t="s">
        <v>859</v>
      </c>
    </row>
    <row r="5" spans="1:26">
      <c r="A5">
        <v>4</v>
      </c>
      <c r="B5" t="s">
        <v>32</v>
      </c>
      <c r="C5">
        <v>23038</v>
      </c>
      <c r="D5" t="s">
        <v>1019</v>
      </c>
      <c r="E5" t="s">
        <v>715</v>
      </c>
      <c r="F5" s="65" t="s">
        <v>1396</v>
      </c>
      <c r="G5" t="s">
        <v>335</v>
      </c>
      <c r="H5" t="s">
        <v>371</v>
      </c>
      <c r="I5" t="s">
        <v>780</v>
      </c>
      <c r="J5" t="s">
        <v>859</v>
      </c>
    </row>
    <row r="6" spans="1:26">
      <c r="A6">
        <v>5</v>
      </c>
      <c r="B6" t="s">
        <v>32</v>
      </c>
      <c r="C6">
        <v>23049</v>
      </c>
      <c r="D6" t="s">
        <v>1019</v>
      </c>
      <c r="E6" t="s">
        <v>715</v>
      </c>
      <c r="F6" s="65" t="s">
        <v>1398</v>
      </c>
      <c r="G6" t="s">
        <v>335</v>
      </c>
      <c r="H6" t="s">
        <v>371</v>
      </c>
      <c r="I6" t="s">
        <v>780</v>
      </c>
      <c r="J6" t="s">
        <v>859</v>
      </c>
    </row>
    <row r="7" spans="1:26">
      <c r="A7">
        <v>6</v>
      </c>
      <c r="B7" t="s">
        <v>32</v>
      </c>
      <c r="C7" s="67">
        <v>23047</v>
      </c>
      <c r="D7" t="s">
        <v>287</v>
      </c>
      <c r="E7" t="s">
        <v>715</v>
      </c>
      <c r="F7" s="65" t="s">
        <v>1400</v>
      </c>
      <c r="G7" t="s">
        <v>1186</v>
      </c>
      <c r="H7" t="s">
        <v>371</v>
      </c>
      <c r="I7" t="s">
        <v>780</v>
      </c>
      <c r="J7" t="s">
        <v>859</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5A7A-5395-467E-A358-F322CF446A1D}">
  <dimension ref="A1:X7"/>
  <sheetViews>
    <sheetView topLeftCell="A6" workbookViewId="0">
      <selection activeCell="G5" sqref="G5"/>
    </sheetView>
  </sheetViews>
  <sheetFormatPr defaultRowHeight="12.75"/>
  <cols>
    <col min="2" max="2" width="14.7109375" customWidth="1"/>
    <col min="5" max="5" width="38.7109375" customWidth="1"/>
    <col min="13" max="13" width="13.140625" customWidth="1"/>
    <col min="14" max="14" width="11.7109375" customWidth="1"/>
    <col min="15" max="15" width="10.7109375" customWidth="1"/>
    <col min="19" max="19" width="11" customWidth="1"/>
    <col min="24" max="24" width="18.28515625" customWidth="1"/>
  </cols>
  <sheetData>
    <row r="1" spans="1:24" ht="53.25">
      <c r="A1" s="51" t="s">
        <v>243</v>
      </c>
      <c r="B1" s="51" t="s">
        <v>244</v>
      </c>
      <c r="C1" s="51" t="s">
        <v>245</v>
      </c>
      <c r="D1" s="51" t="s">
        <v>246</v>
      </c>
      <c r="E1" s="51" t="s">
        <v>247</v>
      </c>
      <c r="F1" s="51" t="s">
        <v>966</v>
      </c>
      <c r="G1" s="51" t="s">
        <v>967</v>
      </c>
      <c r="H1" s="51" t="s">
        <v>254</v>
      </c>
      <c r="I1" s="51" t="s">
        <v>255</v>
      </c>
      <c r="J1" s="51" t="s">
        <v>256</v>
      </c>
      <c r="K1" s="51" t="s">
        <v>257</v>
      </c>
      <c r="L1" s="51" t="s">
        <v>258</v>
      </c>
      <c r="M1" s="51" t="s">
        <v>259</v>
      </c>
      <c r="N1" s="51" t="s">
        <v>260</v>
      </c>
      <c r="O1" s="51" t="s">
        <v>261</v>
      </c>
      <c r="P1" s="51" t="s">
        <v>262</v>
      </c>
      <c r="Q1" s="51" t="s">
        <v>263</v>
      </c>
      <c r="R1" s="51" t="s">
        <v>264</v>
      </c>
      <c r="S1" s="51" t="s">
        <v>265</v>
      </c>
      <c r="T1" s="51" t="s">
        <v>263</v>
      </c>
      <c r="U1" s="51" t="s">
        <v>267</v>
      </c>
      <c r="V1" s="51" t="s">
        <v>268</v>
      </c>
      <c r="W1" s="51" t="s">
        <v>248</v>
      </c>
      <c r="X1" s="52" t="s">
        <v>269</v>
      </c>
    </row>
    <row r="2" spans="1:24" ht="37.5" customHeight="1">
      <c r="A2" s="9">
        <v>1</v>
      </c>
      <c r="B2" s="10" t="s">
        <v>30</v>
      </c>
      <c r="C2" s="10" t="s">
        <v>275</v>
      </c>
      <c r="D2" s="10">
        <v>40282</v>
      </c>
      <c r="E2" s="11" t="s">
        <v>1402</v>
      </c>
      <c r="F2" s="10">
        <v>8</v>
      </c>
      <c r="G2" s="10">
        <v>8</v>
      </c>
      <c r="H2" s="12" t="s">
        <v>13</v>
      </c>
      <c r="I2" s="10" t="s">
        <v>287</v>
      </c>
      <c r="J2" s="12" t="s">
        <v>448</v>
      </c>
      <c r="K2" s="10" t="s">
        <v>287</v>
      </c>
      <c r="L2" s="12" t="s">
        <v>1208</v>
      </c>
      <c r="M2" s="59" t="s">
        <v>1403</v>
      </c>
      <c r="N2" s="60">
        <v>45357</v>
      </c>
      <c r="O2" s="60">
        <v>45357</v>
      </c>
      <c r="P2" s="10" t="s">
        <v>287</v>
      </c>
      <c r="Q2" s="15" t="s">
        <v>1208</v>
      </c>
      <c r="R2" s="15" t="s">
        <v>1339</v>
      </c>
      <c r="S2" s="60">
        <v>45357</v>
      </c>
      <c r="T2" s="15"/>
      <c r="U2" s="12">
        <v>2</v>
      </c>
      <c r="V2" s="15" t="s">
        <v>1404</v>
      </c>
      <c r="W2" s="12" t="s">
        <v>780</v>
      </c>
      <c r="X2" s="15"/>
    </row>
    <row r="3" spans="1:24" ht="41.25" customHeight="1">
      <c r="A3" s="9">
        <v>2</v>
      </c>
      <c r="B3" s="10" t="s">
        <v>30</v>
      </c>
      <c r="C3" s="10" t="s">
        <v>1019</v>
      </c>
      <c r="D3" s="10">
        <v>43297</v>
      </c>
      <c r="E3" s="11" t="s">
        <v>1405</v>
      </c>
      <c r="F3" s="10">
        <v>2</v>
      </c>
      <c r="G3" s="10">
        <v>3</v>
      </c>
      <c r="H3" s="12" t="s">
        <v>13</v>
      </c>
      <c r="I3" s="10" t="s">
        <v>275</v>
      </c>
      <c r="J3" s="12"/>
      <c r="K3" s="10" t="s">
        <v>275</v>
      </c>
      <c r="L3" s="12" t="s">
        <v>1208</v>
      </c>
      <c r="M3" s="59" t="s">
        <v>1406</v>
      </c>
      <c r="N3" s="14">
        <v>45350</v>
      </c>
      <c r="O3" s="14">
        <v>45351</v>
      </c>
      <c r="P3" s="10" t="s">
        <v>275</v>
      </c>
      <c r="Q3" s="15" t="s">
        <v>1208</v>
      </c>
      <c r="R3" s="15" t="s">
        <v>1339</v>
      </c>
      <c r="S3" s="14">
        <v>45351</v>
      </c>
      <c r="T3" s="15"/>
      <c r="U3" s="12" t="s">
        <v>1208</v>
      </c>
      <c r="V3" s="15" t="s">
        <v>1407</v>
      </c>
      <c r="W3" s="12" t="s">
        <v>780</v>
      </c>
      <c r="X3" s="15" t="s">
        <v>1408</v>
      </c>
    </row>
    <row r="4" spans="1:24" ht="24">
      <c r="A4" s="58">
        <v>3</v>
      </c>
      <c r="B4" s="10" t="s">
        <v>30</v>
      </c>
      <c r="C4" s="58" t="s">
        <v>272</v>
      </c>
      <c r="D4" s="10">
        <v>43800</v>
      </c>
      <c r="E4" s="11" t="s">
        <v>1409</v>
      </c>
      <c r="F4" s="10">
        <v>1</v>
      </c>
      <c r="G4" s="10">
        <v>1</v>
      </c>
      <c r="H4" s="15" t="s">
        <v>448</v>
      </c>
      <c r="I4" s="15" t="s">
        <v>448</v>
      </c>
      <c r="J4" s="15" t="s">
        <v>448</v>
      </c>
      <c r="K4" s="15" t="s">
        <v>448</v>
      </c>
      <c r="L4" s="15" t="s">
        <v>448</v>
      </c>
      <c r="M4" s="15" t="s">
        <v>448</v>
      </c>
      <c r="N4" s="15" t="s">
        <v>448</v>
      </c>
      <c r="O4" s="15" t="s">
        <v>448</v>
      </c>
      <c r="P4" s="15" t="s">
        <v>448</v>
      </c>
      <c r="Q4" s="15" t="s">
        <v>448</v>
      </c>
      <c r="R4" s="15" t="s">
        <v>448</v>
      </c>
      <c r="S4" s="15" t="s">
        <v>448</v>
      </c>
      <c r="T4" s="15" t="s">
        <v>448</v>
      </c>
      <c r="U4" s="15" t="s">
        <v>448</v>
      </c>
      <c r="V4" s="15" t="s">
        <v>448</v>
      </c>
      <c r="W4" s="12" t="s">
        <v>780</v>
      </c>
      <c r="X4" s="58"/>
    </row>
    <row r="5" spans="1:24" ht="154.5">
      <c r="A5" s="58">
        <v>4</v>
      </c>
      <c r="B5" s="10" t="s">
        <v>30</v>
      </c>
      <c r="C5" s="10" t="s">
        <v>1019</v>
      </c>
      <c r="D5" s="10">
        <v>22897</v>
      </c>
      <c r="E5" s="61" t="s">
        <v>1410</v>
      </c>
      <c r="F5" s="10">
        <v>8</v>
      </c>
      <c r="G5" s="10">
        <v>2</v>
      </c>
      <c r="H5" s="58" t="s">
        <v>13</v>
      </c>
      <c r="I5" s="58" t="s">
        <v>275</v>
      </c>
      <c r="J5" s="58"/>
      <c r="K5" s="58" t="s">
        <v>275</v>
      </c>
      <c r="L5" s="58"/>
      <c r="M5" s="62" t="s">
        <v>1411</v>
      </c>
      <c r="N5" s="60">
        <v>45351</v>
      </c>
      <c r="O5" s="60">
        <v>45351</v>
      </c>
      <c r="P5" s="58" t="s">
        <v>275</v>
      </c>
      <c r="Q5" s="58" t="s">
        <v>1208</v>
      </c>
      <c r="R5" s="58" t="s">
        <v>1339</v>
      </c>
      <c r="S5" s="60">
        <v>45351</v>
      </c>
      <c r="T5" s="58"/>
      <c r="U5" s="12" t="s">
        <v>1208</v>
      </c>
      <c r="V5" s="58"/>
      <c r="W5" s="12" t="s">
        <v>780</v>
      </c>
      <c r="X5" s="58"/>
    </row>
    <row r="6" spans="1:24" ht="154.5">
      <c r="A6" s="58">
        <v>5</v>
      </c>
      <c r="B6" s="10" t="s">
        <v>1412</v>
      </c>
      <c r="C6" s="10" t="s">
        <v>1019</v>
      </c>
      <c r="D6" s="10">
        <v>43695</v>
      </c>
      <c r="E6" s="61" t="s">
        <v>1413</v>
      </c>
      <c r="F6" s="10">
        <v>8</v>
      </c>
      <c r="G6" s="10">
        <v>4</v>
      </c>
      <c r="H6" s="58" t="s">
        <v>13</v>
      </c>
      <c r="I6" s="58" t="s">
        <v>275</v>
      </c>
      <c r="J6" s="58"/>
      <c r="K6" s="58" t="s">
        <v>275</v>
      </c>
      <c r="L6" s="58"/>
      <c r="M6" s="62" t="s">
        <v>1414</v>
      </c>
      <c r="N6" s="60">
        <v>45357</v>
      </c>
      <c r="O6" s="60">
        <v>45357</v>
      </c>
      <c r="P6" s="58" t="s">
        <v>275</v>
      </c>
      <c r="Q6" s="58" t="s">
        <v>1208</v>
      </c>
      <c r="R6" s="58" t="s">
        <v>1339</v>
      </c>
      <c r="S6" s="60">
        <v>45357</v>
      </c>
      <c r="T6" s="58"/>
      <c r="U6" s="12">
        <v>1</v>
      </c>
      <c r="V6" s="58"/>
      <c r="W6" s="58" t="s">
        <v>1127</v>
      </c>
      <c r="X6" s="58" t="s">
        <v>1415</v>
      </c>
    </row>
    <row r="7" spans="1:24" ht="154.5">
      <c r="A7" s="58">
        <v>6</v>
      </c>
      <c r="B7" s="10" t="s">
        <v>1412</v>
      </c>
      <c r="C7" s="10" t="s">
        <v>1019</v>
      </c>
      <c r="D7" s="10">
        <v>43765</v>
      </c>
      <c r="E7" s="61" t="s">
        <v>1416</v>
      </c>
      <c r="F7" s="10">
        <v>8</v>
      </c>
      <c r="G7" s="10">
        <v>3</v>
      </c>
      <c r="H7" s="58" t="s">
        <v>13</v>
      </c>
      <c r="I7" s="58" t="s">
        <v>275</v>
      </c>
      <c r="J7" s="58"/>
      <c r="K7" s="58" t="s">
        <v>275</v>
      </c>
      <c r="L7" s="58"/>
      <c r="M7" s="62" t="s">
        <v>1417</v>
      </c>
      <c r="N7" s="60">
        <v>45357</v>
      </c>
      <c r="O7" s="60">
        <v>45357</v>
      </c>
      <c r="P7" s="58" t="s">
        <v>275</v>
      </c>
      <c r="Q7" s="58" t="s">
        <v>1208</v>
      </c>
      <c r="R7" s="58" t="s">
        <v>1339</v>
      </c>
      <c r="S7" s="60">
        <v>45357</v>
      </c>
      <c r="T7" s="58"/>
      <c r="U7" s="12" t="s">
        <v>1208</v>
      </c>
      <c r="V7" s="58"/>
      <c r="W7" s="58" t="s">
        <v>1127</v>
      </c>
      <c r="X7" s="58" t="s">
        <v>1415</v>
      </c>
    </row>
  </sheetData>
  <dataValidations count="1">
    <dataValidation type="list" allowBlank="1" showErrorMessage="1" sqref="W2:W5" xr:uid="{D41234FD-C61C-418D-9867-04634E3950E8}">
      <formula1>"Open,Inprogress,Closed,In Testing"</formula1>
    </dataValidation>
  </dataValidations>
  <hyperlinks>
    <hyperlink ref="M3" r:id="rId1" xr:uid="{A5E0246E-980D-433A-84DB-C83CDB290EAA}"/>
    <hyperlink ref="M5" r:id="rId2" xr:uid="{1635D092-0F8B-4526-81AE-3538AC3C2E51}"/>
    <hyperlink ref="M6" r:id="rId3" xr:uid="{4F47998E-8960-4ED9-B032-81D755CA3871}"/>
    <hyperlink ref="M7" r:id="rId4" xr:uid="{17CCACB5-99B1-4FB1-BD7F-57AA42138A6C}"/>
    <hyperlink ref="M2" r:id="rId5" xr:uid="{6000FF0B-17F9-4E0A-93C5-A00BF16A4764}"/>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01074-8DB6-4285-B8E4-B3C3A938001B}">
  <dimension ref="A1:Z2"/>
  <sheetViews>
    <sheetView workbookViewId="0"/>
  </sheetViews>
  <sheetFormatPr defaultColWidth="12.5703125" defaultRowHeight="15.75" customHeight="1"/>
  <cols>
    <col min="6" max="6" width="75.42578125" bestFit="1" customWidth="1"/>
  </cols>
  <sheetData>
    <row r="1" spans="1:26" ht="27">
      <c r="A1" s="51" t="s">
        <v>243</v>
      </c>
      <c r="B1" s="54" t="s">
        <v>11</v>
      </c>
      <c r="C1" s="54" t="s">
        <v>297</v>
      </c>
      <c r="D1" s="54" t="s">
        <v>245</v>
      </c>
      <c r="E1" s="55" t="s">
        <v>299</v>
      </c>
      <c r="F1" s="55" t="s">
        <v>300</v>
      </c>
      <c r="G1" s="54" t="s">
        <v>301</v>
      </c>
      <c r="H1" s="54" t="s">
        <v>303</v>
      </c>
      <c r="I1" s="54" t="s">
        <v>248</v>
      </c>
      <c r="J1" s="56" t="s">
        <v>305</v>
      </c>
      <c r="K1" s="57" t="s">
        <v>269</v>
      </c>
      <c r="L1" s="25"/>
      <c r="M1" s="25"/>
      <c r="N1" s="25"/>
      <c r="O1" s="25"/>
      <c r="P1" s="25"/>
      <c r="Q1" s="25"/>
      <c r="R1" s="25"/>
      <c r="S1" s="25"/>
      <c r="T1" s="25"/>
      <c r="U1" s="25"/>
      <c r="V1" s="25"/>
      <c r="W1" s="25"/>
      <c r="X1" s="25"/>
      <c r="Y1" s="25"/>
      <c r="Z1" s="25"/>
    </row>
    <row r="2" spans="1:26" ht="15.75" customHeight="1">
      <c r="A2">
        <v>1</v>
      </c>
      <c r="B2" s="53" t="s">
        <v>30</v>
      </c>
      <c r="C2">
        <v>22897</v>
      </c>
      <c r="D2" t="s">
        <v>1019</v>
      </c>
      <c r="E2" t="s">
        <v>715</v>
      </c>
      <c r="F2" s="49" t="s">
        <v>1410</v>
      </c>
      <c r="G2" t="s">
        <v>1186</v>
      </c>
      <c r="H2" s="25" t="s">
        <v>311</v>
      </c>
      <c r="I2" s="25" t="s">
        <v>780</v>
      </c>
      <c r="J2" s="25" t="s">
        <v>859</v>
      </c>
    </row>
  </sheetData>
  <dataValidations count="2">
    <dataValidation type="list" allowBlank="1" showErrorMessage="1" sqref="I2" xr:uid="{07C655CB-469E-4E3C-AB48-AA95AD38F4BD}">
      <formula1>"Open,Inprogress,Closed"</formula1>
    </dataValidation>
    <dataValidation type="list" allowBlank="1" showErrorMessage="1" sqref="H2" xr:uid="{C704898B-81EA-44F8-BA41-61138F94BBF1}">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8D85741-63A2-4EA9-9D07-D183AC57D378}">
          <x14:formula1>
            <xm:f>Details!$A$2:$A$10</xm:f>
          </x14:formula1>
          <xm:sqref>J2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27E60-8A9D-4FBB-B1E8-5246C34306B2}">
  <dimension ref="A1:Z13"/>
  <sheetViews>
    <sheetView topLeftCell="A2" workbookViewId="0">
      <selection activeCell="X10" sqref="X10"/>
    </sheetView>
  </sheetViews>
  <sheetFormatPr defaultRowHeight="12.75"/>
  <cols>
    <col min="1" max="1" width="4.7109375" bestFit="1" customWidth="1"/>
    <col min="2" max="2" width="21" customWidth="1"/>
    <col min="3" max="3" width="11.28515625" customWidth="1"/>
    <col min="4" max="4" width="17.140625" style="70" customWidth="1"/>
    <col min="5" max="5" width="44.85546875" customWidth="1"/>
    <col min="6" max="7" width="9.140625" style="46"/>
    <col min="8" max="8" width="11.140625" bestFit="1" customWidth="1"/>
    <col min="10" max="10" width="13.140625" customWidth="1"/>
    <col min="11" max="11" width="11" customWidth="1"/>
    <col min="12" max="12" width="17.28515625" customWidth="1"/>
    <col min="13" max="13" width="20" customWidth="1"/>
    <col min="14" max="15" width="9.42578125" bestFit="1" customWidth="1"/>
    <col min="17" max="17" width="13.140625" customWidth="1"/>
    <col min="18" max="18" width="10.42578125" bestFit="1" customWidth="1"/>
    <col min="19" max="19" width="9.42578125" bestFit="1" customWidth="1"/>
    <col min="20" max="20" width="13.7109375" style="46" customWidth="1"/>
    <col min="21" max="21" width="13.140625" style="46" customWidth="1"/>
    <col min="22" max="22" width="14.85546875" customWidth="1"/>
    <col min="23" max="23" width="10.85546875" bestFit="1" customWidth="1"/>
    <col min="24" max="24" width="41" customWidth="1"/>
    <col min="26" max="26" width="14.7109375" customWidth="1"/>
  </cols>
  <sheetData>
    <row r="1" spans="1:26" ht="40.5">
      <c r="A1" s="7" t="s">
        <v>243</v>
      </c>
      <c r="B1" s="7" t="s">
        <v>244</v>
      </c>
      <c r="C1" s="7" t="s">
        <v>245</v>
      </c>
      <c r="D1" s="51" t="s">
        <v>246</v>
      </c>
      <c r="E1" s="7" t="s">
        <v>247</v>
      </c>
      <c r="F1" s="7" t="s">
        <v>966</v>
      </c>
      <c r="G1" s="7" t="s">
        <v>967</v>
      </c>
      <c r="H1" s="7" t="s">
        <v>254</v>
      </c>
      <c r="I1" s="7" t="s">
        <v>255</v>
      </c>
      <c r="J1" s="7" t="s">
        <v>256</v>
      </c>
      <c r="K1" s="7" t="s">
        <v>257</v>
      </c>
      <c r="L1" s="7" t="s">
        <v>258</v>
      </c>
      <c r="M1" s="7" t="s">
        <v>259</v>
      </c>
      <c r="N1" s="7" t="s">
        <v>260</v>
      </c>
      <c r="O1" s="7" t="s">
        <v>261</v>
      </c>
      <c r="P1" s="7" t="s">
        <v>262</v>
      </c>
      <c r="Q1" s="7" t="s">
        <v>263</v>
      </c>
      <c r="R1" s="7" t="s">
        <v>264</v>
      </c>
      <c r="S1" s="7" t="s">
        <v>265</v>
      </c>
      <c r="T1" s="7" t="s">
        <v>263</v>
      </c>
      <c r="U1" s="7" t="s">
        <v>267</v>
      </c>
      <c r="V1" s="7" t="s">
        <v>268</v>
      </c>
      <c r="W1" s="7" t="s">
        <v>248</v>
      </c>
      <c r="X1" s="64" t="s">
        <v>269</v>
      </c>
    </row>
    <row r="2" spans="1:26" ht="37.5" customHeight="1">
      <c r="A2" s="32">
        <v>1</v>
      </c>
      <c r="B2" s="12" t="s">
        <v>1418</v>
      </c>
      <c r="C2" s="77" t="s">
        <v>275</v>
      </c>
      <c r="D2" s="33">
        <v>43922</v>
      </c>
      <c r="E2" s="78" t="s">
        <v>1379</v>
      </c>
      <c r="F2" s="72">
        <v>2</v>
      </c>
      <c r="G2" s="10">
        <v>2</v>
      </c>
      <c r="H2" s="12" t="s">
        <v>13</v>
      </c>
      <c r="I2" s="65" t="s">
        <v>1019</v>
      </c>
      <c r="J2" s="12" t="s">
        <v>1328</v>
      </c>
      <c r="K2" s="65" t="s">
        <v>287</v>
      </c>
      <c r="L2" s="12" t="s">
        <v>1221</v>
      </c>
      <c r="M2" s="42" t="s">
        <v>1419</v>
      </c>
      <c r="N2" s="50">
        <v>45373</v>
      </c>
      <c r="O2" s="50">
        <v>45374</v>
      </c>
      <c r="P2" s="10" t="s">
        <v>287</v>
      </c>
      <c r="Q2" s="12" t="s">
        <v>1221</v>
      </c>
      <c r="R2" s="15" t="s">
        <v>441</v>
      </c>
      <c r="S2" s="50">
        <v>45374</v>
      </c>
      <c r="T2" s="12" t="s">
        <v>1221</v>
      </c>
      <c r="U2" s="12" t="s">
        <v>1221</v>
      </c>
      <c r="V2" s="12" t="s">
        <v>1221</v>
      </c>
      <c r="W2" s="12" t="s">
        <v>780</v>
      </c>
      <c r="X2" s="15"/>
      <c r="Y2" s="63"/>
      <c r="Z2" s="63"/>
    </row>
    <row r="3" spans="1:26" ht="23.25">
      <c r="A3" s="65">
        <v>2</v>
      </c>
      <c r="B3" s="12" t="s">
        <v>1372</v>
      </c>
      <c r="C3" s="77" t="s">
        <v>275</v>
      </c>
      <c r="D3" s="76">
        <v>40351</v>
      </c>
      <c r="E3" s="78" t="s">
        <v>1420</v>
      </c>
      <c r="F3" s="10">
        <v>13</v>
      </c>
      <c r="G3" s="68">
        <v>11</v>
      </c>
      <c r="H3" s="65" t="s">
        <v>13</v>
      </c>
      <c r="I3" s="65" t="s">
        <v>1019</v>
      </c>
      <c r="J3" s="65" t="s">
        <v>1421</v>
      </c>
      <c r="K3" s="65" t="s">
        <v>287</v>
      </c>
      <c r="L3" s="12" t="s">
        <v>1221</v>
      </c>
      <c r="M3" s="66" t="s">
        <v>1422</v>
      </c>
      <c r="N3" s="50">
        <v>45386</v>
      </c>
      <c r="O3" s="50">
        <v>45390</v>
      </c>
      <c r="P3" s="10" t="s">
        <v>287</v>
      </c>
      <c r="Q3" s="12" t="s">
        <v>1221</v>
      </c>
      <c r="R3" s="15" t="s">
        <v>441</v>
      </c>
      <c r="S3" s="50">
        <v>45390</v>
      </c>
      <c r="T3" s="466" t="s">
        <v>1221</v>
      </c>
      <c r="U3" s="466" t="s">
        <v>1221</v>
      </c>
      <c r="V3" s="467" t="s">
        <v>1423</v>
      </c>
      <c r="W3" s="65" t="s">
        <v>1127</v>
      </c>
      <c r="X3" s="65"/>
    </row>
    <row r="4" spans="1:26" ht="40.5" customHeight="1">
      <c r="A4" s="9">
        <v>3</v>
      </c>
      <c r="B4" s="12" t="s">
        <v>1372</v>
      </c>
      <c r="C4" s="81" t="s">
        <v>272</v>
      </c>
      <c r="D4" s="76">
        <v>43801</v>
      </c>
      <c r="E4" s="109" t="s">
        <v>1424</v>
      </c>
      <c r="F4" s="10">
        <v>3</v>
      </c>
      <c r="G4" s="10">
        <v>5</v>
      </c>
      <c r="H4" s="65" t="s">
        <v>13</v>
      </c>
      <c r="I4" s="65" t="s">
        <v>448</v>
      </c>
      <c r="J4" s="65" t="s">
        <v>448</v>
      </c>
      <c r="K4" s="65" t="s">
        <v>634</v>
      </c>
      <c r="L4" s="75" t="s">
        <v>1425</v>
      </c>
      <c r="M4" s="66" t="s">
        <v>1426</v>
      </c>
      <c r="N4" s="50">
        <v>45386</v>
      </c>
      <c r="O4" s="50">
        <v>45390</v>
      </c>
      <c r="P4" s="10" t="s">
        <v>287</v>
      </c>
      <c r="Q4" s="12" t="s">
        <v>1221</v>
      </c>
      <c r="R4" s="65" t="s">
        <v>634</v>
      </c>
      <c r="S4" s="464">
        <v>45390</v>
      </c>
      <c r="T4" s="463" t="s">
        <v>448</v>
      </c>
      <c r="U4" s="463" t="s">
        <v>448</v>
      </c>
      <c r="V4" s="463" t="s">
        <v>448</v>
      </c>
      <c r="W4" s="465" t="s">
        <v>780</v>
      </c>
      <c r="X4" s="65"/>
    </row>
    <row r="5" spans="1:26" ht="53.25" customHeight="1">
      <c r="A5" s="9">
        <v>4</v>
      </c>
      <c r="B5" s="12" t="s">
        <v>34</v>
      </c>
      <c r="C5" s="81" t="s">
        <v>1019</v>
      </c>
      <c r="D5" s="33">
        <v>23041</v>
      </c>
      <c r="E5" s="475" t="s">
        <v>1369</v>
      </c>
      <c r="F5" s="472">
        <v>2</v>
      </c>
      <c r="G5" s="10">
        <v>2</v>
      </c>
      <c r="H5" s="12" t="s">
        <v>13</v>
      </c>
      <c r="I5" s="65" t="s">
        <v>275</v>
      </c>
      <c r="J5" s="12" t="s">
        <v>1328</v>
      </c>
      <c r="K5" s="65" t="s">
        <v>275</v>
      </c>
      <c r="L5" s="12" t="s">
        <v>1221</v>
      </c>
      <c r="M5" s="66" t="s">
        <v>1427</v>
      </c>
      <c r="N5" s="50">
        <v>45377</v>
      </c>
      <c r="O5" s="50">
        <v>45377</v>
      </c>
      <c r="P5" s="65" t="s">
        <v>275</v>
      </c>
      <c r="Q5" s="12" t="s">
        <v>1221</v>
      </c>
      <c r="R5" s="65" t="s">
        <v>441</v>
      </c>
      <c r="S5" s="464">
        <v>45377</v>
      </c>
      <c r="T5" s="463" t="s">
        <v>448</v>
      </c>
      <c r="U5" s="463" t="s">
        <v>448</v>
      </c>
      <c r="V5" s="463" t="s">
        <v>448</v>
      </c>
      <c r="W5" s="465" t="s">
        <v>780</v>
      </c>
      <c r="X5" s="65"/>
    </row>
    <row r="6" spans="1:26" ht="40.5" customHeight="1">
      <c r="A6" s="9">
        <v>5</v>
      </c>
      <c r="B6" s="12" t="s">
        <v>34</v>
      </c>
      <c r="C6" s="81" t="s">
        <v>1019</v>
      </c>
      <c r="D6" s="33">
        <v>23043</v>
      </c>
      <c r="E6" s="475" t="s">
        <v>1370</v>
      </c>
      <c r="F6" s="472">
        <v>2</v>
      </c>
      <c r="G6" s="10">
        <v>2</v>
      </c>
      <c r="H6" s="12" t="s">
        <v>13</v>
      </c>
      <c r="I6" s="65" t="s">
        <v>275</v>
      </c>
      <c r="J6" s="12" t="s">
        <v>1328</v>
      </c>
      <c r="K6" s="65" t="s">
        <v>275</v>
      </c>
      <c r="L6" s="12" t="s">
        <v>1221</v>
      </c>
      <c r="M6" s="66" t="s">
        <v>1428</v>
      </c>
      <c r="N6" s="50">
        <v>45377</v>
      </c>
      <c r="O6" s="50">
        <v>45377</v>
      </c>
      <c r="P6" s="65" t="s">
        <v>275</v>
      </c>
      <c r="Q6" s="12" t="s">
        <v>1221</v>
      </c>
      <c r="R6" s="65" t="s">
        <v>441</v>
      </c>
      <c r="S6" s="464">
        <v>45377</v>
      </c>
      <c r="T6" s="463" t="s">
        <v>448</v>
      </c>
      <c r="U6" s="463" t="s">
        <v>448</v>
      </c>
      <c r="V6" s="463" t="s">
        <v>448</v>
      </c>
      <c r="W6" s="465" t="s">
        <v>780</v>
      </c>
      <c r="X6" s="65"/>
    </row>
    <row r="7" spans="1:26" ht="40.5" customHeight="1">
      <c r="A7" s="9">
        <v>6</v>
      </c>
      <c r="B7" s="12" t="s">
        <v>34</v>
      </c>
      <c r="C7" s="81" t="s">
        <v>1019</v>
      </c>
      <c r="D7" s="33">
        <v>23045</v>
      </c>
      <c r="E7" s="475" t="s">
        <v>1371</v>
      </c>
      <c r="F7" s="472">
        <v>2</v>
      </c>
      <c r="G7" s="10">
        <v>2</v>
      </c>
      <c r="H7" s="12" t="s">
        <v>13</v>
      </c>
      <c r="I7" s="65" t="s">
        <v>275</v>
      </c>
      <c r="J7" s="12" t="s">
        <v>1328</v>
      </c>
      <c r="K7" s="65" t="s">
        <v>275</v>
      </c>
      <c r="L7" s="12" t="s">
        <v>1221</v>
      </c>
      <c r="M7" s="66" t="s">
        <v>1429</v>
      </c>
      <c r="N7" s="50">
        <v>45377</v>
      </c>
      <c r="O7" s="50">
        <v>45377</v>
      </c>
      <c r="P7" s="65" t="s">
        <v>275</v>
      </c>
      <c r="Q7" s="12" t="s">
        <v>1221</v>
      </c>
      <c r="R7" s="65" t="s">
        <v>441</v>
      </c>
      <c r="S7" s="464">
        <v>45377</v>
      </c>
      <c r="T7" s="463" t="s">
        <v>448</v>
      </c>
      <c r="U7" s="463" t="s">
        <v>448</v>
      </c>
      <c r="V7" s="463" t="s">
        <v>448</v>
      </c>
      <c r="W7" s="465" t="s">
        <v>780</v>
      </c>
      <c r="X7" s="65"/>
    </row>
    <row r="8" spans="1:26" ht="29.25" customHeight="1">
      <c r="A8" s="65">
        <v>7</v>
      </c>
      <c r="B8" s="12" t="s">
        <v>1372</v>
      </c>
      <c r="C8" s="77" t="s">
        <v>1019</v>
      </c>
      <c r="D8" s="33">
        <v>22798</v>
      </c>
      <c r="E8" s="475" t="s">
        <v>1373</v>
      </c>
      <c r="F8" s="473">
        <v>3</v>
      </c>
      <c r="G8" s="68">
        <v>2</v>
      </c>
      <c r="H8" s="12" t="s">
        <v>13</v>
      </c>
      <c r="I8" s="65" t="s">
        <v>275</v>
      </c>
      <c r="J8" s="12" t="s">
        <v>1328</v>
      </c>
      <c r="K8" s="65" t="s">
        <v>275</v>
      </c>
      <c r="L8" s="12" t="s">
        <v>1221</v>
      </c>
      <c r="M8" s="66" t="s">
        <v>1430</v>
      </c>
      <c r="N8" s="50">
        <v>45379</v>
      </c>
      <c r="O8" s="50">
        <v>45379</v>
      </c>
      <c r="P8" s="65" t="s">
        <v>275</v>
      </c>
      <c r="Q8" s="12" t="s">
        <v>1221</v>
      </c>
      <c r="R8" s="65" t="s">
        <v>441</v>
      </c>
      <c r="S8" s="464">
        <v>45379</v>
      </c>
      <c r="T8" s="463" t="s">
        <v>448</v>
      </c>
      <c r="U8" s="463" t="s">
        <v>448</v>
      </c>
      <c r="V8" s="463" t="s">
        <v>448</v>
      </c>
      <c r="W8" s="465" t="s">
        <v>780</v>
      </c>
      <c r="X8" s="65"/>
    </row>
    <row r="9" spans="1:26" ht="30.75" customHeight="1">
      <c r="A9" s="65">
        <v>8</v>
      </c>
      <c r="B9" s="12" t="s">
        <v>1372</v>
      </c>
      <c r="C9" s="77" t="s">
        <v>1019</v>
      </c>
      <c r="D9" s="83">
        <v>23086</v>
      </c>
      <c r="E9" s="475" t="s">
        <v>1374</v>
      </c>
      <c r="F9" s="473">
        <v>3</v>
      </c>
      <c r="G9" s="68">
        <v>3</v>
      </c>
      <c r="H9" s="12" t="s">
        <v>13</v>
      </c>
      <c r="I9" s="65" t="s">
        <v>275</v>
      </c>
      <c r="J9" s="12" t="s">
        <v>1328</v>
      </c>
      <c r="K9" s="65" t="s">
        <v>275</v>
      </c>
      <c r="L9" s="12" t="s">
        <v>1221</v>
      </c>
      <c r="M9" s="66" t="s">
        <v>1431</v>
      </c>
      <c r="N9" s="50">
        <v>45377</v>
      </c>
      <c r="O9" s="50">
        <v>45378</v>
      </c>
      <c r="P9" s="65" t="s">
        <v>275</v>
      </c>
      <c r="Q9" s="12" t="s">
        <v>1221</v>
      </c>
      <c r="R9" s="65" t="s">
        <v>441</v>
      </c>
      <c r="S9" s="464">
        <v>45378</v>
      </c>
      <c r="T9" s="463" t="s">
        <v>448</v>
      </c>
      <c r="U9" s="463" t="s">
        <v>448</v>
      </c>
      <c r="V9" s="463" t="s">
        <v>448</v>
      </c>
      <c r="W9" s="465" t="s">
        <v>780</v>
      </c>
      <c r="X9" s="65"/>
    </row>
    <row r="10" spans="1:26" ht="65.25" customHeight="1">
      <c r="A10" s="65">
        <v>9</v>
      </c>
      <c r="B10" s="12" t="s">
        <v>1372</v>
      </c>
      <c r="C10" s="77" t="s">
        <v>1019</v>
      </c>
      <c r="D10" s="83">
        <v>22944</v>
      </c>
      <c r="E10" s="179" t="s">
        <v>1375</v>
      </c>
      <c r="F10" s="474">
        <v>3</v>
      </c>
      <c r="G10" s="68"/>
      <c r="H10" s="65"/>
      <c r="I10" s="65"/>
      <c r="J10" s="65"/>
      <c r="K10" s="65"/>
      <c r="L10" s="65"/>
      <c r="M10" s="66"/>
      <c r="N10" s="50"/>
      <c r="O10" s="50"/>
      <c r="P10" s="65"/>
      <c r="Q10" s="65"/>
      <c r="R10" s="65"/>
      <c r="S10" s="464"/>
      <c r="T10" s="468"/>
      <c r="U10" s="469"/>
      <c r="V10" s="467"/>
      <c r="W10" s="465" t="s">
        <v>1269</v>
      </c>
      <c r="X10" s="58" t="s">
        <v>1432</v>
      </c>
    </row>
    <row r="11" spans="1:26" ht="35.25">
      <c r="A11" s="65">
        <v>10</v>
      </c>
      <c r="B11" s="12" t="s">
        <v>1372</v>
      </c>
      <c r="C11" s="77" t="s">
        <v>1019</v>
      </c>
      <c r="D11" s="83">
        <v>22598</v>
      </c>
      <c r="E11" s="476" t="s">
        <v>1376</v>
      </c>
      <c r="F11" s="473">
        <v>5</v>
      </c>
      <c r="G11" s="68">
        <v>2</v>
      </c>
      <c r="H11" s="65" t="s">
        <v>13</v>
      </c>
      <c r="I11" s="65" t="s">
        <v>275</v>
      </c>
      <c r="J11" s="12" t="s">
        <v>1328</v>
      </c>
      <c r="K11" s="65" t="s">
        <v>275</v>
      </c>
      <c r="L11" s="65"/>
      <c r="M11" s="66" t="s">
        <v>1433</v>
      </c>
      <c r="N11" s="50">
        <v>45384</v>
      </c>
      <c r="O11" s="50">
        <v>45384</v>
      </c>
      <c r="P11" s="65" t="s">
        <v>275</v>
      </c>
      <c r="Q11" s="12" t="s">
        <v>1221</v>
      </c>
      <c r="R11" s="65" t="s">
        <v>441</v>
      </c>
      <c r="S11" s="464">
        <v>45384</v>
      </c>
      <c r="T11" s="463" t="s">
        <v>448</v>
      </c>
      <c r="U11" s="463" t="s">
        <v>448</v>
      </c>
      <c r="V11" s="463" t="s">
        <v>448</v>
      </c>
      <c r="W11" s="465" t="s">
        <v>780</v>
      </c>
      <c r="X11" s="65"/>
    </row>
    <row r="12" spans="1:26" ht="39" customHeight="1">
      <c r="A12" s="65">
        <v>11</v>
      </c>
      <c r="B12" s="12" t="s">
        <v>1372</v>
      </c>
      <c r="C12" s="77" t="s">
        <v>1019</v>
      </c>
      <c r="D12" s="83">
        <v>23042</v>
      </c>
      <c r="E12" s="475" t="s">
        <v>1377</v>
      </c>
      <c r="F12" s="473">
        <v>2</v>
      </c>
      <c r="G12" s="68">
        <v>1</v>
      </c>
      <c r="H12" s="65" t="s">
        <v>13</v>
      </c>
      <c r="I12" s="65" t="s">
        <v>275</v>
      </c>
      <c r="J12" s="12" t="s">
        <v>1328</v>
      </c>
      <c r="K12" s="65" t="s">
        <v>275</v>
      </c>
      <c r="L12" s="65"/>
      <c r="M12" s="66" t="s">
        <v>1434</v>
      </c>
      <c r="N12" s="50">
        <v>45385</v>
      </c>
      <c r="O12" s="50">
        <v>45386</v>
      </c>
      <c r="P12" s="65" t="s">
        <v>275</v>
      </c>
      <c r="Q12" s="12" t="s">
        <v>1221</v>
      </c>
      <c r="R12" s="65" t="s">
        <v>441</v>
      </c>
      <c r="S12" s="464">
        <v>45386</v>
      </c>
      <c r="T12" s="463" t="s">
        <v>448</v>
      </c>
      <c r="U12" s="463" t="s">
        <v>448</v>
      </c>
      <c r="V12" s="463" t="s">
        <v>448</v>
      </c>
      <c r="W12" s="465" t="s">
        <v>780</v>
      </c>
      <c r="X12" s="65"/>
    </row>
    <row r="13" spans="1:26">
      <c r="A13" s="65"/>
      <c r="B13" s="67"/>
      <c r="C13" s="67"/>
      <c r="D13" s="79"/>
      <c r="E13" s="471"/>
      <c r="F13" s="68"/>
      <c r="G13" s="68"/>
      <c r="H13" s="65"/>
      <c r="I13" s="65"/>
      <c r="J13" s="65"/>
      <c r="K13" s="65"/>
      <c r="L13" s="65"/>
      <c r="M13" s="66"/>
      <c r="N13" s="50"/>
      <c r="O13" s="50"/>
      <c r="P13" s="65"/>
      <c r="Q13" s="65"/>
      <c r="R13" s="65"/>
      <c r="S13" s="50"/>
      <c r="T13" s="470"/>
      <c r="U13" s="470"/>
      <c r="V13" s="471"/>
      <c r="W13" s="65"/>
      <c r="X13" s="65"/>
    </row>
  </sheetData>
  <dataValidations count="1">
    <dataValidation type="list" allowBlank="1" showErrorMessage="1" sqref="W2" xr:uid="{973763E4-B268-4045-99D2-260879CC72C7}">
      <formula1>"Open,Inprogress,Closed,In Testing"</formula1>
    </dataValidation>
  </dataValidations>
  <hyperlinks>
    <hyperlink ref="M2" r:id="rId1" xr:uid="{60290972-F3EF-45D8-A789-0C78201E1F08}"/>
    <hyperlink ref="M5" r:id="rId2" xr:uid="{42B7AA6D-C93C-4901-BDD6-55A41877791E}"/>
    <hyperlink ref="M6" r:id="rId3" xr:uid="{46D12FDD-96F8-4F90-A4F6-D56EE070F792}"/>
    <hyperlink ref="M7" r:id="rId4" xr:uid="{A31F2737-D977-428E-9274-CD3C71BA7431}"/>
    <hyperlink ref="M9" r:id="rId5" xr:uid="{0B5EE545-AD93-4AFD-9072-F8692B7D1C3C}"/>
    <hyperlink ref="M8" r:id="rId6" xr:uid="{6C36D81E-A4FB-4D48-89DA-2976C24AEF80}"/>
    <hyperlink ref="M11" r:id="rId7" xr:uid="{84EFAA37-FB61-437E-B351-21A3027670DF}"/>
    <hyperlink ref="M12" r:id="rId8" xr:uid="{E3AF10ED-53A4-43F4-AF21-57F82DEBE003}"/>
    <hyperlink ref="M3" r:id="rId9" xr:uid="{1C85BD54-32DA-4E60-A44A-788708ECC715}"/>
    <hyperlink ref="M4" r:id="rId10" xr:uid="{8E4C33BF-9180-4E42-A21C-64423F2E36CE}"/>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
  <sheetViews>
    <sheetView topLeftCell="D10" workbookViewId="0">
      <selection activeCell="D10" sqref="D10"/>
    </sheetView>
  </sheetViews>
  <sheetFormatPr defaultColWidth="12.5703125" defaultRowHeight="15.75" customHeight="1"/>
  <cols>
    <col min="4" max="4" width="26.85546875" customWidth="1"/>
    <col min="5" max="5" width="41.140625" customWidth="1"/>
    <col min="22" max="22" width="41.28515625" customWidth="1"/>
    <col min="24" max="24" width="41.7109375" customWidth="1"/>
  </cols>
  <sheetData>
    <row r="1" spans="1:24" ht="53.25">
      <c r="A1" s="7" t="s">
        <v>243</v>
      </c>
      <c r="B1" s="7" t="s">
        <v>244</v>
      </c>
      <c r="C1" s="7" t="s">
        <v>245</v>
      </c>
      <c r="D1" s="7" t="s">
        <v>246</v>
      </c>
      <c r="E1" s="7" t="s">
        <v>247</v>
      </c>
      <c r="F1" s="7" t="s">
        <v>966</v>
      </c>
      <c r="G1" s="7" t="s">
        <v>967</v>
      </c>
      <c r="H1" s="7" t="s">
        <v>254</v>
      </c>
      <c r="I1" s="7" t="s">
        <v>255</v>
      </c>
      <c r="J1" s="7" t="s">
        <v>256</v>
      </c>
      <c r="K1" s="7" t="s">
        <v>257</v>
      </c>
      <c r="L1" s="7" t="s">
        <v>258</v>
      </c>
      <c r="M1" s="7" t="s">
        <v>259</v>
      </c>
      <c r="N1" s="7" t="s">
        <v>260</v>
      </c>
      <c r="O1" s="7" t="s">
        <v>261</v>
      </c>
      <c r="P1" s="7" t="s">
        <v>262</v>
      </c>
      <c r="Q1" s="7" t="s">
        <v>263</v>
      </c>
      <c r="R1" s="7" t="s">
        <v>264</v>
      </c>
      <c r="S1" s="7" t="s">
        <v>265</v>
      </c>
      <c r="T1" s="7" t="s">
        <v>263</v>
      </c>
      <c r="U1" s="7" t="s">
        <v>267</v>
      </c>
      <c r="V1" s="7" t="s">
        <v>268</v>
      </c>
      <c r="W1" s="7" t="s">
        <v>248</v>
      </c>
      <c r="X1" s="8" t="s">
        <v>269</v>
      </c>
    </row>
    <row r="2" spans="1:24" ht="33.75" customHeight="1">
      <c r="A2" s="9">
        <v>1</v>
      </c>
      <c r="B2" s="10" t="s">
        <v>28</v>
      </c>
      <c r="C2" s="10" t="s">
        <v>1019</v>
      </c>
      <c r="D2" s="10">
        <v>43452</v>
      </c>
      <c r="E2" s="11" t="s">
        <v>1435</v>
      </c>
      <c r="F2" s="10">
        <v>5</v>
      </c>
      <c r="G2" s="11">
        <v>8</v>
      </c>
      <c r="H2" s="12" t="s">
        <v>13</v>
      </c>
      <c r="I2" s="10" t="s">
        <v>275</v>
      </c>
      <c r="J2" s="12" t="s">
        <v>342</v>
      </c>
      <c r="K2" s="10" t="s">
        <v>275</v>
      </c>
      <c r="L2" s="12" t="s">
        <v>1436</v>
      </c>
      <c r="M2" s="42" t="s">
        <v>1437</v>
      </c>
      <c r="N2" s="14">
        <v>45341</v>
      </c>
      <c r="O2" s="14">
        <v>45342</v>
      </c>
      <c r="P2" s="10" t="s">
        <v>275</v>
      </c>
      <c r="Q2" s="12" t="s">
        <v>1436</v>
      </c>
      <c r="R2" s="15" t="s">
        <v>1438</v>
      </c>
      <c r="S2" s="14">
        <v>45342</v>
      </c>
      <c r="T2" s="15" t="s">
        <v>1221</v>
      </c>
      <c r="U2" s="15" t="s">
        <v>1221</v>
      </c>
      <c r="V2" s="15" t="s">
        <v>1221</v>
      </c>
      <c r="W2" s="12" t="s">
        <v>780</v>
      </c>
      <c r="X2" s="15" t="s">
        <v>1439</v>
      </c>
    </row>
    <row r="3" spans="1:24" ht="72">
      <c r="A3" s="9">
        <v>2</v>
      </c>
      <c r="B3" s="10" t="s">
        <v>28</v>
      </c>
      <c r="C3" s="10" t="s">
        <v>275</v>
      </c>
      <c r="D3" s="10">
        <v>40282</v>
      </c>
      <c r="E3" s="11" t="s">
        <v>1402</v>
      </c>
      <c r="F3" s="10">
        <v>8</v>
      </c>
      <c r="G3" s="11">
        <v>8</v>
      </c>
      <c r="H3" s="12"/>
      <c r="I3" s="10"/>
      <c r="J3" s="12"/>
      <c r="K3" s="10"/>
      <c r="L3" s="12"/>
      <c r="M3" s="16"/>
      <c r="N3" s="14"/>
      <c r="O3" s="14"/>
      <c r="P3" s="10"/>
      <c r="Q3" s="15"/>
      <c r="R3" s="15"/>
      <c r="S3" s="14"/>
      <c r="T3" s="15"/>
      <c r="U3" s="2"/>
      <c r="V3" s="15"/>
      <c r="W3" s="12" t="s">
        <v>952</v>
      </c>
      <c r="X3" s="15" t="s">
        <v>1440</v>
      </c>
    </row>
    <row r="4" spans="1:24" ht="72">
      <c r="A4" s="9">
        <v>3</v>
      </c>
      <c r="B4" s="10" t="s">
        <v>1441</v>
      </c>
      <c r="C4" s="10" t="s">
        <v>1019</v>
      </c>
      <c r="D4" s="10">
        <v>43297</v>
      </c>
      <c r="E4" s="11" t="s">
        <v>1405</v>
      </c>
      <c r="F4" s="10">
        <v>5</v>
      </c>
      <c r="G4" s="11">
        <v>5</v>
      </c>
      <c r="H4" s="12" t="s">
        <v>13</v>
      </c>
      <c r="I4" s="10"/>
      <c r="J4" s="12"/>
      <c r="K4" s="10"/>
      <c r="L4" s="12"/>
      <c r="M4" s="16"/>
      <c r="N4" s="14"/>
      <c r="O4" s="14"/>
      <c r="P4" s="10"/>
      <c r="Q4" s="15"/>
      <c r="R4" s="15"/>
      <c r="S4" s="14"/>
      <c r="T4" s="15"/>
      <c r="U4" s="2"/>
      <c r="V4" s="15" t="s">
        <v>1407</v>
      </c>
      <c r="W4" s="12" t="s">
        <v>952</v>
      </c>
      <c r="X4" s="15" t="s">
        <v>1408</v>
      </c>
    </row>
    <row r="5" spans="1:24" ht="24" customHeight="1">
      <c r="A5" s="9">
        <v>4</v>
      </c>
      <c r="B5" s="10" t="s">
        <v>28</v>
      </c>
      <c r="C5" s="10" t="s">
        <v>1019</v>
      </c>
      <c r="D5" s="10">
        <v>22745</v>
      </c>
      <c r="E5" s="43" t="s">
        <v>1442</v>
      </c>
      <c r="F5" s="10">
        <v>5</v>
      </c>
      <c r="G5" s="11">
        <v>3</v>
      </c>
      <c r="H5" s="12" t="s">
        <v>13</v>
      </c>
      <c r="I5" s="10" t="s">
        <v>275</v>
      </c>
      <c r="J5" s="12"/>
      <c r="K5" s="10" t="s">
        <v>275</v>
      </c>
      <c r="L5" s="12" t="s">
        <v>1443</v>
      </c>
      <c r="M5" s="44" t="s">
        <v>1444</v>
      </c>
      <c r="N5" s="14">
        <v>45343</v>
      </c>
      <c r="O5" s="14">
        <v>45343</v>
      </c>
      <c r="P5" s="10" t="s">
        <v>275</v>
      </c>
      <c r="Q5" s="12" t="s">
        <v>1443</v>
      </c>
      <c r="R5" s="15" t="s">
        <v>1438</v>
      </c>
      <c r="S5" s="14">
        <v>45343</v>
      </c>
      <c r="T5" s="15" t="s">
        <v>1221</v>
      </c>
      <c r="U5" s="2" t="s">
        <v>448</v>
      </c>
      <c r="V5" s="15" t="s">
        <v>448</v>
      </c>
      <c r="W5" s="12" t="s">
        <v>780</v>
      </c>
      <c r="X5" s="15"/>
    </row>
    <row r="6" spans="1:24" ht="24">
      <c r="A6" s="9">
        <v>5</v>
      </c>
      <c r="B6" s="10" t="s">
        <v>1441</v>
      </c>
      <c r="C6" s="10" t="s">
        <v>1019</v>
      </c>
      <c r="D6" s="10">
        <v>22835</v>
      </c>
      <c r="E6" s="11" t="s">
        <v>1445</v>
      </c>
      <c r="F6" s="10">
        <v>1</v>
      </c>
      <c r="G6" s="11">
        <v>1</v>
      </c>
      <c r="H6" s="12" t="s">
        <v>13</v>
      </c>
      <c r="I6" s="10" t="s">
        <v>275</v>
      </c>
      <c r="J6" s="12"/>
      <c r="K6" s="10" t="s">
        <v>275</v>
      </c>
      <c r="L6" s="12" t="s">
        <v>1208</v>
      </c>
      <c r="M6" s="44" t="s">
        <v>1446</v>
      </c>
      <c r="N6" s="14">
        <v>45341</v>
      </c>
      <c r="O6" s="14">
        <v>45342</v>
      </c>
      <c r="P6" s="10" t="s">
        <v>275</v>
      </c>
      <c r="Q6" s="15" t="s">
        <v>1208</v>
      </c>
      <c r="R6" s="15" t="s">
        <v>1438</v>
      </c>
      <c r="S6" s="14">
        <v>45342</v>
      </c>
      <c r="T6" s="49" t="s">
        <v>1208</v>
      </c>
      <c r="U6" s="49" t="s">
        <v>448</v>
      </c>
      <c r="V6" s="15" t="s">
        <v>448</v>
      </c>
      <c r="W6" s="12" t="s">
        <v>780</v>
      </c>
      <c r="X6" s="15"/>
    </row>
    <row r="7" spans="1:24" ht="24">
      <c r="A7" s="9">
        <v>6</v>
      </c>
      <c r="B7" s="10" t="s">
        <v>1441</v>
      </c>
      <c r="C7" s="10" t="s">
        <v>272</v>
      </c>
      <c r="D7" s="18">
        <v>43672</v>
      </c>
      <c r="E7" s="11" t="s">
        <v>1447</v>
      </c>
      <c r="F7" s="3">
        <v>3</v>
      </c>
      <c r="G7" s="11">
        <v>3</v>
      </c>
      <c r="H7" s="12" t="s">
        <v>448</v>
      </c>
      <c r="I7" s="10" t="s">
        <v>448</v>
      </c>
      <c r="J7" s="12"/>
      <c r="K7" s="10" t="s">
        <v>275</v>
      </c>
      <c r="L7" s="12" t="s">
        <v>1208</v>
      </c>
      <c r="M7" s="44" t="s">
        <v>1448</v>
      </c>
      <c r="N7" s="14">
        <v>45343</v>
      </c>
      <c r="O7" s="14">
        <v>45344</v>
      </c>
      <c r="P7" s="10" t="s">
        <v>634</v>
      </c>
      <c r="Q7" s="15" t="s">
        <v>1208</v>
      </c>
      <c r="R7" s="15" t="s">
        <v>337</v>
      </c>
      <c r="S7" s="14">
        <v>45344</v>
      </c>
      <c r="T7" s="49" t="s">
        <v>1208</v>
      </c>
      <c r="U7" s="49" t="s">
        <v>448</v>
      </c>
      <c r="V7" s="15" t="s">
        <v>448</v>
      </c>
      <c r="W7" s="12" t="s">
        <v>780</v>
      </c>
      <c r="X7" s="15"/>
    </row>
    <row r="8" spans="1:24" ht="12.75">
      <c r="A8" s="9"/>
      <c r="B8" s="10"/>
      <c r="C8" s="10"/>
      <c r="D8" s="10"/>
      <c r="F8" s="10"/>
      <c r="G8" s="11"/>
      <c r="H8" s="12"/>
      <c r="I8" s="10"/>
      <c r="J8" s="12"/>
      <c r="K8" s="10"/>
      <c r="L8" s="12"/>
      <c r="M8" s="44"/>
      <c r="N8" s="14"/>
      <c r="O8" s="14"/>
      <c r="P8" s="10"/>
      <c r="Q8" s="15"/>
      <c r="R8" s="15"/>
      <c r="S8" s="14"/>
      <c r="T8" s="15"/>
      <c r="U8" s="2"/>
      <c r="V8" s="15"/>
      <c r="W8" s="12"/>
      <c r="X8" s="15"/>
    </row>
    <row r="9" spans="1:24">
      <c r="A9" s="9"/>
      <c r="B9" s="10"/>
      <c r="C9" s="10"/>
      <c r="D9" s="18"/>
      <c r="E9" s="19"/>
      <c r="F9" s="3"/>
      <c r="G9" s="11"/>
      <c r="H9" s="12"/>
      <c r="I9" s="10"/>
      <c r="J9" s="12"/>
      <c r="K9" s="10"/>
      <c r="L9" s="12"/>
      <c r="M9" s="17"/>
      <c r="N9" s="14"/>
      <c r="O9" s="14"/>
      <c r="P9" s="10"/>
      <c r="Q9" s="15"/>
      <c r="R9" s="15"/>
      <c r="S9" s="20"/>
      <c r="T9" s="15"/>
      <c r="U9" s="15"/>
      <c r="V9" s="15"/>
      <c r="W9" s="12"/>
      <c r="X9" s="15"/>
    </row>
    <row r="10" spans="1:24">
      <c r="A10" s="9"/>
      <c r="B10" s="10"/>
      <c r="C10" s="10"/>
      <c r="D10" s="18"/>
      <c r="E10" s="19"/>
      <c r="F10" s="3"/>
      <c r="G10" s="11"/>
      <c r="H10" s="12"/>
      <c r="I10" s="10"/>
      <c r="J10" s="12"/>
      <c r="K10" s="10"/>
      <c r="L10" s="12"/>
      <c r="M10" s="17"/>
      <c r="N10" s="14"/>
      <c r="O10" s="14"/>
      <c r="P10" s="10"/>
      <c r="Q10" s="15"/>
      <c r="R10" s="15"/>
      <c r="S10" s="14"/>
      <c r="T10" s="15"/>
      <c r="U10" s="15"/>
      <c r="V10" s="15"/>
      <c r="W10" s="12"/>
      <c r="X10" s="15"/>
    </row>
  </sheetData>
  <dataValidations count="1">
    <dataValidation type="list" allowBlank="1" showErrorMessage="1" sqref="W2:W10" xr:uid="{00000000-0002-0000-0100-000000000000}">
      <formula1>"Open,Inprogress,Closed,In Testing"</formula1>
    </dataValidation>
  </dataValidations>
  <hyperlinks>
    <hyperlink ref="M2" r:id="rId1" xr:uid="{4BFBAA77-00D8-4976-A57F-6FE4EC2CF567}"/>
    <hyperlink ref="M6" r:id="rId2" xr:uid="{06C219D4-6141-4B80-9493-44ADEABD57A2}"/>
    <hyperlink ref="M5" r:id="rId3" xr:uid="{D4832E20-F3B6-443C-889A-ABB20C0E2E91}"/>
    <hyperlink ref="M7" r:id="rId4" xr:uid="{929EA6C5-A304-4E9D-9169-6C7273473547}"/>
  </hyperlinks>
  <pageMargins left="0" right="0" top="0" bottom="0" header="0" footer="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
  <sheetViews>
    <sheetView topLeftCell="B1" workbookViewId="0">
      <selection activeCell="H11" sqref="H11"/>
    </sheetView>
  </sheetViews>
  <sheetFormatPr defaultColWidth="12.5703125" defaultRowHeight="15.75" customHeight="1"/>
  <cols>
    <col min="6" max="6" width="75.42578125" bestFit="1" customWidth="1"/>
  </cols>
  <sheetData>
    <row r="1" spans="1:26">
      <c r="A1" s="7" t="s">
        <v>243</v>
      </c>
      <c r="B1" s="21" t="s">
        <v>11</v>
      </c>
      <c r="C1" s="21" t="s">
        <v>297</v>
      </c>
      <c r="D1" s="21" t="s">
        <v>245</v>
      </c>
      <c r="E1" s="22" t="s">
        <v>299</v>
      </c>
      <c r="F1" s="22" t="s">
        <v>300</v>
      </c>
      <c r="G1" s="21" t="s">
        <v>301</v>
      </c>
      <c r="H1" s="21" t="s">
        <v>303</v>
      </c>
      <c r="I1" s="21" t="s">
        <v>248</v>
      </c>
      <c r="J1" s="23" t="s">
        <v>305</v>
      </c>
      <c r="K1" s="24" t="s">
        <v>269</v>
      </c>
      <c r="L1" s="25"/>
      <c r="M1" s="25"/>
      <c r="N1" s="25"/>
      <c r="O1" s="25"/>
      <c r="P1" s="25"/>
      <c r="Q1" s="25"/>
      <c r="R1" s="25"/>
      <c r="S1" s="25"/>
      <c r="T1" s="25"/>
      <c r="U1" s="25"/>
      <c r="V1" s="25"/>
      <c r="W1" s="25"/>
      <c r="X1" s="25"/>
      <c r="Y1" s="25"/>
      <c r="Z1" s="25"/>
    </row>
    <row r="2" spans="1:26" ht="15.75" customHeight="1">
      <c r="A2">
        <v>1</v>
      </c>
      <c r="B2" s="10" t="s">
        <v>28</v>
      </c>
      <c r="C2" s="10">
        <v>22745</v>
      </c>
      <c r="D2" t="s">
        <v>1019</v>
      </c>
      <c r="E2" t="s">
        <v>715</v>
      </c>
      <c r="F2" s="43" t="s">
        <v>1442</v>
      </c>
      <c r="G2" t="s">
        <v>335</v>
      </c>
      <c r="H2" s="30" t="s">
        <v>311</v>
      </c>
      <c r="I2" s="30" t="s">
        <v>780</v>
      </c>
      <c r="J2" s="30" t="s">
        <v>859</v>
      </c>
    </row>
    <row r="3" spans="1:26" ht="24">
      <c r="A3">
        <v>2</v>
      </c>
      <c r="B3" s="10" t="s">
        <v>1441</v>
      </c>
      <c r="C3" s="10">
        <v>22835</v>
      </c>
      <c r="D3" t="s">
        <v>1019</v>
      </c>
      <c r="E3" t="s">
        <v>715</v>
      </c>
      <c r="F3" s="11" t="s">
        <v>1445</v>
      </c>
      <c r="G3" t="s">
        <v>335</v>
      </c>
      <c r="H3" s="30" t="s">
        <v>311</v>
      </c>
      <c r="I3" s="30" t="s">
        <v>780</v>
      </c>
      <c r="J3" s="30" t="s">
        <v>859</v>
      </c>
    </row>
  </sheetData>
  <dataValidations count="2">
    <dataValidation type="list" allowBlank="1" showErrorMessage="1" sqref="H2:H3" xr:uid="{A41EDA78-7C4A-40C1-A6ED-05889882DAF3}">
      <formula1>"Internal,External"</formula1>
    </dataValidation>
    <dataValidation type="list" allowBlank="1" showErrorMessage="1" sqref="I2:I3" xr:uid="{B85F1D11-E816-41CF-A569-4C272C4E397A}">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2E04D93-1410-4F36-90C3-03ED30E73A70}">
          <x14:formula1>
            <xm:f>Details!$A$2:$A$10</xm:f>
          </x14:formula1>
          <xm:sqref>J2:J3</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N965"/>
  <sheetViews>
    <sheetView showGridLines="0" workbookViewId="0">
      <pane xSplit="5" ySplit="2" topLeftCell="F6" activePane="bottomRight" state="frozen"/>
      <selection pane="bottomRight" activeCell="W6" sqref="W6"/>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2.42578125" customWidth="1"/>
    <col min="5" max="5" width="23.140625" customWidth="1"/>
    <col min="6" max="6" width="23.140625" style="48" customWidth="1"/>
    <col min="7" max="7" width="23.140625" style="46"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1" spans="1:40" ht="12.75">
      <c r="A1" s="7"/>
      <c r="B1" s="7"/>
      <c r="C1" s="7"/>
      <c r="D1" s="7"/>
      <c r="E1" s="7"/>
      <c r="F1" s="1"/>
      <c r="G1" s="7"/>
      <c r="H1" s="7"/>
      <c r="I1" s="7"/>
      <c r="J1" s="7"/>
      <c r="K1" s="7"/>
      <c r="L1" s="7"/>
      <c r="M1" s="7"/>
      <c r="N1" s="7"/>
      <c r="O1" s="7"/>
      <c r="P1" s="7"/>
      <c r="Q1" s="7"/>
      <c r="R1" s="7"/>
      <c r="S1" s="7"/>
      <c r="T1" s="7"/>
      <c r="U1" s="7"/>
      <c r="V1" s="7"/>
      <c r="W1" s="7"/>
      <c r="X1" s="8"/>
      <c r="Y1" s="26"/>
      <c r="Z1" s="26"/>
      <c r="AA1" s="26"/>
      <c r="AB1" s="26"/>
      <c r="AC1" s="26"/>
      <c r="AD1" s="26"/>
      <c r="AE1" s="26"/>
      <c r="AF1" s="26"/>
      <c r="AG1" s="26"/>
      <c r="AH1" s="26"/>
      <c r="AI1" s="26"/>
      <c r="AJ1" s="26"/>
      <c r="AK1" s="26"/>
      <c r="AL1" s="26"/>
      <c r="AM1" s="26"/>
      <c r="AN1" s="26"/>
    </row>
    <row r="2" spans="1:40" ht="27">
      <c r="A2" s="7" t="s">
        <v>243</v>
      </c>
      <c r="B2" s="7" t="s">
        <v>244</v>
      </c>
      <c r="C2" s="7" t="s">
        <v>245</v>
      </c>
      <c r="D2" s="7" t="s">
        <v>246</v>
      </c>
      <c r="E2" s="7" t="s">
        <v>247</v>
      </c>
      <c r="F2" s="1" t="s">
        <v>966</v>
      </c>
      <c r="G2" s="7" t="s">
        <v>967</v>
      </c>
      <c r="H2" s="7" t="s">
        <v>254</v>
      </c>
      <c r="I2" s="7" t="s">
        <v>255</v>
      </c>
      <c r="J2" s="7" t="s">
        <v>256</v>
      </c>
      <c r="K2" s="7" t="s">
        <v>257</v>
      </c>
      <c r="L2" s="7" t="s">
        <v>258</v>
      </c>
      <c r="M2" s="7" t="s">
        <v>259</v>
      </c>
      <c r="N2" s="7" t="s">
        <v>260</v>
      </c>
      <c r="O2" s="7" t="s">
        <v>261</v>
      </c>
      <c r="P2" s="7" t="s">
        <v>262</v>
      </c>
      <c r="Q2" s="7" t="s">
        <v>263</v>
      </c>
      <c r="R2" s="7" t="s">
        <v>264</v>
      </c>
      <c r="S2" s="7" t="s">
        <v>265</v>
      </c>
      <c r="T2" s="7" t="s">
        <v>263</v>
      </c>
      <c r="U2" s="7" t="s">
        <v>267</v>
      </c>
      <c r="V2" s="7" t="s">
        <v>268</v>
      </c>
      <c r="W2" s="7" t="s">
        <v>248</v>
      </c>
      <c r="X2" s="8" t="s">
        <v>269</v>
      </c>
      <c r="Y2" s="26"/>
      <c r="Z2" s="26"/>
      <c r="AA2" s="26"/>
      <c r="AB2" s="26"/>
      <c r="AC2" s="26"/>
      <c r="AD2" s="26"/>
      <c r="AE2" s="26"/>
      <c r="AF2" s="26"/>
      <c r="AG2" s="26"/>
      <c r="AH2" s="26"/>
      <c r="AI2" s="26"/>
      <c r="AJ2" s="26"/>
      <c r="AK2" s="26"/>
      <c r="AL2" s="26"/>
      <c r="AM2" s="26"/>
      <c r="AN2" s="26"/>
    </row>
    <row r="3" spans="1:40" ht="60">
      <c r="A3" s="9">
        <v>1</v>
      </c>
      <c r="B3" s="10" t="s">
        <v>26</v>
      </c>
      <c r="C3" s="10" t="s">
        <v>275</v>
      </c>
      <c r="D3" s="10">
        <v>43013</v>
      </c>
      <c r="E3" s="11" t="s">
        <v>1449</v>
      </c>
      <c r="F3" s="33">
        <v>5</v>
      </c>
      <c r="G3" s="3">
        <v>8</v>
      </c>
      <c r="H3" s="12" t="s">
        <v>13</v>
      </c>
      <c r="I3" s="10" t="s">
        <v>1019</v>
      </c>
      <c r="J3" s="12" t="s">
        <v>342</v>
      </c>
      <c r="K3" s="10" t="s">
        <v>1019</v>
      </c>
      <c r="L3" s="12" t="s">
        <v>1221</v>
      </c>
      <c r="M3" s="13">
        <v>35236</v>
      </c>
      <c r="N3" s="14">
        <v>45321</v>
      </c>
      <c r="O3" s="14">
        <v>45322</v>
      </c>
      <c r="P3" s="10" t="s">
        <v>287</v>
      </c>
      <c r="Q3" s="15" t="s">
        <v>1221</v>
      </c>
      <c r="R3" s="15" t="s">
        <v>441</v>
      </c>
      <c r="S3" s="14">
        <v>45322</v>
      </c>
      <c r="T3" s="15" t="s">
        <v>1221</v>
      </c>
      <c r="U3" s="15" t="s">
        <v>1221</v>
      </c>
      <c r="V3" s="15" t="s">
        <v>1450</v>
      </c>
      <c r="W3" s="12" t="s">
        <v>780</v>
      </c>
      <c r="X3" s="15" t="s">
        <v>1451</v>
      </c>
      <c r="Y3" s="15"/>
      <c r="Z3" s="15"/>
      <c r="AA3" s="15"/>
      <c r="AB3" s="15"/>
      <c r="AC3" s="15"/>
      <c r="AD3" s="15"/>
      <c r="AE3" s="15"/>
      <c r="AF3" s="15"/>
      <c r="AG3" s="15"/>
      <c r="AH3" s="15"/>
      <c r="AI3" s="15"/>
      <c r="AJ3" s="15"/>
      <c r="AK3" s="15"/>
      <c r="AL3" s="15"/>
      <c r="AM3" s="15"/>
      <c r="AN3" s="15"/>
    </row>
    <row r="4" spans="1:40" ht="60">
      <c r="A4" s="9">
        <v>2</v>
      </c>
      <c r="B4" s="10" t="s">
        <v>26</v>
      </c>
      <c r="C4" s="10" t="s">
        <v>1019</v>
      </c>
      <c r="D4" s="10">
        <v>40968</v>
      </c>
      <c r="E4" s="11" t="s">
        <v>1452</v>
      </c>
      <c r="F4" s="33">
        <v>5</v>
      </c>
      <c r="G4" s="3">
        <v>5</v>
      </c>
      <c r="H4" s="12" t="s">
        <v>13</v>
      </c>
      <c r="I4" s="10" t="s">
        <v>275</v>
      </c>
      <c r="J4" s="12" t="s">
        <v>342</v>
      </c>
      <c r="K4" s="10" t="s">
        <v>275</v>
      </c>
      <c r="L4" s="12" t="s">
        <v>1221</v>
      </c>
      <c r="M4" s="16">
        <v>35230</v>
      </c>
      <c r="N4" s="14">
        <v>45321</v>
      </c>
      <c r="O4" s="14">
        <v>45322</v>
      </c>
      <c r="P4" s="10" t="s">
        <v>287</v>
      </c>
      <c r="Q4" s="15" t="s">
        <v>1221</v>
      </c>
      <c r="R4" s="15" t="s">
        <v>441</v>
      </c>
      <c r="S4" s="14">
        <v>45322</v>
      </c>
      <c r="T4" s="15" t="s">
        <v>1221</v>
      </c>
      <c r="U4" s="15" t="s">
        <v>1221</v>
      </c>
      <c r="V4" s="15" t="s">
        <v>1221</v>
      </c>
      <c r="W4" s="12" t="s">
        <v>780</v>
      </c>
      <c r="X4" s="15"/>
      <c r="Y4" s="15"/>
      <c r="Z4" s="15"/>
      <c r="AA4" s="15"/>
      <c r="AB4" s="15"/>
      <c r="AC4" s="15"/>
      <c r="AD4" s="15"/>
      <c r="AE4" s="15"/>
      <c r="AF4" s="15"/>
      <c r="AG4" s="15"/>
      <c r="AH4" s="15"/>
      <c r="AI4" s="15"/>
      <c r="AJ4" s="15"/>
      <c r="AK4" s="15"/>
      <c r="AL4" s="15"/>
      <c r="AM4" s="15"/>
      <c r="AN4" s="15"/>
    </row>
    <row r="5" spans="1:40" ht="60">
      <c r="A5" s="9">
        <v>3</v>
      </c>
      <c r="B5" s="10" t="s">
        <v>26</v>
      </c>
      <c r="C5" s="10" t="s">
        <v>1019</v>
      </c>
      <c r="D5" s="10">
        <v>40969</v>
      </c>
      <c r="E5" s="11" t="s">
        <v>1453</v>
      </c>
      <c r="F5" s="33">
        <v>5</v>
      </c>
      <c r="G5" s="3">
        <v>5</v>
      </c>
      <c r="H5" s="12" t="s">
        <v>13</v>
      </c>
      <c r="I5" s="10" t="s">
        <v>275</v>
      </c>
      <c r="J5" s="12" t="s">
        <v>342</v>
      </c>
      <c r="K5" s="10" t="s">
        <v>275</v>
      </c>
      <c r="L5" s="12" t="s">
        <v>1221</v>
      </c>
      <c r="M5" s="16">
        <v>35231</v>
      </c>
      <c r="N5" s="14">
        <v>45321</v>
      </c>
      <c r="O5" s="14">
        <v>45322</v>
      </c>
      <c r="P5" s="10" t="s">
        <v>287</v>
      </c>
      <c r="Q5" s="15" t="s">
        <v>1221</v>
      </c>
      <c r="R5" s="15" t="s">
        <v>441</v>
      </c>
      <c r="S5" s="14">
        <v>45322</v>
      </c>
      <c r="T5" s="15" t="s">
        <v>1221</v>
      </c>
      <c r="U5" s="15" t="s">
        <v>1221</v>
      </c>
      <c r="V5" s="15" t="s">
        <v>1221</v>
      </c>
      <c r="W5" s="12" t="s">
        <v>780</v>
      </c>
      <c r="X5" s="15"/>
      <c r="Y5" s="15"/>
      <c r="Z5" s="15"/>
      <c r="AA5" s="15"/>
      <c r="AB5" s="15"/>
      <c r="AC5" s="15"/>
      <c r="AD5" s="15"/>
      <c r="AE5" s="15"/>
      <c r="AF5" s="15"/>
      <c r="AG5" s="15"/>
      <c r="AH5" s="15"/>
      <c r="AI5" s="15"/>
      <c r="AJ5" s="15"/>
      <c r="AK5" s="15"/>
      <c r="AL5" s="15"/>
      <c r="AM5" s="15"/>
      <c r="AN5" s="15"/>
    </row>
    <row r="6" spans="1:40" ht="48">
      <c r="A6" s="9">
        <v>4</v>
      </c>
      <c r="B6" s="10" t="s">
        <v>26</v>
      </c>
      <c r="C6" s="10" t="s">
        <v>275</v>
      </c>
      <c r="D6" s="10">
        <v>43296</v>
      </c>
      <c r="E6" s="11" t="s">
        <v>1454</v>
      </c>
      <c r="F6" s="33">
        <v>5</v>
      </c>
      <c r="G6" s="3">
        <v>5</v>
      </c>
      <c r="H6" s="12" t="s">
        <v>13</v>
      </c>
      <c r="I6" s="10" t="s">
        <v>1019</v>
      </c>
      <c r="J6" s="12" t="s">
        <v>342</v>
      </c>
      <c r="K6" s="10" t="s">
        <v>1019</v>
      </c>
      <c r="L6" s="12" t="s">
        <v>1221</v>
      </c>
      <c r="M6" s="17">
        <v>35340</v>
      </c>
      <c r="N6" s="14">
        <v>45329</v>
      </c>
      <c r="O6" s="14">
        <v>45329</v>
      </c>
      <c r="P6" s="10" t="s">
        <v>287</v>
      </c>
      <c r="Q6" s="15" t="s">
        <v>1221</v>
      </c>
      <c r="R6" s="15" t="s">
        <v>441</v>
      </c>
      <c r="S6" s="14">
        <v>45329</v>
      </c>
      <c r="T6" s="15" t="s">
        <v>1221</v>
      </c>
      <c r="U6" s="2" t="s">
        <v>1455</v>
      </c>
      <c r="V6" s="15" t="s">
        <v>1221</v>
      </c>
      <c r="W6" s="12" t="s">
        <v>780</v>
      </c>
      <c r="X6" s="15"/>
      <c r="Y6" s="15"/>
      <c r="Z6" s="15"/>
      <c r="AA6" s="15"/>
      <c r="AB6" s="15"/>
      <c r="AC6" s="15"/>
      <c r="AD6" s="15"/>
      <c r="AE6" s="15"/>
      <c r="AF6" s="15"/>
      <c r="AG6" s="15"/>
      <c r="AH6" s="15"/>
      <c r="AI6" s="15"/>
      <c r="AJ6" s="15"/>
      <c r="AK6" s="15"/>
      <c r="AL6" s="15"/>
      <c r="AM6" s="15"/>
      <c r="AN6" s="15"/>
    </row>
    <row r="7" spans="1:40" ht="48">
      <c r="A7" s="9">
        <v>5</v>
      </c>
      <c r="B7" s="10" t="s">
        <v>26</v>
      </c>
      <c r="C7" s="10" t="s">
        <v>1019</v>
      </c>
      <c r="D7" s="10">
        <v>40286</v>
      </c>
      <c r="E7" s="11" t="s">
        <v>1456</v>
      </c>
      <c r="F7" s="33">
        <v>2</v>
      </c>
      <c r="G7" s="3">
        <v>2</v>
      </c>
      <c r="H7" s="12" t="s">
        <v>13</v>
      </c>
      <c r="I7" s="10" t="s">
        <v>275</v>
      </c>
      <c r="J7" s="12" t="s">
        <v>342</v>
      </c>
      <c r="K7" s="10" t="s">
        <v>275</v>
      </c>
      <c r="L7" s="12" t="s">
        <v>1221</v>
      </c>
      <c r="M7" s="17">
        <v>35339</v>
      </c>
      <c r="N7" s="14">
        <v>45329</v>
      </c>
      <c r="O7" s="14">
        <v>45329</v>
      </c>
      <c r="P7" s="10" t="s">
        <v>287</v>
      </c>
      <c r="Q7" s="15" t="s">
        <v>1221</v>
      </c>
      <c r="R7" s="15" t="s">
        <v>441</v>
      </c>
      <c r="S7" s="14">
        <v>45329</v>
      </c>
      <c r="T7" s="15" t="s">
        <v>1221</v>
      </c>
      <c r="U7" s="15" t="s">
        <v>1221</v>
      </c>
      <c r="V7" s="15" t="s">
        <v>1221</v>
      </c>
      <c r="W7" s="12" t="s">
        <v>780</v>
      </c>
      <c r="X7" s="15"/>
      <c r="Y7" s="15"/>
      <c r="Z7" s="15"/>
      <c r="AA7" s="15"/>
      <c r="AB7" s="15"/>
      <c r="AC7" s="15"/>
      <c r="AD7" s="15"/>
      <c r="AE7" s="15"/>
      <c r="AF7" s="15"/>
      <c r="AG7" s="15"/>
      <c r="AH7" s="15"/>
      <c r="AI7" s="15"/>
      <c r="AJ7" s="15"/>
      <c r="AK7" s="15"/>
      <c r="AL7" s="15"/>
      <c r="AM7" s="15"/>
      <c r="AN7" s="15"/>
    </row>
    <row r="8" spans="1:40" ht="48">
      <c r="A8" s="9">
        <v>6</v>
      </c>
      <c r="B8" s="10" t="s">
        <v>26</v>
      </c>
      <c r="C8" s="10" t="s">
        <v>287</v>
      </c>
      <c r="D8" s="18">
        <v>22744</v>
      </c>
      <c r="E8" s="19" t="s">
        <v>1457</v>
      </c>
      <c r="F8" s="3">
        <v>5</v>
      </c>
      <c r="G8" s="3">
        <v>5</v>
      </c>
      <c r="H8" s="12" t="s">
        <v>13</v>
      </c>
      <c r="I8" s="10" t="s">
        <v>1019</v>
      </c>
      <c r="J8" s="12" t="s">
        <v>342</v>
      </c>
      <c r="K8" s="10" t="s">
        <v>275</v>
      </c>
      <c r="L8" s="12" t="s">
        <v>1221</v>
      </c>
      <c r="M8" s="17">
        <v>35184</v>
      </c>
      <c r="N8" s="14">
        <v>45317</v>
      </c>
      <c r="O8" s="14">
        <v>45317</v>
      </c>
      <c r="P8" s="10" t="s">
        <v>275</v>
      </c>
      <c r="Q8" s="15" t="s">
        <v>1221</v>
      </c>
      <c r="R8" s="15" t="s">
        <v>441</v>
      </c>
      <c r="S8" s="20">
        <v>45317</v>
      </c>
      <c r="T8" s="15" t="s">
        <v>1221</v>
      </c>
      <c r="U8" s="15" t="s">
        <v>541</v>
      </c>
      <c r="V8" s="15" t="s">
        <v>541</v>
      </c>
      <c r="W8" s="12" t="s">
        <v>780</v>
      </c>
      <c r="X8" s="15"/>
      <c r="Y8" s="15"/>
      <c r="Z8" s="15"/>
      <c r="AA8" s="15"/>
      <c r="AB8" s="15"/>
      <c r="AC8" s="15"/>
      <c r="AD8" s="15"/>
      <c r="AE8" s="15"/>
      <c r="AF8" s="15"/>
      <c r="AG8" s="15"/>
      <c r="AH8" s="15"/>
      <c r="AI8" s="15"/>
      <c r="AJ8" s="15"/>
      <c r="AK8" s="15"/>
      <c r="AL8" s="15"/>
      <c r="AM8" s="15"/>
      <c r="AN8" s="15"/>
    </row>
    <row r="9" spans="1:40" ht="60">
      <c r="A9" s="9">
        <v>7</v>
      </c>
      <c r="B9" s="10" t="s">
        <v>1458</v>
      </c>
      <c r="C9" s="10" t="s">
        <v>1019</v>
      </c>
      <c r="D9" s="18">
        <v>22803</v>
      </c>
      <c r="E9" s="19" t="s">
        <v>1459</v>
      </c>
      <c r="F9" s="3">
        <v>1</v>
      </c>
      <c r="G9" s="3">
        <v>1</v>
      </c>
      <c r="H9" s="12" t="s">
        <v>13</v>
      </c>
      <c r="I9" s="10" t="s">
        <v>287</v>
      </c>
      <c r="J9" s="12" t="s">
        <v>342</v>
      </c>
      <c r="K9" s="10" t="s">
        <v>275</v>
      </c>
      <c r="L9" s="12" t="s">
        <v>1221</v>
      </c>
      <c r="M9" s="17">
        <v>35310</v>
      </c>
      <c r="N9" s="14">
        <v>45328</v>
      </c>
      <c r="O9" s="14">
        <v>45328</v>
      </c>
      <c r="P9" s="10" t="s">
        <v>287</v>
      </c>
      <c r="Q9" s="15" t="s">
        <v>1221</v>
      </c>
      <c r="R9" s="15" t="s">
        <v>441</v>
      </c>
      <c r="S9" s="20">
        <v>45328</v>
      </c>
      <c r="T9" s="15" t="s">
        <v>1221</v>
      </c>
      <c r="U9" s="15" t="s">
        <v>541</v>
      </c>
      <c r="V9" s="15" t="s">
        <v>541</v>
      </c>
      <c r="W9" s="12" t="s">
        <v>780</v>
      </c>
      <c r="X9" s="15"/>
      <c r="Y9" s="15"/>
      <c r="Z9" s="15"/>
      <c r="AA9" s="15"/>
      <c r="AB9" s="15"/>
      <c r="AC9" s="15"/>
      <c r="AD9" s="15"/>
      <c r="AE9" s="15"/>
      <c r="AF9" s="15"/>
      <c r="AG9" s="15"/>
      <c r="AH9" s="15"/>
      <c r="AI9" s="15"/>
      <c r="AJ9" s="15"/>
      <c r="AK9" s="15"/>
      <c r="AL9" s="15"/>
      <c r="AM9" s="15"/>
      <c r="AN9" s="15"/>
    </row>
    <row r="10" spans="1:40" ht="72">
      <c r="A10" s="9">
        <v>8</v>
      </c>
      <c r="B10" s="10" t="s">
        <v>1458</v>
      </c>
      <c r="C10" s="10" t="s">
        <v>287</v>
      </c>
      <c r="D10" s="18">
        <v>22746</v>
      </c>
      <c r="E10" s="19" t="s">
        <v>1460</v>
      </c>
      <c r="F10" s="3">
        <v>5</v>
      </c>
      <c r="G10" s="3">
        <v>5</v>
      </c>
      <c r="H10" s="12" t="s">
        <v>13</v>
      </c>
      <c r="I10" s="10" t="s">
        <v>1019</v>
      </c>
      <c r="J10" s="12" t="s">
        <v>342</v>
      </c>
      <c r="K10" s="10" t="s">
        <v>275</v>
      </c>
      <c r="L10" s="12" t="s">
        <v>1221</v>
      </c>
      <c r="M10" s="17">
        <v>35316</v>
      </c>
      <c r="N10" s="14">
        <v>45328</v>
      </c>
      <c r="O10" s="14">
        <v>45328</v>
      </c>
      <c r="P10" s="10" t="s">
        <v>275</v>
      </c>
      <c r="Q10" s="15" t="s">
        <v>1221</v>
      </c>
      <c r="R10" s="15" t="s">
        <v>441</v>
      </c>
      <c r="S10" s="20">
        <v>45328</v>
      </c>
      <c r="T10" s="15" t="s">
        <v>1221</v>
      </c>
      <c r="U10" s="15" t="s">
        <v>541</v>
      </c>
      <c r="V10" s="15" t="s">
        <v>541</v>
      </c>
      <c r="W10" s="12" t="s">
        <v>780</v>
      </c>
      <c r="X10" s="15"/>
      <c r="Y10" s="15"/>
      <c r="Z10" s="15"/>
      <c r="AA10" s="15"/>
      <c r="AB10" s="15"/>
      <c r="AC10" s="15"/>
      <c r="AD10" s="15"/>
      <c r="AE10" s="15"/>
      <c r="AF10" s="15"/>
      <c r="AG10" s="15"/>
      <c r="AH10" s="15"/>
      <c r="AI10" s="15"/>
      <c r="AJ10" s="15"/>
      <c r="AK10" s="15"/>
      <c r="AL10" s="15"/>
      <c r="AM10" s="15"/>
      <c r="AN10" s="15"/>
    </row>
    <row r="11" spans="1:40" ht="36">
      <c r="A11" s="9">
        <v>9</v>
      </c>
      <c r="B11" s="10" t="s">
        <v>1458</v>
      </c>
      <c r="C11" s="10" t="s">
        <v>1019</v>
      </c>
      <c r="D11" s="18">
        <v>40283</v>
      </c>
      <c r="E11" s="19" t="s">
        <v>1461</v>
      </c>
      <c r="F11" s="3">
        <v>1</v>
      </c>
      <c r="G11" s="3">
        <v>1</v>
      </c>
      <c r="H11" s="12" t="s">
        <v>13</v>
      </c>
      <c r="I11" s="10" t="s">
        <v>275</v>
      </c>
      <c r="J11" s="12" t="s">
        <v>342</v>
      </c>
      <c r="K11" s="10" t="s">
        <v>275</v>
      </c>
      <c r="L11" s="12" t="s">
        <v>1221</v>
      </c>
      <c r="M11" s="17">
        <v>35339</v>
      </c>
      <c r="N11" s="14">
        <v>45329</v>
      </c>
      <c r="O11" s="14">
        <v>45329</v>
      </c>
      <c r="P11" s="10" t="s">
        <v>287</v>
      </c>
      <c r="Q11" s="15" t="s">
        <v>1221</v>
      </c>
      <c r="R11" s="15" t="s">
        <v>441</v>
      </c>
      <c r="S11" s="14">
        <v>45329</v>
      </c>
      <c r="T11" s="15" t="s">
        <v>1221</v>
      </c>
      <c r="U11" s="15" t="s">
        <v>541</v>
      </c>
      <c r="V11" s="15" t="s">
        <v>541</v>
      </c>
      <c r="W11" s="12" t="s">
        <v>780</v>
      </c>
      <c r="X11" s="15"/>
      <c r="Y11" s="15"/>
      <c r="Z11" s="15"/>
      <c r="AA11" s="15"/>
      <c r="AB11" s="15"/>
      <c r="AC11" s="15"/>
      <c r="AD11" s="15"/>
      <c r="AE11" s="15"/>
      <c r="AF11" s="15"/>
      <c r="AG11" s="15"/>
      <c r="AH11" s="15"/>
      <c r="AI11" s="15"/>
      <c r="AJ11" s="15"/>
      <c r="AK11" s="15"/>
      <c r="AL11" s="15"/>
      <c r="AM11" s="15"/>
      <c r="AN11" s="15"/>
    </row>
    <row r="12" spans="1:40" ht="24.75" customHeight="1">
      <c r="A12" s="9"/>
      <c r="B12" s="10"/>
      <c r="C12" s="10"/>
      <c r="D12" s="26"/>
      <c r="E12" s="11"/>
      <c r="F12" s="3"/>
      <c r="G12" s="3"/>
      <c r="H12" s="12"/>
      <c r="I12" s="10"/>
      <c r="J12" s="12"/>
      <c r="K12" s="10"/>
      <c r="L12" s="12"/>
      <c r="M12" s="10"/>
      <c r="N12" s="10"/>
      <c r="O12" s="10"/>
      <c r="P12" s="10"/>
      <c r="Q12" s="15"/>
      <c r="R12" s="15"/>
      <c r="S12" s="15"/>
      <c r="T12" s="15"/>
      <c r="U12" s="26"/>
      <c r="V12" s="26"/>
      <c r="W12" s="12"/>
      <c r="X12" s="15"/>
      <c r="Y12" s="15"/>
      <c r="Z12" s="15"/>
      <c r="AA12" s="15"/>
      <c r="AB12" s="15"/>
      <c r="AC12" s="15"/>
      <c r="AD12" s="15"/>
      <c r="AE12" s="15"/>
      <c r="AF12" s="15"/>
      <c r="AG12" s="15"/>
      <c r="AH12" s="15"/>
      <c r="AI12" s="15"/>
      <c r="AJ12" s="15"/>
      <c r="AK12" s="15"/>
      <c r="AL12" s="15"/>
      <c r="AM12" s="15"/>
      <c r="AN12" s="15"/>
    </row>
    <row r="13" spans="1:40" ht="24.75" customHeight="1">
      <c r="A13" s="9"/>
      <c r="B13" s="10"/>
      <c r="C13" s="10"/>
      <c r="D13" s="26"/>
      <c r="E13" s="11"/>
      <c r="F13" s="3"/>
      <c r="G13" s="3"/>
      <c r="H13" s="12"/>
      <c r="I13" s="10"/>
      <c r="J13" s="12"/>
      <c r="K13" s="10"/>
      <c r="L13" s="12"/>
      <c r="M13" s="10"/>
      <c r="N13" s="10"/>
      <c r="O13" s="10"/>
      <c r="P13" s="10"/>
      <c r="Q13" s="15"/>
      <c r="R13" s="15"/>
      <c r="S13" s="15"/>
      <c r="T13" s="15"/>
      <c r="U13" s="26"/>
      <c r="V13" s="26"/>
      <c r="W13" s="12"/>
      <c r="X13" s="15"/>
      <c r="Y13" s="15"/>
      <c r="Z13" s="15"/>
      <c r="AA13" s="15"/>
      <c r="AB13" s="15"/>
      <c r="AC13" s="15"/>
      <c r="AD13" s="15"/>
      <c r="AE13" s="15"/>
      <c r="AF13" s="15"/>
      <c r="AG13" s="15"/>
      <c r="AH13" s="15"/>
      <c r="AI13" s="15"/>
      <c r="AJ13" s="15"/>
      <c r="AK13" s="15"/>
      <c r="AL13" s="15"/>
      <c r="AM13" s="15"/>
      <c r="AN13" s="15"/>
    </row>
    <row r="14" spans="1:40" ht="12.75">
      <c r="A14" s="9"/>
      <c r="B14" s="10"/>
      <c r="C14" s="10"/>
      <c r="D14" s="26"/>
      <c r="E14" s="15"/>
      <c r="F14" s="3"/>
      <c r="G14" s="26"/>
      <c r="H14" s="12"/>
      <c r="I14" s="26"/>
      <c r="J14" s="12"/>
      <c r="K14" s="26"/>
      <c r="L14" s="12"/>
      <c r="M14" s="10"/>
      <c r="N14" s="10"/>
      <c r="O14" s="10"/>
      <c r="P14" s="10"/>
      <c r="Q14" s="15"/>
      <c r="R14" s="15"/>
      <c r="S14" s="15"/>
      <c r="T14" s="15"/>
      <c r="U14" s="15"/>
      <c r="V14" s="15"/>
      <c r="W14" s="12"/>
      <c r="X14" s="15"/>
      <c r="Y14" s="15"/>
      <c r="Z14" s="15"/>
      <c r="AA14" s="15"/>
      <c r="AB14" s="15"/>
      <c r="AC14" s="15"/>
      <c r="AD14" s="15"/>
      <c r="AE14" s="15"/>
      <c r="AF14" s="15"/>
      <c r="AG14" s="15"/>
      <c r="AH14" s="15"/>
      <c r="AI14" s="15"/>
      <c r="AJ14" s="15"/>
      <c r="AK14" s="15"/>
      <c r="AL14" s="15"/>
      <c r="AM14" s="15"/>
      <c r="AN14" s="15"/>
    </row>
    <row r="15" spans="1:40" ht="12.75">
      <c r="A15" s="9"/>
      <c r="B15" s="10"/>
      <c r="C15" s="10"/>
      <c r="D15" s="26"/>
      <c r="E15" s="27"/>
      <c r="F15" s="47"/>
      <c r="G15" s="45"/>
      <c r="H15" s="12"/>
      <c r="I15" s="26"/>
      <c r="J15" s="12"/>
      <c r="K15" s="26"/>
      <c r="L15" s="12"/>
      <c r="M15" s="10"/>
      <c r="N15" s="10"/>
      <c r="O15" s="10"/>
      <c r="P15" s="10"/>
      <c r="Q15" s="15"/>
      <c r="R15" s="15"/>
      <c r="S15" s="15"/>
      <c r="T15" s="15"/>
      <c r="U15" s="15"/>
      <c r="V15" s="15"/>
      <c r="W15" s="12"/>
      <c r="X15" s="15"/>
      <c r="Y15" s="15"/>
      <c r="Z15" s="15"/>
      <c r="AA15" s="15"/>
      <c r="AB15" s="15"/>
      <c r="AC15" s="15"/>
      <c r="AD15" s="15"/>
      <c r="AE15" s="15"/>
      <c r="AF15" s="15"/>
      <c r="AG15" s="15"/>
      <c r="AH15" s="15"/>
      <c r="AI15" s="15"/>
      <c r="AJ15" s="15"/>
      <c r="AK15" s="15"/>
      <c r="AL15" s="15"/>
      <c r="AM15" s="15"/>
      <c r="AN15" s="15"/>
    </row>
    <row r="16" spans="1:40" ht="14.25">
      <c r="A16" s="9"/>
      <c r="B16" s="10"/>
      <c r="C16" s="10"/>
      <c r="D16" s="26"/>
      <c r="E16" s="15"/>
      <c r="F16" s="3"/>
      <c r="G16" s="26"/>
      <c r="H16" s="12"/>
      <c r="I16" s="10"/>
      <c r="J16" s="12"/>
      <c r="K16" s="10"/>
      <c r="L16" s="12"/>
      <c r="M16" s="10"/>
      <c r="N16" s="10"/>
      <c r="O16" s="10"/>
      <c r="P16" s="10"/>
      <c r="Q16" s="15"/>
      <c r="R16" s="15"/>
      <c r="S16" s="15"/>
      <c r="T16" s="15"/>
      <c r="U16" s="15"/>
      <c r="V16" s="28"/>
      <c r="W16" s="12"/>
      <c r="X16" s="15"/>
      <c r="Y16" s="15"/>
      <c r="Z16" s="15"/>
      <c r="AA16" s="15"/>
      <c r="AB16" s="15"/>
      <c r="AC16" s="15"/>
      <c r="AD16" s="15"/>
      <c r="AE16" s="15"/>
      <c r="AF16" s="15"/>
      <c r="AG16" s="15"/>
      <c r="AH16" s="15"/>
      <c r="AI16" s="15"/>
      <c r="AJ16" s="15"/>
      <c r="AK16" s="15"/>
      <c r="AL16" s="15"/>
      <c r="AM16" s="15"/>
      <c r="AN16" s="15"/>
    </row>
    <row r="17" spans="1:40" ht="12.75">
      <c r="A17" s="9"/>
      <c r="B17" s="10"/>
      <c r="C17" s="10"/>
      <c r="D17" s="26"/>
      <c r="E17" s="15"/>
      <c r="F17" s="3"/>
      <c r="G17" s="26"/>
      <c r="H17" s="12"/>
      <c r="I17" s="10"/>
      <c r="J17" s="12"/>
      <c r="K17" s="10"/>
      <c r="L17" s="12"/>
      <c r="M17" s="10"/>
      <c r="N17" s="10"/>
      <c r="O17" s="10"/>
      <c r="P17" s="10"/>
      <c r="Q17" s="15"/>
      <c r="R17" s="15"/>
      <c r="S17" s="15"/>
      <c r="T17" s="15"/>
      <c r="U17" s="15"/>
      <c r="V17" s="15"/>
      <c r="W17" s="12"/>
      <c r="X17" s="15"/>
      <c r="Y17" s="15"/>
      <c r="Z17" s="15"/>
      <c r="AA17" s="15"/>
      <c r="AB17" s="15"/>
      <c r="AC17" s="15"/>
      <c r="AD17" s="15"/>
      <c r="AE17" s="15"/>
      <c r="AF17" s="15"/>
      <c r="AG17" s="15"/>
      <c r="AH17" s="15"/>
      <c r="AI17" s="15"/>
      <c r="AJ17" s="15"/>
      <c r="AK17" s="15"/>
      <c r="AL17" s="15"/>
      <c r="AM17" s="15"/>
      <c r="AN17" s="15"/>
    </row>
    <row r="18" spans="1:40" ht="12.75">
      <c r="A18" s="9"/>
      <c r="B18" s="10"/>
      <c r="C18" s="10"/>
      <c r="D18" s="26"/>
      <c r="E18" s="15"/>
      <c r="F18" s="3"/>
      <c r="G18" s="26"/>
      <c r="H18" s="12"/>
      <c r="I18" s="10"/>
      <c r="J18" s="12"/>
      <c r="K18" s="10"/>
      <c r="L18" s="12"/>
      <c r="M18" s="10"/>
      <c r="N18" s="10"/>
      <c r="O18" s="10"/>
      <c r="P18" s="10"/>
      <c r="Q18" s="15"/>
      <c r="R18" s="15"/>
      <c r="S18" s="15"/>
      <c r="T18" s="15"/>
      <c r="U18" s="15"/>
      <c r="V18" s="15"/>
      <c r="W18" s="12"/>
      <c r="X18" s="15"/>
      <c r="Y18" s="15"/>
      <c r="Z18" s="15"/>
      <c r="AA18" s="15"/>
      <c r="AB18" s="15"/>
      <c r="AC18" s="15"/>
      <c r="AD18" s="15"/>
      <c r="AE18" s="15"/>
      <c r="AF18" s="15"/>
      <c r="AG18" s="15"/>
      <c r="AH18" s="15"/>
      <c r="AI18" s="15"/>
      <c r="AJ18" s="15"/>
      <c r="AK18" s="15"/>
      <c r="AL18" s="15"/>
      <c r="AM18" s="15"/>
      <c r="AN18" s="15"/>
    </row>
    <row r="19" spans="1:40" ht="12.75">
      <c r="A19" s="9"/>
      <c r="B19" s="10"/>
      <c r="C19" s="10"/>
      <c r="D19" s="26"/>
      <c r="E19" s="15"/>
      <c r="F19" s="3"/>
      <c r="G19" s="26"/>
      <c r="H19" s="12"/>
      <c r="I19" s="10"/>
      <c r="J19" s="12"/>
      <c r="K19" s="10"/>
      <c r="L19" s="12"/>
      <c r="M19" s="10"/>
      <c r="N19" s="10"/>
      <c r="O19" s="10"/>
      <c r="P19" s="10"/>
      <c r="Q19" s="15"/>
      <c r="R19" s="15"/>
      <c r="S19" s="15"/>
      <c r="T19" s="15"/>
      <c r="U19" s="15"/>
      <c r="V19" s="15"/>
      <c r="W19" s="12"/>
      <c r="X19" s="15"/>
      <c r="Y19" s="15"/>
      <c r="Z19" s="15"/>
      <c r="AA19" s="15"/>
      <c r="AB19" s="15"/>
      <c r="AC19" s="15"/>
      <c r="AD19" s="15"/>
      <c r="AE19" s="15"/>
      <c r="AF19" s="15"/>
      <c r="AG19" s="15"/>
      <c r="AH19" s="15"/>
      <c r="AI19" s="15"/>
      <c r="AJ19" s="15"/>
      <c r="AK19" s="15"/>
      <c r="AL19" s="15"/>
      <c r="AM19" s="15"/>
      <c r="AN19" s="15"/>
    </row>
    <row r="20" spans="1:40" ht="12.75">
      <c r="A20" s="15"/>
      <c r="B20" s="10"/>
      <c r="C20" s="26"/>
      <c r="D20" s="15"/>
      <c r="E20" s="15"/>
      <c r="F20" s="3"/>
      <c r="G20" s="26"/>
      <c r="H20" s="15"/>
      <c r="I20" s="26"/>
      <c r="J20" s="15"/>
      <c r="K20" s="26"/>
      <c r="L20" s="15"/>
      <c r="M20" s="26"/>
      <c r="N20" s="26"/>
      <c r="O20" s="26"/>
      <c r="P20" s="26"/>
      <c r="Q20" s="15"/>
      <c r="R20" s="15"/>
      <c r="S20" s="15"/>
      <c r="T20" s="15"/>
      <c r="U20" s="15"/>
      <c r="V20" s="15"/>
      <c r="W20" s="15"/>
      <c r="X20" s="15"/>
      <c r="Y20" s="15"/>
      <c r="Z20" s="15"/>
      <c r="AA20" s="15"/>
      <c r="AB20" s="15"/>
      <c r="AC20" s="15"/>
      <c r="AD20" s="15"/>
      <c r="AE20" s="15"/>
      <c r="AF20" s="15"/>
      <c r="AG20" s="15"/>
      <c r="AH20" s="15"/>
      <c r="AI20" s="15"/>
      <c r="AJ20" s="15"/>
      <c r="AK20" s="15"/>
      <c r="AL20" s="15"/>
      <c r="AM20" s="15"/>
      <c r="AN20" s="15"/>
    </row>
    <row r="21" spans="1:40" ht="12.75">
      <c r="A21" s="15"/>
      <c r="B21" s="10"/>
      <c r="C21" s="26"/>
      <c r="D21" s="15"/>
      <c r="E21" s="15"/>
      <c r="F21" s="3"/>
      <c r="G21" s="26"/>
      <c r="H21" s="15"/>
      <c r="I21" s="26"/>
      <c r="J21" s="15"/>
      <c r="K21" s="10"/>
      <c r="L21" s="12"/>
      <c r="M21" s="26"/>
      <c r="N21" s="26"/>
      <c r="O21" s="26"/>
      <c r="P21" s="26"/>
      <c r="Q21" s="15"/>
      <c r="R21" s="15"/>
      <c r="S21" s="15"/>
      <c r="T21" s="15"/>
      <c r="U21" s="15"/>
      <c r="V21" s="15"/>
      <c r="W21" s="15"/>
      <c r="X21" s="15"/>
      <c r="Y21" s="15"/>
      <c r="Z21" s="15"/>
      <c r="AA21" s="15"/>
      <c r="AB21" s="15"/>
      <c r="AC21" s="15"/>
      <c r="AD21" s="15"/>
      <c r="AE21" s="15"/>
      <c r="AF21" s="15"/>
      <c r="AG21" s="15"/>
      <c r="AH21" s="15"/>
      <c r="AI21" s="15"/>
      <c r="AJ21" s="15"/>
      <c r="AK21" s="15"/>
      <c r="AL21" s="15"/>
      <c r="AM21" s="15"/>
      <c r="AN21" s="15"/>
    </row>
    <row r="22" spans="1:40" ht="12.75">
      <c r="A22" s="15"/>
      <c r="B22" s="15"/>
      <c r="C22" s="26"/>
      <c r="D22" s="15"/>
      <c r="E22" s="15"/>
      <c r="F22" s="3"/>
      <c r="G22" s="26"/>
      <c r="H22" s="15"/>
      <c r="I22" s="26"/>
      <c r="J22" s="15"/>
      <c r="K22" s="26"/>
      <c r="L22" s="15"/>
      <c r="M22" s="26"/>
      <c r="N22" s="26"/>
      <c r="O22" s="26"/>
      <c r="P22" s="26"/>
      <c r="Q22" s="15"/>
      <c r="R22" s="15"/>
      <c r="S22" s="15"/>
      <c r="T22" s="15"/>
      <c r="U22" s="15"/>
      <c r="V22" s="15"/>
      <c r="W22" s="15"/>
      <c r="X22" s="15"/>
      <c r="Y22" s="15"/>
      <c r="Z22" s="15"/>
      <c r="AA22" s="15"/>
      <c r="AB22" s="15"/>
      <c r="AC22" s="15"/>
      <c r="AD22" s="15"/>
      <c r="AE22" s="15"/>
      <c r="AF22" s="15"/>
      <c r="AG22" s="15"/>
      <c r="AH22" s="15"/>
      <c r="AI22" s="15"/>
      <c r="AJ22" s="15"/>
      <c r="AK22" s="15"/>
      <c r="AL22" s="15"/>
      <c r="AM22" s="15"/>
      <c r="AN22" s="15"/>
    </row>
    <row r="23" spans="1:40" ht="12.75">
      <c r="A23" s="15"/>
      <c r="B23" s="15"/>
      <c r="C23" s="26"/>
      <c r="D23" s="15"/>
      <c r="E23" s="15"/>
      <c r="F23" s="3"/>
      <c r="G23" s="26"/>
      <c r="H23" s="15"/>
      <c r="I23" s="26"/>
      <c r="J23" s="15"/>
      <c r="K23" s="26"/>
      <c r="L23" s="15"/>
      <c r="M23" s="26"/>
      <c r="N23" s="26"/>
      <c r="O23" s="26"/>
      <c r="P23" s="26"/>
      <c r="Q23" s="15"/>
      <c r="R23" s="15"/>
      <c r="S23" s="15"/>
      <c r="T23" s="15"/>
      <c r="U23" s="15"/>
      <c r="V23" s="15"/>
      <c r="W23" s="15"/>
      <c r="X23" s="15"/>
      <c r="Y23" s="15"/>
      <c r="Z23" s="15"/>
      <c r="AA23" s="15"/>
      <c r="AB23" s="15"/>
      <c r="AC23" s="15"/>
      <c r="AD23" s="15"/>
      <c r="AE23" s="15"/>
      <c r="AF23" s="15"/>
      <c r="AG23" s="15"/>
      <c r="AH23" s="15"/>
      <c r="AI23" s="15"/>
      <c r="AJ23" s="15"/>
      <c r="AK23" s="15"/>
      <c r="AL23" s="15"/>
      <c r="AM23" s="15"/>
      <c r="AN23" s="15"/>
    </row>
    <row r="24" spans="1:40" ht="12.75">
      <c r="A24" s="15"/>
      <c r="B24" s="15"/>
      <c r="C24" s="26"/>
      <c r="D24" s="15"/>
      <c r="E24" s="15"/>
      <c r="F24" s="3"/>
      <c r="G24" s="26"/>
      <c r="H24" s="15"/>
      <c r="I24" s="26"/>
      <c r="J24" s="15"/>
      <c r="K24" s="26"/>
      <c r="L24" s="15"/>
      <c r="M24" s="26"/>
      <c r="N24" s="26"/>
      <c r="O24" s="26"/>
      <c r="P24" s="26"/>
      <c r="Q24" s="15"/>
      <c r="R24" s="15"/>
      <c r="S24" s="15"/>
      <c r="T24" s="15"/>
      <c r="U24" s="15"/>
      <c r="V24" s="15"/>
      <c r="W24" s="15"/>
      <c r="X24" s="15"/>
      <c r="Y24" s="15"/>
      <c r="Z24" s="15"/>
      <c r="AA24" s="15"/>
      <c r="AB24" s="15"/>
      <c r="AC24" s="15"/>
      <c r="AD24" s="15"/>
      <c r="AE24" s="15"/>
      <c r="AF24" s="15"/>
      <c r="AG24" s="15"/>
      <c r="AH24" s="15"/>
      <c r="AI24" s="15"/>
      <c r="AJ24" s="15"/>
      <c r="AK24" s="15"/>
      <c r="AL24" s="15"/>
      <c r="AM24" s="15"/>
      <c r="AN24" s="15"/>
    </row>
    <row r="25" spans="1:40" ht="12.75">
      <c r="A25" s="15"/>
      <c r="B25" s="15"/>
      <c r="C25" s="26"/>
      <c r="D25" s="15"/>
      <c r="E25" s="15"/>
      <c r="F25" s="3"/>
      <c r="G25" s="26"/>
      <c r="H25" s="15"/>
      <c r="I25" s="26"/>
      <c r="J25" s="15"/>
      <c r="K25" s="26"/>
      <c r="L25" s="15"/>
      <c r="M25" s="26"/>
      <c r="N25" s="26"/>
      <c r="O25" s="26"/>
      <c r="P25" s="26"/>
      <c r="Q25" s="15"/>
      <c r="R25" s="15"/>
      <c r="S25" s="15"/>
      <c r="T25" s="15"/>
      <c r="U25" s="15"/>
      <c r="V25" s="15"/>
      <c r="W25" s="15"/>
      <c r="X25" s="15"/>
      <c r="Y25" s="15"/>
      <c r="Z25" s="15"/>
      <c r="AA25" s="15"/>
      <c r="AB25" s="15"/>
      <c r="AC25" s="15"/>
      <c r="AD25" s="15"/>
      <c r="AE25" s="15"/>
      <c r="AF25" s="15"/>
      <c r="AG25" s="15"/>
      <c r="AH25" s="15"/>
      <c r="AI25" s="15"/>
      <c r="AJ25" s="15"/>
      <c r="AK25" s="15"/>
      <c r="AL25" s="15"/>
      <c r="AM25" s="15"/>
      <c r="AN25" s="15"/>
    </row>
    <row r="26" spans="1:40" ht="12.75">
      <c r="A26" s="15"/>
      <c r="B26" s="15"/>
      <c r="C26" s="26"/>
      <c r="D26" s="15"/>
      <c r="E26" s="15"/>
      <c r="F26" s="3"/>
      <c r="G26" s="26"/>
      <c r="H26" s="15"/>
      <c r="I26" s="26"/>
      <c r="J26" s="15"/>
      <c r="K26" s="26"/>
      <c r="L26" s="15"/>
      <c r="M26" s="26"/>
      <c r="N26" s="26"/>
      <c r="O26" s="26"/>
      <c r="P26" s="26"/>
      <c r="Q26" s="15"/>
      <c r="R26" s="15"/>
      <c r="S26" s="15"/>
      <c r="T26" s="15"/>
      <c r="U26" s="15"/>
      <c r="V26" s="15"/>
      <c r="W26" s="15"/>
      <c r="X26" s="15"/>
      <c r="Y26" s="15"/>
      <c r="Z26" s="15"/>
      <c r="AA26" s="15"/>
      <c r="AB26" s="15"/>
      <c r="AC26" s="15"/>
      <c r="AD26" s="15"/>
      <c r="AE26" s="15"/>
      <c r="AF26" s="15"/>
      <c r="AG26" s="15"/>
      <c r="AH26" s="15"/>
      <c r="AI26" s="15"/>
      <c r="AJ26" s="15"/>
      <c r="AK26" s="15"/>
      <c r="AL26" s="15"/>
      <c r="AM26" s="15"/>
      <c r="AN26" s="15"/>
    </row>
    <row r="27" spans="1:40" ht="12.75">
      <c r="A27" s="15"/>
      <c r="B27" s="15"/>
      <c r="C27" s="26"/>
      <c r="D27" s="15"/>
      <c r="E27" s="15"/>
      <c r="F27" s="3"/>
      <c r="G27" s="26"/>
      <c r="H27" s="15"/>
      <c r="I27" s="26"/>
      <c r="J27" s="15"/>
      <c r="K27" s="26"/>
      <c r="L27" s="15"/>
      <c r="M27" s="26"/>
      <c r="N27" s="26"/>
      <c r="O27" s="26"/>
      <c r="P27" s="26"/>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row r="28" spans="1:40" ht="12.75">
      <c r="A28" s="15"/>
      <c r="B28" s="15"/>
      <c r="C28" s="26"/>
      <c r="D28" s="15"/>
      <c r="E28" s="15"/>
      <c r="F28" s="3"/>
      <c r="G28" s="26"/>
      <c r="H28" s="15"/>
      <c r="I28" s="26"/>
      <c r="J28" s="15"/>
      <c r="K28" s="26"/>
      <c r="L28" s="15"/>
      <c r="M28" s="26"/>
      <c r="N28" s="26"/>
      <c r="O28" s="26"/>
      <c r="P28" s="26"/>
      <c r="Q28" s="15"/>
      <c r="R28" s="15"/>
      <c r="S28" s="15"/>
      <c r="T28" s="15"/>
      <c r="U28" s="15"/>
      <c r="V28" s="15"/>
      <c r="W28" s="15"/>
      <c r="X28" s="15"/>
      <c r="Y28" s="15"/>
      <c r="Z28" s="15"/>
      <c r="AA28" s="15"/>
      <c r="AB28" s="15"/>
      <c r="AC28" s="15"/>
      <c r="AD28" s="15"/>
      <c r="AE28" s="15"/>
      <c r="AF28" s="15"/>
      <c r="AG28" s="15"/>
      <c r="AH28" s="15"/>
      <c r="AI28" s="15"/>
      <c r="AJ28" s="15"/>
      <c r="AK28" s="15"/>
      <c r="AL28" s="15"/>
      <c r="AM28" s="15"/>
      <c r="AN28" s="15"/>
    </row>
    <row r="29" spans="1:40" ht="12.75">
      <c r="A29" s="15"/>
      <c r="B29" s="15"/>
      <c r="C29" s="26"/>
      <c r="D29" s="15"/>
      <c r="E29" s="15"/>
      <c r="F29" s="3"/>
      <c r="G29" s="26"/>
      <c r="H29" s="15"/>
      <c r="I29" s="26"/>
      <c r="J29" s="15"/>
      <c r="K29" s="26"/>
      <c r="L29" s="15"/>
      <c r="M29" s="26"/>
      <c r="N29" s="26"/>
      <c r="O29" s="26"/>
      <c r="P29" s="26"/>
      <c r="Q29" s="15"/>
      <c r="R29" s="15"/>
      <c r="S29" s="15"/>
      <c r="T29" s="15"/>
      <c r="U29" s="15"/>
      <c r="V29" s="15"/>
      <c r="W29" s="15"/>
      <c r="X29" s="15"/>
      <c r="Y29" s="15"/>
      <c r="Z29" s="15"/>
      <c r="AA29" s="15"/>
      <c r="AB29" s="15"/>
      <c r="AC29" s="15"/>
      <c r="AD29" s="15"/>
      <c r="AE29" s="15"/>
      <c r="AF29" s="15"/>
      <c r="AG29" s="15"/>
      <c r="AH29" s="15"/>
      <c r="AI29" s="15"/>
      <c r="AJ29" s="15"/>
      <c r="AK29" s="15"/>
      <c r="AL29" s="15"/>
      <c r="AM29" s="15"/>
      <c r="AN29" s="15"/>
    </row>
    <row r="30" spans="1:40" ht="12.75">
      <c r="A30" s="15"/>
      <c r="B30" s="15"/>
      <c r="C30" s="26"/>
      <c r="D30" s="15"/>
      <c r="E30" s="15"/>
      <c r="F30" s="3"/>
      <c r="G30" s="26"/>
      <c r="H30" s="15"/>
      <c r="I30" s="26"/>
      <c r="J30" s="15"/>
      <c r="K30" s="26"/>
      <c r="L30" s="15"/>
      <c r="M30" s="26"/>
      <c r="N30" s="26"/>
      <c r="O30" s="26"/>
      <c r="P30" s="26"/>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row r="31" spans="1:40" ht="12.75">
      <c r="A31" s="15"/>
      <c r="B31" s="15"/>
      <c r="C31" s="26"/>
      <c r="D31" s="15"/>
      <c r="E31" s="15"/>
      <c r="F31" s="3"/>
      <c r="G31" s="26"/>
      <c r="H31" s="15"/>
      <c r="I31" s="26"/>
      <c r="J31" s="15"/>
      <c r="K31" s="26"/>
      <c r="L31" s="15"/>
      <c r="M31" s="26"/>
      <c r="N31" s="26"/>
      <c r="O31" s="26"/>
      <c r="P31" s="26"/>
      <c r="Q31" s="15"/>
      <c r="R31" s="15"/>
      <c r="S31" s="15"/>
      <c r="T31" s="15"/>
      <c r="U31" s="15"/>
      <c r="V31" s="15"/>
      <c r="W31" s="15"/>
      <c r="X31" s="15"/>
      <c r="Y31" s="15"/>
      <c r="Z31" s="15"/>
      <c r="AA31" s="15"/>
      <c r="AB31" s="15"/>
      <c r="AC31" s="15"/>
      <c r="AD31" s="15"/>
      <c r="AE31" s="15"/>
      <c r="AF31" s="15"/>
      <c r="AG31" s="15"/>
      <c r="AH31" s="15"/>
      <c r="AI31" s="15"/>
      <c r="AJ31" s="15"/>
      <c r="AK31" s="15"/>
      <c r="AL31" s="15"/>
      <c r="AM31" s="15"/>
      <c r="AN31" s="15"/>
    </row>
    <row r="32" spans="1:40" ht="12.75">
      <c r="A32" s="15"/>
      <c r="B32" s="15"/>
      <c r="C32" s="26"/>
      <c r="D32" s="15"/>
      <c r="E32" s="15"/>
      <c r="F32" s="3"/>
      <c r="G32" s="26"/>
      <c r="H32" s="15"/>
      <c r="I32" s="26"/>
      <c r="J32" s="15"/>
      <c r="K32" s="26"/>
      <c r="L32" s="15"/>
      <c r="M32" s="26"/>
      <c r="N32" s="26"/>
      <c r="O32" s="26"/>
      <c r="P32" s="26"/>
      <c r="Q32" s="15"/>
      <c r="R32" s="15"/>
      <c r="S32" s="15"/>
      <c r="T32" s="15"/>
      <c r="U32" s="15"/>
      <c r="V32" s="15"/>
      <c r="W32" s="15"/>
      <c r="X32" s="15"/>
      <c r="Y32" s="15"/>
      <c r="Z32" s="15"/>
      <c r="AA32" s="15"/>
      <c r="AB32" s="15"/>
      <c r="AC32" s="15"/>
      <c r="AD32" s="15"/>
      <c r="AE32" s="15"/>
      <c r="AF32" s="15"/>
      <c r="AG32" s="15"/>
      <c r="AH32" s="15"/>
      <c r="AI32" s="15"/>
      <c r="AJ32" s="15"/>
      <c r="AK32" s="15"/>
      <c r="AL32" s="15"/>
      <c r="AM32" s="15"/>
      <c r="AN32" s="15"/>
    </row>
    <row r="33" spans="1:40" ht="12.75">
      <c r="A33" s="15"/>
      <c r="B33" s="15"/>
      <c r="C33" s="26"/>
      <c r="D33" s="15"/>
      <c r="E33" s="15"/>
      <c r="F33" s="3"/>
      <c r="G33" s="26"/>
      <c r="H33" s="15"/>
      <c r="I33" s="26"/>
      <c r="J33" s="15"/>
      <c r="K33" s="26"/>
      <c r="L33" s="15"/>
      <c r="M33" s="26"/>
      <c r="N33" s="26"/>
      <c r="O33" s="26"/>
      <c r="P33" s="26"/>
      <c r="Q33" s="15"/>
      <c r="R33" s="15"/>
      <c r="S33" s="15"/>
      <c r="T33" s="15"/>
      <c r="U33" s="15"/>
      <c r="V33" s="15"/>
      <c r="W33" s="15"/>
      <c r="X33" s="15"/>
      <c r="Y33" s="15"/>
      <c r="Z33" s="15"/>
      <c r="AA33" s="15"/>
      <c r="AB33" s="15"/>
      <c r="AC33" s="15"/>
      <c r="AD33" s="15"/>
      <c r="AE33" s="15"/>
      <c r="AF33" s="15"/>
      <c r="AG33" s="15"/>
      <c r="AH33" s="15"/>
      <c r="AI33" s="15"/>
      <c r="AJ33" s="15"/>
      <c r="AK33" s="15"/>
      <c r="AL33" s="15"/>
      <c r="AM33" s="15"/>
      <c r="AN33" s="15"/>
    </row>
    <row r="34" spans="1:40" ht="12.75">
      <c r="A34" s="15"/>
      <c r="B34" s="15"/>
      <c r="C34" s="26"/>
      <c r="D34" s="15"/>
      <c r="E34" s="15"/>
      <c r="F34" s="3"/>
      <c r="G34" s="26"/>
      <c r="H34" s="15"/>
      <c r="I34" s="26"/>
      <c r="J34" s="15"/>
      <c r="K34" s="26"/>
      <c r="L34" s="15"/>
      <c r="M34" s="26"/>
      <c r="N34" s="26"/>
      <c r="O34" s="26"/>
      <c r="P34" s="26"/>
      <c r="Q34" s="15"/>
      <c r="R34" s="15"/>
      <c r="S34" s="15"/>
      <c r="T34" s="15"/>
      <c r="U34" s="15"/>
      <c r="V34" s="15"/>
      <c r="W34" s="15"/>
      <c r="X34" s="15"/>
      <c r="Y34" s="15"/>
      <c r="Z34" s="15"/>
      <c r="AA34" s="15"/>
      <c r="AB34" s="15"/>
      <c r="AC34" s="15"/>
      <c r="AD34" s="15"/>
      <c r="AE34" s="15"/>
      <c r="AF34" s="15"/>
      <c r="AG34" s="15"/>
      <c r="AH34" s="15"/>
      <c r="AI34" s="15"/>
      <c r="AJ34" s="15"/>
      <c r="AK34" s="15"/>
      <c r="AL34" s="15"/>
      <c r="AM34" s="15"/>
      <c r="AN34" s="15"/>
    </row>
    <row r="35" spans="1:40" ht="12.75">
      <c r="A35" s="15"/>
      <c r="B35" s="15"/>
      <c r="C35" s="26"/>
      <c r="D35" s="15"/>
      <c r="E35" s="15"/>
      <c r="F35" s="3"/>
      <c r="G35" s="26"/>
      <c r="H35" s="15"/>
      <c r="I35" s="26"/>
      <c r="J35" s="15"/>
      <c r="K35" s="26"/>
      <c r="L35" s="15"/>
      <c r="M35" s="26"/>
      <c r="N35" s="26"/>
      <c r="O35" s="26"/>
      <c r="P35" s="26"/>
      <c r="Q35" s="15"/>
      <c r="R35" s="15"/>
      <c r="S35" s="15"/>
      <c r="T35" s="15"/>
      <c r="U35" s="15"/>
      <c r="V35" s="15"/>
      <c r="W35" s="15"/>
      <c r="X35" s="15"/>
      <c r="Y35" s="15"/>
      <c r="Z35" s="15"/>
      <c r="AA35" s="15"/>
      <c r="AB35" s="15"/>
      <c r="AC35" s="15"/>
      <c r="AD35" s="15"/>
      <c r="AE35" s="15"/>
      <c r="AF35" s="15"/>
      <c r="AG35" s="15"/>
      <c r="AH35" s="15"/>
      <c r="AI35" s="15"/>
      <c r="AJ35" s="15"/>
      <c r="AK35" s="15"/>
      <c r="AL35" s="15"/>
      <c r="AM35" s="15"/>
      <c r="AN35" s="15"/>
    </row>
    <row r="36" spans="1:40" ht="12.75">
      <c r="A36" s="15"/>
      <c r="B36" s="15"/>
      <c r="C36" s="26"/>
      <c r="D36" s="15"/>
      <c r="E36" s="15"/>
      <c r="F36" s="3"/>
      <c r="G36" s="26"/>
      <c r="H36" s="15"/>
      <c r="I36" s="26"/>
      <c r="J36" s="15"/>
      <c r="K36" s="26"/>
      <c r="L36" s="15"/>
      <c r="M36" s="26"/>
      <c r="N36" s="26"/>
      <c r="O36" s="26"/>
      <c r="P36" s="26"/>
      <c r="Q36" s="15"/>
      <c r="R36" s="15"/>
      <c r="S36" s="15"/>
      <c r="T36" s="15"/>
      <c r="U36" s="15"/>
      <c r="V36" s="15"/>
      <c r="W36" s="15"/>
      <c r="X36" s="15"/>
      <c r="Y36" s="15"/>
      <c r="Z36" s="15"/>
      <c r="AA36" s="15"/>
      <c r="AB36" s="15"/>
      <c r="AC36" s="15"/>
      <c r="AD36" s="15"/>
      <c r="AE36" s="15"/>
      <c r="AF36" s="15"/>
      <c r="AG36" s="15"/>
      <c r="AH36" s="15"/>
      <c r="AI36" s="15"/>
      <c r="AJ36" s="15"/>
      <c r="AK36" s="15"/>
      <c r="AL36" s="15"/>
      <c r="AM36" s="15"/>
      <c r="AN36" s="15"/>
    </row>
    <row r="37" spans="1:40" ht="12.75">
      <c r="A37" s="15"/>
      <c r="B37" s="15"/>
      <c r="C37" s="26"/>
      <c r="D37" s="15"/>
      <c r="E37" s="15"/>
      <c r="F37" s="3"/>
      <c r="G37" s="26"/>
      <c r="H37" s="15"/>
      <c r="I37" s="26"/>
      <c r="J37" s="15"/>
      <c r="K37" s="26"/>
      <c r="L37" s="15"/>
      <c r="M37" s="26"/>
      <c r="N37" s="26"/>
      <c r="O37" s="26"/>
      <c r="P37" s="26"/>
      <c r="Q37" s="15"/>
      <c r="R37" s="15"/>
      <c r="S37" s="15"/>
      <c r="T37" s="15"/>
      <c r="U37" s="15"/>
      <c r="V37" s="15"/>
      <c r="W37" s="15"/>
      <c r="X37" s="15"/>
      <c r="Y37" s="15"/>
      <c r="Z37" s="15"/>
      <c r="AA37" s="15"/>
      <c r="AB37" s="15"/>
      <c r="AC37" s="15"/>
      <c r="AD37" s="15"/>
      <c r="AE37" s="15"/>
      <c r="AF37" s="15"/>
      <c r="AG37" s="15"/>
      <c r="AH37" s="15"/>
      <c r="AI37" s="15"/>
      <c r="AJ37" s="15"/>
      <c r="AK37" s="15"/>
      <c r="AL37" s="15"/>
      <c r="AM37" s="15"/>
      <c r="AN37" s="15"/>
    </row>
    <row r="38" spans="1:40" ht="12.75">
      <c r="A38" s="15"/>
      <c r="B38" s="15"/>
      <c r="C38" s="26"/>
      <c r="D38" s="15"/>
      <c r="E38" s="15"/>
      <c r="F38" s="3"/>
      <c r="G38" s="26"/>
      <c r="H38" s="15"/>
      <c r="I38" s="26"/>
      <c r="J38" s="15"/>
      <c r="K38" s="26"/>
      <c r="L38" s="15"/>
      <c r="M38" s="26"/>
      <c r="N38" s="26"/>
      <c r="O38" s="26"/>
      <c r="P38" s="26"/>
      <c r="Q38" s="15"/>
      <c r="R38" s="15"/>
      <c r="S38" s="15"/>
      <c r="T38" s="15"/>
      <c r="U38" s="15"/>
      <c r="V38" s="15"/>
      <c r="W38" s="15"/>
      <c r="X38" s="15"/>
      <c r="Y38" s="15"/>
      <c r="Z38" s="15"/>
      <c r="AA38" s="15"/>
      <c r="AB38" s="15"/>
      <c r="AC38" s="15"/>
      <c r="AD38" s="15"/>
      <c r="AE38" s="15"/>
      <c r="AF38" s="15"/>
      <c r="AG38" s="15"/>
      <c r="AH38" s="15"/>
      <c r="AI38" s="15"/>
      <c r="AJ38" s="15"/>
      <c r="AK38" s="15"/>
      <c r="AL38" s="15"/>
      <c r="AM38" s="15"/>
      <c r="AN38" s="15"/>
    </row>
    <row r="39" spans="1:40" ht="12.75">
      <c r="A39" s="15"/>
      <c r="B39" s="15"/>
      <c r="C39" s="26"/>
      <c r="D39" s="15"/>
      <c r="E39" s="15"/>
      <c r="F39" s="3"/>
      <c r="G39" s="26"/>
      <c r="H39" s="15"/>
      <c r="I39" s="26"/>
      <c r="J39" s="15"/>
      <c r="K39" s="26"/>
      <c r="L39" s="15"/>
      <c r="M39" s="26"/>
      <c r="N39" s="26"/>
      <c r="O39" s="26"/>
      <c r="P39" s="26"/>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row r="40" spans="1:40" ht="12.75">
      <c r="A40" s="15"/>
      <c r="B40" s="15"/>
      <c r="C40" s="26"/>
      <c r="D40" s="15"/>
      <c r="E40" s="15"/>
      <c r="F40" s="3"/>
      <c r="G40" s="26"/>
      <c r="H40" s="15"/>
      <c r="I40" s="26"/>
      <c r="J40" s="15"/>
      <c r="K40" s="26"/>
      <c r="L40" s="15"/>
      <c r="M40" s="26"/>
      <c r="N40" s="26"/>
      <c r="O40" s="26"/>
      <c r="P40" s="26"/>
      <c r="Q40" s="15"/>
      <c r="R40" s="15"/>
      <c r="S40" s="15"/>
      <c r="T40" s="15"/>
      <c r="U40" s="15"/>
      <c r="V40" s="15"/>
      <c r="W40" s="15"/>
      <c r="X40" s="15"/>
      <c r="Y40" s="15"/>
      <c r="Z40" s="15"/>
      <c r="AA40" s="15"/>
      <c r="AB40" s="15"/>
      <c r="AC40" s="15"/>
      <c r="AD40" s="15"/>
      <c r="AE40" s="15"/>
      <c r="AF40" s="15"/>
      <c r="AG40" s="15"/>
      <c r="AH40" s="15"/>
      <c r="AI40" s="15"/>
      <c r="AJ40" s="15"/>
      <c r="AK40" s="15"/>
      <c r="AL40" s="15"/>
      <c r="AM40" s="15"/>
      <c r="AN40" s="15"/>
    </row>
    <row r="41" spans="1:40" ht="12.75">
      <c r="A41" s="15"/>
      <c r="B41" s="15"/>
      <c r="C41" s="26"/>
      <c r="D41" s="15"/>
      <c r="E41" s="15"/>
      <c r="F41" s="3"/>
      <c r="G41" s="26"/>
      <c r="H41" s="15"/>
      <c r="I41" s="26"/>
      <c r="J41" s="15"/>
      <c r="K41" s="26"/>
      <c r="L41" s="15"/>
      <c r="M41" s="26"/>
      <c r="N41" s="26"/>
      <c r="O41" s="26"/>
      <c r="P41" s="26"/>
      <c r="Q41" s="15"/>
      <c r="R41" s="15"/>
      <c r="S41" s="15"/>
      <c r="T41" s="15"/>
      <c r="U41" s="15"/>
      <c r="V41" s="15"/>
      <c r="W41" s="15"/>
      <c r="X41" s="15"/>
      <c r="Y41" s="15"/>
      <c r="Z41" s="15"/>
      <c r="AA41" s="15"/>
      <c r="AB41" s="15"/>
      <c r="AC41" s="15"/>
      <c r="AD41" s="15"/>
      <c r="AE41" s="15"/>
      <c r="AF41" s="15"/>
      <c r="AG41" s="15"/>
      <c r="AH41" s="15"/>
      <c r="AI41" s="15"/>
      <c r="AJ41" s="15"/>
      <c r="AK41" s="15"/>
      <c r="AL41" s="15"/>
      <c r="AM41" s="15"/>
      <c r="AN41" s="15"/>
    </row>
    <row r="42" spans="1:40" ht="12.75">
      <c r="A42" s="15"/>
      <c r="B42" s="15"/>
      <c r="C42" s="26"/>
      <c r="D42" s="15"/>
      <c r="E42" s="15"/>
      <c r="F42" s="3"/>
      <c r="G42" s="26"/>
      <c r="H42" s="15"/>
      <c r="I42" s="26"/>
      <c r="J42" s="15"/>
      <c r="K42" s="26"/>
      <c r="L42" s="15"/>
      <c r="M42" s="26"/>
      <c r="N42" s="26"/>
      <c r="O42" s="26"/>
      <c r="P42" s="26"/>
      <c r="Q42" s="15"/>
      <c r="R42" s="15"/>
      <c r="S42" s="15"/>
      <c r="T42" s="15"/>
      <c r="U42" s="15"/>
      <c r="V42" s="15"/>
      <c r="W42" s="15"/>
      <c r="X42" s="15"/>
      <c r="Y42" s="15"/>
      <c r="Z42" s="15"/>
      <c r="AA42" s="15"/>
      <c r="AB42" s="15"/>
      <c r="AC42" s="15"/>
      <c r="AD42" s="15"/>
      <c r="AE42" s="15"/>
      <c r="AF42" s="15"/>
      <c r="AG42" s="15"/>
      <c r="AH42" s="15"/>
      <c r="AI42" s="15"/>
      <c r="AJ42" s="15"/>
      <c r="AK42" s="15"/>
      <c r="AL42" s="15"/>
      <c r="AM42" s="15"/>
      <c r="AN42" s="15"/>
    </row>
    <row r="43" spans="1:40" ht="12.75">
      <c r="A43" s="15"/>
      <c r="B43" s="15"/>
      <c r="C43" s="26"/>
      <c r="D43" s="15"/>
      <c r="E43" s="15"/>
      <c r="F43" s="3"/>
      <c r="G43" s="26"/>
      <c r="H43" s="15"/>
      <c r="I43" s="26"/>
      <c r="J43" s="15"/>
      <c r="K43" s="26"/>
      <c r="L43" s="15"/>
      <c r="M43" s="26"/>
      <c r="N43" s="26"/>
      <c r="O43" s="26"/>
      <c r="P43" s="26"/>
      <c r="Q43" s="15"/>
      <c r="R43" s="15"/>
      <c r="S43" s="15"/>
      <c r="T43" s="15"/>
      <c r="U43" s="15"/>
      <c r="V43" s="15"/>
      <c r="W43" s="15"/>
      <c r="X43" s="15"/>
      <c r="Y43" s="15"/>
      <c r="Z43" s="15"/>
      <c r="AA43" s="15"/>
      <c r="AB43" s="15"/>
      <c r="AC43" s="15"/>
      <c r="AD43" s="15"/>
      <c r="AE43" s="15"/>
      <c r="AF43" s="15"/>
      <c r="AG43" s="15"/>
      <c r="AH43" s="15"/>
      <c r="AI43" s="15"/>
      <c r="AJ43" s="15"/>
      <c r="AK43" s="15"/>
      <c r="AL43" s="15"/>
      <c r="AM43" s="15"/>
      <c r="AN43" s="15"/>
    </row>
    <row r="44" spans="1:40" ht="12.75">
      <c r="A44" s="15"/>
      <c r="B44" s="15"/>
      <c r="C44" s="26"/>
      <c r="D44" s="15"/>
      <c r="E44" s="15"/>
      <c r="F44" s="3"/>
      <c r="G44" s="26"/>
      <c r="H44" s="15"/>
      <c r="I44" s="26"/>
      <c r="J44" s="15"/>
      <c r="K44" s="26"/>
      <c r="L44" s="15"/>
      <c r="M44" s="26"/>
      <c r="N44" s="26"/>
      <c r="O44" s="26"/>
      <c r="P44" s="26"/>
      <c r="Q44" s="15"/>
      <c r="R44" s="15"/>
      <c r="S44" s="15"/>
      <c r="T44" s="15"/>
      <c r="U44" s="15"/>
      <c r="V44" s="15"/>
      <c r="W44" s="15"/>
      <c r="X44" s="15"/>
      <c r="Y44" s="15"/>
      <c r="Z44" s="15"/>
      <c r="AA44" s="15"/>
      <c r="AB44" s="15"/>
      <c r="AC44" s="15"/>
      <c r="AD44" s="15"/>
      <c r="AE44" s="15"/>
      <c r="AF44" s="15"/>
      <c r="AG44" s="15"/>
      <c r="AH44" s="15"/>
      <c r="AI44" s="15"/>
      <c r="AJ44" s="15"/>
      <c r="AK44" s="15"/>
      <c r="AL44" s="15"/>
      <c r="AM44" s="15"/>
      <c r="AN44" s="15"/>
    </row>
    <row r="45" spans="1:40" ht="12.75">
      <c r="A45" s="15"/>
      <c r="B45" s="15"/>
      <c r="C45" s="26"/>
      <c r="D45" s="15"/>
      <c r="E45" s="15"/>
      <c r="F45" s="3"/>
      <c r="G45" s="26"/>
      <c r="H45" s="15"/>
      <c r="I45" s="26"/>
      <c r="J45" s="15"/>
      <c r="K45" s="26"/>
      <c r="L45" s="15"/>
      <c r="M45" s="26"/>
      <c r="N45" s="26"/>
      <c r="O45" s="26"/>
      <c r="P45" s="26"/>
      <c r="Q45" s="15"/>
      <c r="R45" s="15"/>
      <c r="S45" s="15"/>
      <c r="T45" s="15"/>
      <c r="U45" s="15"/>
      <c r="V45" s="15"/>
      <c r="W45" s="15"/>
      <c r="X45" s="15"/>
      <c r="Y45" s="15"/>
      <c r="Z45" s="15"/>
      <c r="AA45" s="15"/>
      <c r="AB45" s="15"/>
      <c r="AC45" s="15"/>
      <c r="AD45" s="15"/>
      <c r="AE45" s="15"/>
      <c r="AF45" s="15"/>
      <c r="AG45" s="15"/>
      <c r="AH45" s="15"/>
      <c r="AI45" s="15"/>
      <c r="AJ45" s="15"/>
      <c r="AK45" s="15"/>
      <c r="AL45" s="15"/>
      <c r="AM45" s="15"/>
      <c r="AN45" s="15"/>
    </row>
    <row r="46" spans="1:40" ht="12.75">
      <c r="A46" s="15"/>
      <c r="B46" s="15"/>
      <c r="C46" s="26"/>
      <c r="D46" s="15"/>
      <c r="E46" s="15"/>
      <c r="F46" s="3"/>
      <c r="G46" s="26"/>
      <c r="H46" s="15"/>
      <c r="I46" s="26"/>
      <c r="J46" s="15"/>
      <c r="K46" s="26"/>
      <c r="L46" s="15"/>
      <c r="M46" s="26"/>
      <c r="N46" s="26"/>
      <c r="O46" s="26"/>
      <c r="P46" s="26"/>
      <c r="Q46" s="15"/>
      <c r="R46" s="15"/>
      <c r="S46" s="15"/>
      <c r="T46" s="15"/>
      <c r="U46" s="15"/>
      <c r="V46" s="15"/>
      <c r="W46" s="15"/>
      <c r="X46" s="15"/>
      <c r="Y46" s="15"/>
      <c r="Z46" s="15"/>
      <c r="AA46" s="15"/>
      <c r="AB46" s="15"/>
      <c r="AC46" s="15"/>
      <c r="AD46" s="15"/>
      <c r="AE46" s="15"/>
      <c r="AF46" s="15"/>
      <c r="AG46" s="15"/>
      <c r="AH46" s="15"/>
      <c r="AI46" s="15"/>
      <c r="AJ46" s="15"/>
      <c r="AK46" s="15"/>
      <c r="AL46" s="15"/>
      <c r="AM46" s="15"/>
      <c r="AN46" s="15"/>
    </row>
    <row r="47" spans="1:40" ht="12.75">
      <c r="A47" s="15"/>
      <c r="B47" s="15"/>
      <c r="C47" s="26"/>
      <c r="D47" s="15"/>
      <c r="E47" s="15"/>
      <c r="F47" s="3"/>
      <c r="G47" s="26"/>
      <c r="H47" s="15"/>
      <c r="I47" s="26"/>
      <c r="J47" s="15"/>
      <c r="K47" s="26"/>
      <c r="L47" s="15"/>
      <c r="M47" s="26"/>
      <c r="N47" s="26"/>
      <c r="O47" s="26"/>
      <c r="P47" s="26"/>
      <c r="Q47" s="15"/>
      <c r="R47" s="15"/>
      <c r="S47" s="15"/>
      <c r="T47" s="15"/>
      <c r="U47" s="15"/>
      <c r="V47" s="15"/>
      <c r="W47" s="15"/>
      <c r="X47" s="15"/>
      <c r="Y47" s="15"/>
      <c r="Z47" s="15"/>
      <c r="AA47" s="15"/>
      <c r="AB47" s="15"/>
      <c r="AC47" s="15"/>
      <c r="AD47" s="15"/>
      <c r="AE47" s="15"/>
      <c r="AF47" s="15"/>
      <c r="AG47" s="15"/>
      <c r="AH47" s="15"/>
      <c r="AI47" s="15"/>
      <c r="AJ47" s="15"/>
      <c r="AK47" s="15"/>
      <c r="AL47" s="15"/>
      <c r="AM47" s="15"/>
      <c r="AN47" s="15"/>
    </row>
    <row r="48" spans="1:40" ht="12.75">
      <c r="A48" s="15"/>
      <c r="B48" s="15"/>
      <c r="C48" s="26"/>
      <c r="D48" s="15"/>
      <c r="E48" s="15"/>
      <c r="F48" s="3"/>
      <c r="G48" s="26"/>
      <c r="H48" s="15"/>
      <c r="I48" s="26"/>
      <c r="J48" s="15"/>
      <c r="K48" s="26"/>
      <c r="L48" s="15"/>
      <c r="M48" s="26"/>
      <c r="N48" s="26"/>
      <c r="O48" s="26"/>
      <c r="P48" s="26"/>
      <c r="Q48" s="15"/>
      <c r="R48" s="15"/>
      <c r="S48" s="15"/>
      <c r="T48" s="15"/>
      <c r="U48" s="15"/>
      <c r="V48" s="15"/>
      <c r="W48" s="15"/>
      <c r="X48" s="15"/>
      <c r="Y48" s="15"/>
      <c r="Z48" s="15"/>
      <c r="AA48" s="15"/>
      <c r="AB48" s="15"/>
      <c r="AC48" s="15"/>
      <c r="AD48" s="15"/>
      <c r="AE48" s="15"/>
      <c r="AF48" s="15"/>
      <c r="AG48" s="15"/>
      <c r="AH48" s="15"/>
      <c r="AI48" s="15"/>
      <c r="AJ48" s="15"/>
      <c r="AK48" s="15"/>
      <c r="AL48" s="15"/>
      <c r="AM48" s="15"/>
      <c r="AN48" s="15"/>
    </row>
    <row r="49" spans="1:40" ht="12.75">
      <c r="A49" s="15"/>
      <c r="B49" s="15"/>
      <c r="C49" s="26"/>
      <c r="D49" s="15"/>
      <c r="E49" s="15"/>
      <c r="F49" s="3"/>
      <c r="G49" s="26"/>
      <c r="H49" s="15"/>
      <c r="I49" s="26"/>
      <c r="J49" s="15"/>
      <c r="K49" s="26"/>
      <c r="L49" s="15"/>
      <c r="M49" s="26"/>
      <c r="N49" s="26"/>
      <c r="O49" s="26"/>
      <c r="P49" s="26"/>
      <c r="Q49" s="15"/>
      <c r="R49" s="15"/>
      <c r="S49" s="15"/>
      <c r="T49" s="15"/>
      <c r="U49" s="15"/>
      <c r="V49" s="15"/>
      <c r="W49" s="15"/>
      <c r="X49" s="15"/>
      <c r="Y49" s="15"/>
      <c r="Z49" s="15"/>
      <c r="AA49" s="15"/>
      <c r="AB49" s="15"/>
      <c r="AC49" s="15"/>
      <c r="AD49" s="15"/>
      <c r="AE49" s="15"/>
      <c r="AF49" s="15"/>
      <c r="AG49" s="15"/>
      <c r="AH49" s="15"/>
      <c r="AI49" s="15"/>
      <c r="AJ49" s="15"/>
      <c r="AK49" s="15"/>
      <c r="AL49" s="15"/>
      <c r="AM49" s="15"/>
      <c r="AN49" s="15"/>
    </row>
    <row r="50" spans="1:40" ht="12.75">
      <c r="A50" s="15"/>
      <c r="B50" s="15"/>
      <c r="C50" s="26"/>
      <c r="D50" s="15"/>
      <c r="E50" s="15"/>
      <c r="F50" s="3"/>
      <c r="G50" s="26"/>
      <c r="H50" s="15"/>
      <c r="I50" s="26"/>
      <c r="J50" s="15"/>
      <c r="K50" s="26"/>
      <c r="L50" s="15"/>
      <c r="M50" s="26"/>
      <c r="N50" s="26"/>
      <c r="O50" s="26"/>
      <c r="P50" s="26"/>
      <c r="Q50" s="15"/>
      <c r="R50" s="15"/>
      <c r="S50" s="15"/>
      <c r="T50" s="15"/>
      <c r="U50" s="15"/>
      <c r="V50" s="15"/>
      <c r="W50" s="15"/>
      <c r="X50" s="15"/>
      <c r="Y50" s="15"/>
      <c r="Z50" s="15"/>
      <c r="AA50" s="15"/>
      <c r="AB50" s="15"/>
      <c r="AC50" s="15"/>
      <c r="AD50" s="15"/>
      <c r="AE50" s="15"/>
      <c r="AF50" s="15"/>
      <c r="AG50" s="15"/>
      <c r="AH50" s="15"/>
      <c r="AI50" s="15"/>
      <c r="AJ50" s="15"/>
      <c r="AK50" s="15"/>
      <c r="AL50" s="15"/>
      <c r="AM50" s="15"/>
      <c r="AN50" s="15"/>
    </row>
    <row r="51" spans="1:40" ht="12.75">
      <c r="A51" s="15"/>
      <c r="B51" s="15"/>
      <c r="C51" s="26"/>
      <c r="D51" s="15"/>
      <c r="E51" s="15"/>
      <c r="F51" s="3"/>
      <c r="G51" s="26"/>
      <c r="H51" s="15"/>
      <c r="I51" s="26"/>
      <c r="J51" s="15"/>
      <c r="K51" s="26"/>
      <c r="L51" s="15"/>
      <c r="M51" s="26"/>
      <c r="N51" s="26"/>
      <c r="O51" s="26"/>
      <c r="P51" s="26"/>
      <c r="Q51" s="15"/>
      <c r="R51" s="15"/>
      <c r="S51" s="15"/>
      <c r="T51" s="15"/>
      <c r="U51" s="15"/>
      <c r="V51" s="15"/>
      <c r="W51" s="15"/>
      <c r="X51" s="15"/>
      <c r="Y51" s="15"/>
      <c r="Z51" s="15"/>
      <c r="AA51" s="15"/>
      <c r="AB51" s="15"/>
      <c r="AC51" s="15"/>
      <c r="AD51" s="15"/>
      <c r="AE51" s="15"/>
      <c r="AF51" s="15"/>
      <c r="AG51" s="15"/>
      <c r="AH51" s="15"/>
      <c r="AI51" s="15"/>
      <c r="AJ51" s="15"/>
      <c r="AK51" s="15"/>
      <c r="AL51" s="15"/>
      <c r="AM51" s="15"/>
      <c r="AN51" s="15"/>
    </row>
    <row r="52" spans="1:40" ht="12.75">
      <c r="A52" s="15"/>
      <c r="B52" s="15"/>
      <c r="C52" s="26"/>
      <c r="D52" s="15"/>
      <c r="E52" s="15"/>
      <c r="F52" s="3"/>
      <c r="G52" s="26"/>
      <c r="H52" s="15"/>
      <c r="I52" s="26"/>
      <c r="J52" s="15"/>
      <c r="K52" s="26"/>
      <c r="L52" s="15"/>
      <c r="M52" s="26"/>
      <c r="N52" s="26"/>
      <c r="O52" s="26"/>
      <c r="P52" s="26"/>
      <c r="Q52" s="15"/>
      <c r="R52" s="15"/>
      <c r="S52" s="15"/>
      <c r="T52" s="15"/>
      <c r="U52" s="15"/>
      <c r="V52" s="15"/>
      <c r="W52" s="15"/>
      <c r="X52" s="15"/>
      <c r="Y52" s="15"/>
      <c r="Z52" s="15"/>
      <c r="AA52" s="15"/>
      <c r="AB52" s="15"/>
      <c r="AC52" s="15"/>
      <c r="AD52" s="15"/>
      <c r="AE52" s="15"/>
      <c r="AF52" s="15"/>
      <c r="AG52" s="15"/>
      <c r="AH52" s="15"/>
      <c r="AI52" s="15"/>
      <c r="AJ52" s="15"/>
      <c r="AK52" s="15"/>
      <c r="AL52" s="15"/>
      <c r="AM52" s="15"/>
      <c r="AN52" s="15"/>
    </row>
    <row r="53" spans="1:40" ht="12.75">
      <c r="A53" s="15"/>
      <c r="B53" s="15"/>
      <c r="C53" s="26"/>
      <c r="D53" s="15"/>
      <c r="E53" s="15"/>
      <c r="F53" s="3"/>
      <c r="G53" s="26"/>
      <c r="H53" s="15"/>
      <c r="I53" s="26"/>
      <c r="J53" s="15"/>
      <c r="K53" s="26"/>
      <c r="L53" s="15"/>
      <c r="M53" s="26"/>
      <c r="N53" s="26"/>
      <c r="O53" s="26"/>
      <c r="P53" s="26"/>
      <c r="Q53" s="15"/>
      <c r="R53" s="15"/>
      <c r="S53" s="15"/>
      <c r="T53" s="15"/>
      <c r="U53" s="15"/>
      <c r="V53" s="15"/>
      <c r="W53" s="15"/>
      <c r="X53" s="15"/>
      <c r="Y53" s="15"/>
      <c r="Z53" s="15"/>
      <c r="AA53" s="15"/>
      <c r="AB53" s="15"/>
      <c r="AC53" s="15"/>
      <c r="AD53" s="15"/>
      <c r="AE53" s="15"/>
      <c r="AF53" s="15"/>
      <c r="AG53" s="15"/>
      <c r="AH53" s="15"/>
      <c r="AI53" s="15"/>
      <c r="AJ53" s="15"/>
      <c r="AK53" s="15"/>
      <c r="AL53" s="15"/>
      <c r="AM53" s="15"/>
      <c r="AN53" s="15"/>
    </row>
    <row r="54" spans="1:40" ht="12.75">
      <c r="A54" s="15"/>
      <c r="B54" s="15"/>
      <c r="C54" s="26"/>
      <c r="D54" s="15"/>
      <c r="E54" s="15"/>
      <c r="F54" s="3"/>
      <c r="G54" s="26"/>
      <c r="H54" s="15"/>
      <c r="I54" s="26"/>
      <c r="J54" s="15"/>
      <c r="K54" s="26"/>
      <c r="L54" s="15"/>
      <c r="M54" s="26"/>
      <c r="N54" s="26"/>
      <c r="O54" s="26"/>
      <c r="P54" s="26"/>
      <c r="Q54" s="15"/>
      <c r="R54" s="15"/>
      <c r="S54" s="15"/>
      <c r="T54" s="15"/>
      <c r="U54" s="15"/>
      <c r="V54" s="15"/>
      <c r="W54" s="15"/>
      <c r="X54" s="15"/>
      <c r="Y54" s="15"/>
      <c r="Z54" s="15"/>
      <c r="AA54" s="15"/>
      <c r="AB54" s="15"/>
      <c r="AC54" s="15"/>
      <c r="AD54" s="15"/>
      <c r="AE54" s="15"/>
      <c r="AF54" s="15"/>
      <c r="AG54" s="15"/>
      <c r="AH54" s="15"/>
      <c r="AI54" s="15"/>
      <c r="AJ54" s="15"/>
      <c r="AK54" s="15"/>
      <c r="AL54" s="15"/>
      <c r="AM54" s="15"/>
      <c r="AN54" s="15"/>
    </row>
    <row r="55" spans="1:40" ht="12.75">
      <c r="A55" s="15"/>
      <c r="B55" s="15"/>
      <c r="C55" s="26"/>
      <c r="D55" s="15"/>
      <c r="E55" s="15"/>
      <c r="F55" s="3"/>
      <c r="G55" s="26"/>
      <c r="H55" s="15"/>
      <c r="I55" s="26"/>
      <c r="J55" s="15"/>
      <c r="K55" s="26"/>
      <c r="L55" s="15"/>
      <c r="M55" s="26"/>
      <c r="N55" s="26"/>
      <c r="O55" s="26"/>
      <c r="P55" s="26"/>
      <c r="Q55" s="15"/>
      <c r="R55" s="15"/>
      <c r="S55" s="15"/>
      <c r="T55" s="15"/>
      <c r="U55" s="15"/>
      <c r="V55" s="15"/>
      <c r="W55" s="15"/>
      <c r="X55" s="15"/>
      <c r="Y55" s="15"/>
      <c r="Z55" s="15"/>
      <c r="AA55" s="15"/>
      <c r="AB55" s="15"/>
      <c r="AC55" s="15"/>
      <c r="AD55" s="15"/>
      <c r="AE55" s="15"/>
      <c r="AF55" s="15"/>
      <c r="AG55" s="15"/>
      <c r="AH55" s="15"/>
      <c r="AI55" s="15"/>
      <c r="AJ55" s="15"/>
      <c r="AK55" s="15"/>
      <c r="AL55" s="15"/>
      <c r="AM55" s="15"/>
      <c r="AN55" s="15"/>
    </row>
    <row r="56" spans="1:40" ht="12.75">
      <c r="A56" s="15"/>
      <c r="B56" s="15"/>
      <c r="C56" s="26"/>
      <c r="D56" s="15"/>
      <c r="E56" s="15"/>
      <c r="F56" s="3"/>
      <c r="G56" s="26"/>
      <c r="H56" s="15"/>
      <c r="I56" s="26"/>
      <c r="J56" s="15"/>
      <c r="K56" s="26"/>
      <c r="L56" s="15"/>
      <c r="M56" s="26"/>
      <c r="N56" s="26"/>
      <c r="O56" s="26"/>
      <c r="P56" s="26"/>
      <c r="Q56" s="15"/>
      <c r="R56" s="15"/>
      <c r="S56" s="15"/>
      <c r="T56" s="15"/>
      <c r="U56" s="15"/>
      <c r="V56" s="15"/>
      <c r="W56" s="15"/>
      <c r="X56" s="15"/>
      <c r="Y56" s="15"/>
      <c r="Z56" s="15"/>
      <c r="AA56" s="15"/>
      <c r="AB56" s="15"/>
      <c r="AC56" s="15"/>
      <c r="AD56" s="15"/>
      <c r="AE56" s="15"/>
      <c r="AF56" s="15"/>
      <c r="AG56" s="15"/>
      <c r="AH56" s="15"/>
      <c r="AI56" s="15"/>
      <c r="AJ56" s="15"/>
      <c r="AK56" s="15"/>
      <c r="AL56" s="15"/>
      <c r="AM56" s="15"/>
      <c r="AN56" s="15"/>
    </row>
    <row r="57" spans="1:40" ht="12.75">
      <c r="A57" s="15"/>
      <c r="B57" s="15"/>
      <c r="C57" s="26"/>
      <c r="D57" s="15"/>
      <c r="E57" s="15"/>
      <c r="F57" s="3"/>
      <c r="G57" s="26"/>
      <c r="H57" s="15"/>
      <c r="I57" s="26"/>
      <c r="J57" s="15"/>
      <c r="K57" s="26"/>
      <c r="L57" s="15"/>
      <c r="M57" s="26"/>
      <c r="N57" s="26"/>
      <c r="O57" s="26"/>
      <c r="P57" s="26"/>
      <c r="Q57" s="15"/>
      <c r="R57" s="15"/>
      <c r="S57" s="15"/>
      <c r="T57" s="15"/>
      <c r="U57" s="15"/>
      <c r="V57" s="15"/>
      <c r="W57" s="15"/>
      <c r="X57" s="15"/>
      <c r="Y57" s="15"/>
      <c r="Z57" s="15"/>
      <c r="AA57" s="15"/>
      <c r="AB57" s="15"/>
      <c r="AC57" s="15"/>
      <c r="AD57" s="15"/>
      <c r="AE57" s="15"/>
      <c r="AF57" s="15"/>
      <c r="AG57" s="15"/>
      <c r="AH57" s="15"/>
      <c r="AI57" s="15"/>
      <c r="AJ57" s="15"/>
      <c r="AK57" s="15"/>
      <c r="AL57" s="15"/>
      <c r="AM57" s="15"/>
      <c r="AN57" s="15"/>
    </row>
    <row r="58" spans="1:40" ht="12.75">
      <c r="A58" s="15"/>
      <c r="B58" s="15"/>
      <c r="C58" s="26"/>
      <c r="D58" s="15"/>
      <c r="E58" s="15"/>
      <c r="F58" s="3"/>
      <c r="G58" s="26"/>
      <c r="H58" s="15"/>
      <c r="I58" s="26"/>
      <c r="J58" s="15"/>
      <c r="K58" s="26"/>
      <c r="L58" s="15"/>
      <c r="M58" s="26"/>
      <c r="N58" s="26"/>
      <c r="O58" s="26"/>
      <c r="P58" s="26"/>
      <c r="Q58" s="15"/>
      <c r="R58" s="15"/>
      <c r="S58" s="15"/>
      <c r="T58" s="15"/>
      <c r="U58" s="15"/>
      <c r="V58" s="15"/>
      <c r="W58" s="15"/>
      <c r="X58" s="15"/>
      <c r="Y58" s="15"/>
      <c r="Z58" s="15"/>
      <c r="AA58" s="15"/>
      <c r="AB58" s="15"/>
      <c r="AC58" s="15"/>
      <c r="AD58" s="15"/>
      <c r="AE58" s="15"/>
      <c r="AF58" s="15"/>
      <c r="AG58" s="15"/>
      <c r="AH58" s="15"/>
      <c r="AI58" s="15"/>
      <c r="AJ58" s="15"/>
      <c r="AK58" s="15"/>
      <c r="AL58" s="15"/>
      <c r="AM58" s="15"/>
      <c r="AN58" s="15"/>
    </row>
    <row r="59" spans="1:40" ht="12.75">
      <c r="A59" s="15"/>
      <c r="B59" s="15"/>
      <c r="C59" s="26"/>
      <c r="D59" s="15"/>
      <c r="E59" s="15"/>
      <c r="F59" s="3"/>
      <c r="G59" s="26"/>
      <c r="H59" s="15"/>
      <c r="I59" s="26"/>
      <c r="J59" s="15"/>
      <c r="K59" s="26"/>
      <c r="L59" s="15"/>
      <c r="M59" s="26"/>
      <c r="N59" s="26"/>
      <c r="O59" s="26"/>
      <c r="P59" s="26"/>
      <c r="Q59" s="15"/>
      <c r="R59" s="15"/>
      <c r="S59" s="15"/>
      <c r="T59" s="15"/>
      <c r="U59" s="15"/>
      <c r="V59" s="15"/>
      <c r="W59" s="15"/>
      <c r="X59" s="15"/>
      <c r="Y59" s="15"/>
      <c r="Z59" s="15"/>
      <c r="AA59" s="15"/>
      <c r="AB59" s="15"/>
      <c r="AC59" s="15"/>
      <c r="AD59" s="15"/>
      <c r="AE59" s="15"/>
      <c r="AF59" s="15"/>
      <c r="AG59" s="15"/>
      <c r="AH59" s="15"/>
      <c r="AI59" s="15"/>
      <c r="AJ59" s="15"/>
      <c r="AK59" s="15"/>
      <c r="AL59" s="15"/>
      <c r="AM59" s="15"/>
      <c r="AN59" s="15"/>
    </row>
    <row r="60" spans="1:40" ht="12.75">
      <c r="A60" s="15"/>
      <c r="B60" s="15"/>
      <c r="C60" s="26"/>
      <c r="D60" s="15"/>
      <c r="E60" s="15"/>
      <c r="F60" s="3"/>
      <c r="G60" s="26"/>
      <c r="H60" s="15"/>
      <c r="I60" s="26"/>
      <c r="J60" s="15"/>
      <c r="K60" s="26"/>
      <c r="L60" s="15"/>
      <c r="M60" s="26"/>
      <c r="N60" s="26"/>
      <c r="O60" s="26"/>
      <c r="P60" s="26"/>
      <c r="Q60" s="15"/>
      <c r="R60" s="15"/>
      <c r="S60" s="15"/>
      <c r="T60" s="15"/>
      <c r="U60" s="15"/>
      <c r="V60" s="15"/>
      <c r="W60" s="15"/>
      <c r="X60" s="15"/>
      <c r="Y60" s="15"/>
      <c r="Z60" s="15"/>
      <c r="AA60" s="15"/>
      <c r="AB60" s="15"/>
      <c r="AC60" s="15"/>
      <c r="AD60" s="15"/>
      <c r="AE60" s="15"/>
      <c r="AF60" s="15"/>
      <c r="AG60" s="15"/>
      <c r="AH60" s="15"/>
      <c r="AI60" s="15"/>
      <c r="AJ60" s="15"/>
      <c r="AK60" s="15"/>
      <c r="AL60" s="15"/>
      <c r="AM60" s="15"/>
      <c r="AN60" s="15"/>
    </row>
    <row r="61" spans="1:40" ht="12.75">
      <c r="A61" s="15"/>
      <c r="B61" s="15"/>
      <c r="C61" s="26"/>
      <c r="D61" s="15"/>
      <c r="E61" s="15"/>
      <c r="F61" s="3"/>
      <c r="G61" s="26"/>
      <c r="H61" s="15"/>
      <c r="I61" s="26"/>
      <c r="J61" s="15"/>
      <c r="K61" s="26"/>
      <c r="L61" s="15"/>
      <c r="M61" s="26"/>
      <c r="N61" s="26"/>
      <c r="O61" s="26"/>
      <c r="P61" s="26"/>
      <c r="Q61" s="15"/>
      <c r="R61" s="15"/>
      <c r="S61" s="15"/>
      <c r="T61" s="15"/>
      <c r="U61" s="15"/>
      <c r="V61" s="15"/>
      <c r="W61" s="15"/>
      <c r="X61" s="15"/>
      <c r="Y61" s="15"/>
      <c r="Z61" s="15"/>
      <c r="AA61" s="15"/>
      <c r="AB61" s="15"/>
      <c r="AC61" s="15"/>
      <c r="AD61" s="15"/>
      <c r="AE61" s="15"/>
      <c r="AF61" s="15"/>
      <c r="AG61" s="15"/>
      <c r="AH61" s="15"/>
      <c r="AI61" s="15"/>
      <c r="AJ61" s="15"/>
      <c r="AK61" s="15"/>
      <c r="AL61" s="15"/>
      <c r="AM61" s="15"/>
      <c r="AN61" s="15"/>
    </row>
    <row r="62" spans="1:40" ht="12.75">
      <c r="A62" s="15"/>
      <c r="B62" s="15"/>
      <c r="C62" s="26"/>
      <c r="D62" s="15"/>
      <c r="E62" s="15"/>
      <c r="F62" s="3"/>
      <c r="G62" s="26"/>
      <c r="H62" s="15"/>
      <c r="I62" s="26"/>
      <c r="J62" s="15"/>
      <c r="K62" s="26"/>
      <c r="L62" s="15"/>
      <c r="M62" s="26"/>
      <c r="N62" s="26"/>
      <c r="O62" s="26"/>
      <c r="P62" s="26"/>
      <c r="Q62" s="15"/>
      <c r="R62" s="15"/>
      <c r="S62" s="15"/>
      <c r="T62" s="15"/>
      <c r="U62" s="15"/>
      <c r="V62" s="15"/>
      <c r="W62" s="15"/>
      <c r="X62" s="15"/>
      <c r="Y62" s="15"/>
      <c r="Z62" s="15"/>
      <c r="AA62" s="15"/>
      <c r="AB62" s="15"/>
      <c r="AC62" s="15"/>
      <c r="AD62" s="15"/>
      <c r="AE62" s="15"/>
      <c r="AF62" s="15"/>
      <c r="AG62" s="15"/>
      <c r="AH62" s="15"/>
      <c r="AI62" s="15"/>
      <c r="AJ62" s="15"/>
      <c r="AK62" s="15"/>
      <c r="AL62" s="15"/>
      <c r="AM62" s="15"/>
      <c r="AN62" s="15"/>
    </row>
    <row r="63" spans="1:40" ht="12.75">
      <c r="A63" s="15"/>
      <c r="B63" s="15"/>
      <c r="C63" s="26"/>
      <c r="D63" s="15"/>
      <c r="E63" s="15"/>
      <c r="F63" s="3"/>
      <c r="G63" s="26"/>
      <c r="H63" s="15"/>
      <c r="I63" s="26"/>
      <c r="J63" s="15"/>
      <c r="K63" s="26"/>
      <c r="L63" s="15"/>
      <c r="M63" s="26"/>
      <c r="N63" s="26"/>
      <c r="O63" s="26"/>
      <c r="P63" s="26"/>
      <c r="Q63" s="15"/>
      <c r="R63" s="15"/>
      <c r="S63" s="15"/>
      <c r="T63" s="15"/>
      <c r="U63" s="15"/>
      <c r="V63" s="15"/>
      <c r="W63" s="15"/>
      <c r="X63" s="15"/>
      <c r="Y63" s="15"/>
      <c r="Z63" s="15"/>
      <c r="AA63" s="15"/>
      <c r="AB63" s="15"/>
      <c r="AC63" s="15"/>
      <c r="AD63" s="15"/>
      <c r="AE63" s="15"/>
      <c r="AF63" s="15"/>
      <c r="AG63" s="15"/>
      <c r="AH63" s="15"/>
      <c r="AI63" s="15"/>
      <c r="AJ63" s="15"/>
      <c r="AK63" s="15"/>
      <c r="AL63" s="15"/>
      <c r="AM63" s="15"/>
      <c r="AN63" s="15"/>
    </row>
    <row r="64" spans="1:40" ht="12.75">
      <c r="A64" s="15"/>
      <c r="B64" s="15"/>
      <c r="C64" s="26"/>
      <c r="D64" s="15"/>
      <c r="E64" s="15"/>
      <c r="F64" s="3"/>
      <c r="G64" s="26"/>
      <c r="H64" s="15"/>
      <c r="I64" s="26"/>
      <c r="J64" s="15"/>
      <c r="K64" s="26"/>
      <c r="L64" s="15"/>
      <c r="M64" s="26"/>
      <c r="N64" s="26"/>
      <c r="O64" s="26"/>
      <c r="P64" s="26"/>
      <c r="Q64" s="15"/>
      <c r="R64" s="15"/>
      <c r="S64" s="15"/>
      <c r="T64" s="15"/>
      <c r="U64" s="15"/>
      <c r="V64" s="15"/>
      <c r="W64" s="15"/>
      <c r="X64" s="15"/>
      <c r="Y64" s="15"/>
      <c r="Z64" s="15"/>
      <c r="AA64" s="15"/>
      <c r="AB64" s="15"/>
      <c r="AC64" s="15"/>
      <c r="AD64" s="15"/>
      <c r="AE64" s="15"/>
      <c r="AF64" s="15"/>
      <c r="AG64" s="15"/>
      <c r="AH64" s="15"/>
      <c r="AI64" s="15"/>
      <c r="AJ64" s="15"/>
      <c r="AK64" s="15"/>
      <c r="AL64" s="15"/>
      <c r="AM64" s="15"/>
      <c r="AN64" s="15"/>
    </row>
    <row r="65" spans="1:40" ht="12.75">
      <c r="A65" s="15"/>
      <c r="B65" s="15"/>
      <c r="C65" s="26"/>
      <c r="D65" s="15"/>
      <c r="E65" s="15"/>
      <c r="F65" s="3"/>
      <c r="G65" s="26"/>
      <c r="H65" s="15"/>
      <c r="I65" s="26"/>
      <c r="J65" s="15"/>
      <c r="K65" s="26"/>
      <c r="L65" s="15"/>
      <c r="M65" s="26"/>
      <c r="N65" s="26"/>
      <c r="O65" s="26"/>
      <c r="P65" s="26"/>
      <c r="Q65" s="15"/>
      <c r="R65" s="15"/>
      <c r="S65" s="15"/>
      <c r="T65" s="15"/>
      <c r="U65" s="15"/>
      <c r="V65" s="15"/>
      <c r="W65" s="15"/>
      <c r="X65" s="15"/>
      <c r="Y65" s="15"/>
      <c r="Z65" s="15"/>
      <c r="AA65" s="15"/>
      <c r="AB65" s="15"/>
      <c r="AC65" s="15"/>
      <c r="AD65" s="15"/>
      <c r="AE65" s="15"/>
      <c r="AF65" s="15"/>
      <c r="AG65" s="15"/>
      <c r="AH65" s="15"/>
      <c r="AI65" s="15"/>
      <c r="AJ65" s="15"/>
      <c r="AK65" s="15"/>
      <c r="AL65" s="15"/>
      <c r="AM65" s="15"/>
      <c r="AN65" s="15"/>
    </row>
    <row r="66" spans="1:40" ht="12.75">
      <c r="A66" s="15"/>
      <c r="B66" s="15"/>
      <c r="C66" s="26"/>
      <c r="D66" s="15"/>
      <c r="E66" s="15"/>
      <c r="F66" s="3"/>
      <c r="G66" s="26"/>
      <c r="H66" s="15"/>
      <c r="I66" s="26"/>
      <c r="J66" s="15"/>
      <c r="K66" s="26"/>
      <c r="L66" s="15"/>
      <c r="M66" s="26"/>
      <c r="N66" s="26"/>
      <c r="O66" s="26"/>
      <c r="P66" s="26"/>
      <c r="Q66" s="15"/>
      <c r="R66" s="15"/>
      <c r="S66" s="15"/>
      <c r="T66" s="15"/>
      <c r="U66" s="15"/>
      <c r="V66" s="15"/>
      <c r="W66" s="15"/>
      <c r="X66" s="15"/>
      <c r="Y66" s="15"/>
      <c r="Z66" s="15"/>
      <c r="AA66" s="15"/>
      <c r="AB66" s="15"/>
      <c r="AC66" s="15"/>
      <c r="AD66" s="15"/>
      <c r="AE66" s="15"/>
      <c r="AF66" s="15"/>
      <c r="AG66" s="15"/>
      <c r="AH66" s="15"/>
      <c r="AI66" s="15"/>
      <c r="AJ66" s="15"/>
      <c r="AK66" s="15"/>
      <c r="AL66" s="15"/>
      <c r="AM66" s="15"/>
      <c r="AN66" s="15"/>
    </row>
    <row r="67" spans="1:40" ht="12.75">
      <c r="A67" s="15"/>
      <c r="B67" s="15"/>
      <c r="C67" s="26"/>
      <c r="D67" s="15"/>
      <c r="E67" s="15"/>
      <c r="F67" s="3"/>
      <c r="G67" s="26"/>
      <c r="H67" s="15"/>
      <c r="I67" s="26"/>
      <c r="J67" s="15"/>
      <c r="K67" s="26"/>
      <c r="L67" s="15"/>
      <c r="M67" s="26"/>
      <c r="N67" s="26"/>
      <c r="O67" s="26"/>
      <c r="P67" s="26"/>
      <c r="Q67" s="15"/>
      <c r="R67" s="15"/>
      <c r="S67" s="15"/>
      <c r="T67" s="15"/>
      <c r="U67" s="15"/>
      <c r="V67" s="15"/>
      <c r="W67" s="15"/>
      <c r="X67" s="15"/>
      <c r="Y67" s="15"/>
      <c r="Z67" s="15"/>
      <c r="AA67" s="15"/>
      <c r="AB67" s="15"/>
      <c r="AC67" s="15"/>
      <c r="AD67" s="15"/>
      <c r="AE67" s="15"/>
      <c r="AF67" s="15"/>
      <c r="AG67" s="15"/>
      <c r="AH67" s="15"/>
      <c r="AI67" s="15"/>
      <c r="AJ67" s="15"/>
      <c r="AK67" s="15"/>
      <c r="AL67" s="15"/>
      <c r="AM67" s="15"/>
      <c r="AN67" s="15"/>
    </row>
    <row r="68" spans="1:40" ht="12.75">
      <c r="A68" s="15"/>
      <c r="B68" s="15"/>
      <c r="C68" s="26"/>
      <c r="D68" s="15"/>
      <c r="E68" s="15"/>
      <c r="F68" s="3"/>
      <c r="G68" s="26"/>
      <c r="H68" s="15"/>
      <c r="I68" s="26"/>
      <c r="J68" s="15"/>
      <c r="K68" s="26"/>
      <c r="L68" s="15"/>
      <c r="M68" s="26"/>
      <c r="N68" s="26"/>
      <c r="O68" s="26"/>
      <c r="P68" s="26"/>
      <c r="Q68" s="15"/>
      <c r="R68" s="15"/>
      <c r="S68" s="15"/>
      <c r="T68" s="15"/>
      <c r="U68" s="15"/>
      <c r="V68" s="15"/>
      <c r="W68" s="15"/>
      <c r="X68" s="15"/>
      <c r="Y68" s="15"/>
      <c r="Z68" s="15"/>
      <c r="AA68" s="15"/>
      <c r="AB68" s="15"/>
      <c r="AC68" s="15"/>
      <c r="AD68" s="15"/>
      <c r="AE68" s="15"/>
      <c r="AF68" s="15"/>
      <c r="AG68" s="15"/>
      <c r="AH68" s="15"/>
      <c r="AI68" s="15"/>
      <c r="AJ68" s="15"/>
      <c r="AK68" s="15"/>
      <c r="AL68" s="15"/>
      <c r="AM68" s="15"/>
      <c r="AN68" s="15"/>
    </row>
    <row r="69" spans="1:40" ht="12.75">
      <c r="A69" s="15"/>
      <c r="B69" s="15"/>
      <c r="C69" s="26"/>
      <c r="D69" s="15"/>
      <c r="E69" s="15"/>
      <c r="F69" s="3"/>
      <c r="G69" s="26"/>
      <c r="H69" s="15"/>
      <c r="I69" s="26"/>
      <c r="J69" s="15"/>
      <c r="K69" s="26"/>
      <c r="L69" s="15"/>
      <c r="M69" s="26"/>
      <c r="N69" s="26"/>
      <c r="O69" s="26"/>
      <c r="P69" s="26"/>
      <c r="Q69" s="15"/>
      <c r="R69" s="15"/>
      <c r="S69" s="15"/>
      <c r="T69" s="15"/>
      <c r="U69" s="15"/>
      <c r="V69" s="15"/>
      <c r="W69" s="15"/>
      <c r="X69" s="15"/>
      <c r="Y69" s="15"/>
      <c r="Z69" s="15"/>
      <c r="AA69" s="15"/>
      <c r="AB69" s="15"/>
      <c r="AC69" s="15"/>
      <c r="AD69" s="15"/>
      <c r="AE69" s="15"/>
      <c r="AF69" s="15"/>
      <c r="AG69" s="15"/>
      <c r="AH69" s="15"/>
      <c r="AI69" s="15"/>
      <c r="AJ69" s="15"/>
      <c r="AK69" s="15"/>
      <c r="AL69" s="15"/>
      <c r="AM69" s="15"/>
      <c r="AN69" s="15"/>
    </row>
    <row r="70" spans="1:40" ht="12.75">
      <c r="A70" s="15"/>
      <c r="B70" s="15"/>
      <c r="C70" s="26"/>
      <c r="D70" s="15"/>
      <c r="E70" s="15"/>
      <c r="F70" s="3"/>
      <c r="G70" s="26"/>
      <c r="H70" s="15"/>
      <c r="I70" s="26"/>
      <c r="J70" s="15"/>
      <c r="K70" s="26"/>
      <c r="L70" s="15"/>
      <c r="M70" s="26"/>
      <c r="N70" s="26"/>
      <c r="O70" s="26"/>
      <c r="P70" s="26"/>
      <c r="Q70" s="15"/>
      <c r="R70" s="15"/>
      <c r="S70" s="15"/>
      <c r="T70" s="15"/>
      <c r="U70" s="15"/>
      <c r="V70" s="15"/>
      <c r="W70" s="15"/>
      <c r="X70" s="15"/>
      <c r="Y70" s="15"/>
      <c r="Z70" s="15"/>
      <c r="AA70" s="15"/>
      <c r="AB70" s="15"/>
      <c r="AC70" s="15"/>
      <c r="AD70" s="15"/>
      <c r="AE70" s="15"/>
      <c r="AF70" s="15"/>
      <c r="AG70" s="15"/>
      <c r="AH70" s="15"/>
      <c r="AI70" s="15"/>
      <c r="AJ70" s="15"/>
      <c r="AK70" s="15"/>
      <c r="AL70" s="15"/>
      <c r="AM70" s="15"/>
      <c r="AN70" s="15"/>
    </row>
    <row r="71" spans="1:40" ht="12.75">
      <c r="A71" s="15"/>
      <c r="B71" s="15"/>
      <c r="C71" s="26"/>
      <c r="D71" s="15"/>
      <c r="E71" s="15"/>
      <c r="F71" s="3"/>
      <c r="G71" s="26"/>
      <c r="H71" s="15"/>
      <c r="I71" s="26"/>
      <c r="J71" s="15"/>
      <c r="K71" s="26"/>
      <c r="L71" s="15"/>
      <c r="M71" s="26"/>
      <c r="N71" s="26"/>
      <c r="O71" s="26"/>
      <c r="P71" s="26"/>
      <c r="Q71" s="15"/>
      <c r="R71" s="15"/>
      <c r="S71" s="15"/>
      <c r="T71" s="15"/>
      <c r="U71" s="15"/>
      <c r="V71" s="15"/>
      <c r="W71" s="15"/>
      <c r="X71" s="15"/>
      <c r="Y71" s="15"/>
      <c r="Z71" s="15"/>
      <c r="AA71" s="15"/>
      <c r="AB71" s="15"/>
      <c r="AC71" s="15"/>
      <c r="AD71" s="15"/>
      <c r="AE71" s="15"/>
      <c r="AF71" s="15"/>
      <c r="AG71" s="15"/>
      <c r="AH71" s="15"/>
      <c r="AI71" s="15"/>
      <c r="AJ71" s="15"/>
      <c r="AK71" s="15"/>
      <c r="AL71" s="15"/>
      <c r="AM71" s="15"/>
      <c r="AN71" s="15"/>
    </row>
    <row r="72" spans="1:40" ht="12.75">
      <c r="A72" s="15"/>
      <c r="B72" s="15"/>
      <c r="C72" s="26"/>
      <c r="D72" s="15"/>
      <c r="E72" s="15"/>
      <c r="F72" s="3"/>
      <c r="G72" s="26"/>
      <c r="H72" s="15"/>
      <c r="I72" s="26"/>
      <c r="J72" s="15"/>
      <c r="K72" s="26"/>
      <c r="L72" s="15"/>
      <c r="M72" s="26"/>
      <c r="N72" s="26"/>
      <c r="O72" s="26"/>
      <c r="P72" s="26"/>
      <c r="Q72" s="15"/>
      <c r="R72" s="15"/>
      <c r="S72" s="15"/>
      <c r="T72" s="15"/>
      <c r="U72" s="15"/>
      <c r="V72" s="15"/>
      <c r="W72" s="15"/>
      <c r="X72" s="15"/>
      <c r="Y72" s="15"/>
      <c r="Z72" s="15"/>
      <c r="AA72" s="15"/>
      <c r="AB72" s="15"/>
      <c r="AC72" s="15"/>
      <c r="AD72" s="15"/>
      <c r="AE72" s="15"/>
      <c r="AF72" s="15"/>
      <c r="AG72" s="15"/>
      <c r="AH72" s="15"/>
      <c r="AI72" s="15"/>
      <c r="AJ72" s="15"/>
      <c r="AK72" s="15"/>
      <c r="AL72" s="15"/>
      <c r="AM72" s="15"/>
      <c r="AN72" s="15"/>
    </row>
    <row r="73" spans="1:40" ht="12.75">
      <c r="A73" s="15"/>
      <c r="B73" s="15"/>
      <c r="C73" s="26"/>
      <c r="D73" s="15"/>
      <c r="E73" s="15"/>
      <c r="F73" s="3"/>
      <c r="G73" s="26"/>
      <c r="H73" s="15"/>
      <c r="I73" s="26"/>
      <c r="J73" s="15"/>
      <c r="K73" s="26"/>
      <c r="L73" s="15"/>
      <c r="M73" s="26"/>
      <c r="N73" s="26"/>
      <c r="O73" s="26"/>
      <c r="P73" s="26"/>
      <c r="Q73" s="15"/>
      <c r="R73" s="15"/>
      <c r="S73" s="15"/>
      <c r="T73" s="15"/>
      <c r="U73" s="15"/>
      <c r="V73" s="15"/>
      <c r="W73" s="15"/>
      <c r="X73" s="15"/>
      <c r="Y73" s="15"/>
      <c r="Z73" s="15"/>
      <c r="AA73" s="15"/>
      <c r="AB73" s="15"/>
      <c r="AC73" s="15"/>
      <c r="AD73" s="15"/>
      <c r="AE73" s="15"/>
      <c r="AF73" s="15"/>
      <c r="AG73" s="15"/>
      <c r="AH73" s="15"/>
      <c r="AI73" s="15"/>
      <c r="AJ73" s="15"/>
      <c r="AK73" s="15"/>
      <c r="AL73" s="15"/>
      <c r="AM73" s="15"/>
      <c r="AN73" s="15"/>
    </row>
    <row r="74" spans="1:40" ht="12.75">
      <c r="A74" s="15"/>
      <c r="B74" s="15"/>
      <c r="C74" s="26"/>
      <c r="D74" s="15"/>
      <c r="E74" s="15"/>
      <c r="F74" s="3"/>
      <c r="G74" s="26"/>
      <c r="H74" s="15"/>
      <c r="I74" s="26"/>
      <c r="J74" s="15"/>
      <c r="K74" s="26"/>
      <c r="L74" s="15"/>
      <c r="M74" s="26"/>
      <c r="N74" s="26"/>
      <c r="O74" s="26"/>
      <c r="P74" s="26"/>
      <c r="Q74" s="15"/>
      <c r="R74" s="15"/>
      <c r="S74" s="15"/>
      <c r="T74" s="15"/>
      <c r="U74" s="15"/>
      <c r="V74" s="15"/>
      <c r="W74" s="15"/>
      <c r="X74" s="15"/>
      <c r="Y74" s="15"/>
      <c r="Z74" s="15"/>
      <c r="AA74" s="15"/>
      <c r="AB74" s="15"/>
      <c r="AC74" s="15"/>
      <c r="AD74" s="15"/>
      <c r="AE74" s="15"/>
      <c r="AF74" s="15"/>
      <c r="AG74" s="15"/>
      <c r="AH74" s="15"/>
      <c r="AI74" s="15"/>
      <c r="AJ74" s="15"/>
      <c r="AK74" s="15"/>
      <c r="AL74" s="15"/>
      <c r="AM74" s="15"/>
      <c r="AN74" s="15"/>
    </row>
    <row r="75" spans="1:40" ht="12.75">
      <c r="A75" s="15"/>
      <c r="B75" s="15"/>
      <c r="C75" s="26"/>
      <c r="D75" s="15"/>
      <c r="E75" s="15"/>
      <c r="F75" s="3"/>
      <c r="G75" s="26"/>
      <c r="H75" s="15"/>
      <c r="I75" s="26"/>
      <c r="J75" s="15"/>
      <c r="K75" s="26"/>
      <c r="L75" s="15"/>
      <c r="M75" s="26"/>
      <c r="N75" s="26"/>
      <c r="O75" s="26"/>
      <c r="P75" s="26"/>
      <c r="Q75" s="15"/>
      <c r="R75" s="15"/>
      <c r="S75" s="15"/>
      <c r="T75" s="15"/>
      <c r="U75" s="15"/>
      <c r="V75" s="15"/>
      <c r="W75" s="15"/>
      <c r="X75" s="15"/>
      <c r="Y75" s="15"/>
      <c r="Z75" s="15"/>
      <c r="AA75" s="15"/>
      <c r="AB75" s="15"/>
      <c r="AC75" s="15"/>
      <c r="AD75" s="15"/>
      <c r="AE75" s="15"/>
      <c r="AF75" s="15"/>
      <c r="AG75" s="15"/>
      <c r="AH75" s="15"/>
      <c r="AI75" s="15"/>
      <c r="AJ75" s="15"/>
      <c r="AK75" s="15"/>
      <c r="AL75" s="15"/>
      <c r="AM75" s="15"/>
      <c r="AN75" s="15"/>
    </row>
    <row r="76" spans="1:40" ht="12.75">
      <c r="A76" s="15"/>
      <c r="B76" s="15"/>
      <c r="C76" s="26"/>
      <c r="D76" s="15"/>
      <c r="E76" s="15"/>
      <c r="F76" s="3"/>
      <c r="G76" s="26"/>
      <c r="H76" s="15"/>
      <c r="I76" s="26"/>
      <c r="J76" s="15"/>
      <c r="K76" s="26"/>
      <c r="L76" s="15"/>
      <c r="M76" s="26"/>
      <c r="N76" s="26"/>
      <c r="O76" s="26"/>
      <c r="P76" s="26"/>
      <c r="Q76" s="15"/>
      <c r="R76" s="15"/>
      <c r="S76" s="15"/>
      <c r="T76" s="15"/>
      <c r="U76" s="15"/>
      <c r="V76" s="15"/>
      <c r="W76" s="15"/>
      <c r="X76" s="15"/>
      <c r="Y76" s="15"/>
      <c r="Z76" s="15"/>
      <c r="AA76" s="15"/>
      <c r="AB76" s="15"/>
      <c r="AC76" s="15"/>
      <c r="AD76" s="15"/>
      <c r="AE76" s="15"/>
      <c r="AF76" s="15"/>
      <c r="AG76" s="15"/>
      <c r="AH76" s="15"/>
      <c r="AI76" s="15"/>
      <c r="AJ76" s="15"/>
      <c r="AK76" s="15"/>
      <c r="AL76" s="15"/>
      <c r="AM76" s="15"/>
      <c r="AN76" s="15"/>
    </row>
    <row r="77" spans="1:40" ht="12.75">
      <c r="A77" s="15"/>
      <c r="B77" s="15"/>
      <c r="C77" s="26"/>
      <c r="D77" s="15"/>
      <c r="E77" s="15"/>
      <c r="F77" s="3"/>
      <c r="G77" s="26"/>
      <c r="H77" s="15"/>
      <c r="I77" s="26"/>
      <c r="J77" s="15"/>
      <c r="K77" s="26"/>
      <c r="L77" s="15"/>
      <c r="M77" s="26"/>
      <c r="N77" s="26"/>
      <c r="O77" s="26"/>
      <c r="P77" s="26"/>
      <c r="Q77" s="15"/>
      <c r="R77" s="15"/>
      <c r="S77" s="15"/>
      <c r="T77" s="15"/>
      <c r="U77" s="15"/>
      <c r="V77" s="15"/>
      <c r="W77" s="15"/>
      <c r="X77" s="15"/>
      <c r="Y77" s="15"/>
      <c r="Z77" s="15"/>
      <c r="AA77" s="15"/>
      <c r="AB77" s="15"/>
      <c r="AC77" s="15"/>
      <c r="AD77" s="15"/>
      <c r="AE77" s="15"/>
      <c r="AF77" s="15"/>
      <c r="AG77" s="15"/>
      <c r="AH77" s="15"/>
      <c r="AI77" s="15"/>
      <c r="AJ77" s="15"/>
      <c r="AK77" s="15"/>
      <c r="AL77" s="15"/>
      <c r="AM77" s="15"/>
      <c r="AN77" s="15"/>
    </row>
    <row r="78" spans="1:40" ht="12.75">
      <c r="A78" s="15"/>
      <c r="B78" s="15"/>
      <c r="C78" s="26"/>
      <c r="D78" s="15"/>
      <c r="E78" s="15"/>
      <c r="F78" s="3"/>
      <c r="G78" s="26"/>
      <c r="H78" s="15"/>
      <c r="I78" s="26"/>
      <c r="J78" s="15"/>
      <c r="K78" s="26"/>
      <c r="L78" s="15"/>
      <c r="M78" s="26"/>
      <c r="N78" s="26"/>
      <c r="O78" s="26"/>
      <c r="P78" s="26"/>
      <c r="Q78" s="15"/>
      <c r="R78" s="15"/>
      <c r="S78" s="15"/>
      <c r="T78" s="15"/>
      <c r="U78" s="15"/>
      <c r="V78" s="15"/>
      <c r="W78" s="15"/>
      <c r="X78" s="15"/>
      <c r="Y78" s="15"/>
      <c r="Z78" s="15"/>
      <c r="AA78" s="15"/>
      <c r="AB78" s="15"/>
      <c r="AC78" s="15"/>
      <c r="AD78" s="15"/>
      <c r="AE78" s="15"/>
      <c r="AF78" s="15"/>
      <c r="AG78" s="15"/>
      <c r="AH78" s="15"/>
      <c r="AI78" s="15"/>
      <c r="AJ78" s="15"/>
      <c r="AK78" s="15"/>
      <c r="AL78" s="15"/>
      <c r="AM78" s="15"/>
      <c r="AN78" s="15"/>
    </row>
    <row r="79" spans="1:40" ht="12.75">
      <c r="A79" s="15"/>
      <c r="B79" s="15"/>
      <c r="C79" s="26"/>
      <c r="D79" s="15"/>
      <c r="E79" s="15"/>
      <c r="F79" s="3"/>
      <c r="G79" s="26"/>
      <c r="H79" s="15"/>
      <c r="I79" s="26"/>
      <c r="J79" s="15"/>
      <c r="K79" s="26"/>
      <c r="L79" s="15"/>
      <c r="M79" s="26"/>
      <c r="N79" s="26"/>
      <c r="O79" s="26"/>
      <c r="P79" s="26"/>
      <c r="Q79" s="15"/>
      <c r="R79" s="15"/>
      <c r="S79" s="15"/>
      <c r="T79" s="15"/>
      <c r="U79" s="15"/>
      <c r="V79" s="15"/>
      <c r="W79" s="15"/>
      <c r="X79" s="15"/>
      <c r="Y79" s="15"/>
      <c r="Z79" s="15"/>
      <c r="AA79" s="15"/>
      <c r="AB79" s="15"/>
      <c r="AC79" s="15"/>
      <c r="AD79" s="15"/>
      <c r="AE79" s="15"/>
      <c r="AF79" s="15"/>
      <c r="AG79" s="15"/>
      <c r="AH79" s="15"/>
      <c r="AI79" s="15"/>
      <c r="AJ79" s="15"/>
      <c r="AK79" s="15"/>
      <c r="AL79" s="15"/>
      <c r="AM79" s="15"/>
      <c r="AN79" s="15"/>
    </row>
    <row r="80" spans="1:40" ht="12.75">
      <c r="A80" s="15"/>
      <c r="B80" s="15"/>
      <c r="C80" s="26"/>
      <c r="D80" s="15"/>
      <c r="E80" s="15"/>
      <c r="F80" s="3"/>
      <c r="G80" s="26"/>
      <c r="H80" s="15"/>
      <c r="I80" s="26"/>
      <c r="J80" s="15"/>
      <c r="K80" s="26"/>
      <c r="L80" s="15"/>
      <c r="M80" s="26"/>
      <c r="N80" s="26"/>
      <c r="O80" s="26"/>
      <c r="P80" s="26"/>
      <c r="Q80" s="15"/>
      <c r="R80" s="15"/>
      <c r="S80" s="15"/>
      <c r="T80" s="15"/>
      <c r="U80" s="15"/>
      <c r="V80" s="15"/>
      <c r="W80" s="15"/>
      <c r="X80" s="15"/>
      <c r="Y80" s="15"/>
      <c r="Z80" s="15"/>
      <c r="AA80" s="15"/>
      <c r="AB80" s="15"/>
      <c r="AC80" s="15"/>
      <c r="AD80" s="15"/>
      <c r="AE80" s="15"/>
      <c r="AF80" s="15"/>
      <c r="AG80" s="15"/>
      <c r="AH80" s="15"/>
      <c r="AI80" s="15"/>
      <c r="AJ80" s="15"/>
      <c r="AK80" s="15"/>
      <c r="AL80" s="15"/>
      <c r="AM80" s="15"/>
      <c r="AN80" s="15"/>
    </row>
    <row r="81" spans="1:40" ht="12.75">
      <c r="A81" s="15"/>
      <c r="B81" s="15"/>
      <c r="C81" s="26"/>
      <c r="D81" s="15"/>
      <c r="E81" s="15"/>
      <c r="F81" s="3"/>
      <c r="G81" s="26"/>
      <c r="H81" s="15"/>
      <c r="I81" s="26"/>
      <c r="J81" s="15"/>
      <c r="K81" s="26"/>
      <c r="L81" s="15"/>
      <c r="M81" s="26"/>
      <c r="N81" s="26"/>
      <c r="O81" s="26"/>
      <c r="P81" s="26"/>
      <c r="Q81" s="15"/>
      <c r="R81" s="15"/>
      <c r="S81" s="15"/>
      <c r="T81" s="15"/>
      <c r="U81" s="15"/>
      <c r="V81" s="15"/>
      <c r="W81" s="15"/>
      <c r="X81" s="15"/>
      <c r="Y81" s="15"/>
      <c r="Z81" s="15"/>
      <c r="AA81" s="15"/>
      <c r="AB81" s="15"/>
      <c r="AC81" s="15"/>
      <c r="AD81" s="15"/>
      <c r="AE81" s="15"/>
      <c r="AF81" s="15"/>
      <c r="AG81" s="15"/>
      <c r="AH81" s="15"/>
      <c r="AI81" s="15"/>
      <c r="AJ81" s="15"/>
      <c r="AK81" s="15"/>
      <c r="AL81" s="15"/>
      <c r="AM81" s="15"/>
      <c r="AN81" s="15"/>
    </row>
    <row r="82" spans="1:40" ht="12.75">
      <c r="A82" s="15"/>
      <c r="B82" s="15"/>
      <c r="C82" s="26"/>
      <c r="D82" s="15"/>
      <c r="E82" s="15"/>
      <c r="F82" s="3"/>
      <c r="G82" s="26"/>
      <c r="H82" s="15"/>
      <c r="I82" s="26"/>
      <c r="J82" s="15"/>
      <c r="K82" s="26"/>
      <c r="L82" s="15"/>
      <c r="M82" s="26"/>
      <c r="N82" s="26"/>
      <c r="O82" s="26"/>
      <c r="P82" s="26"/>
      <c r="Q82" s="15"/>
      <c r="R82" s="15"/>
      <c r="S82" s="15"/>
      <c r="T82" s="15"/>
      <c r="U82" s="15"/>
      <c r="V82" s="15"/>
      <c r="W82" s="15"/>
      <c r="X82" s="15"/>
      <c r="Y82" s="15"/>
      <c r="Z82" s="15"/>
      <c r="AA82" s="15"/>
      <c r="AB82" s="15"/>
      <c r="AC82" s="15"/>
      <c r="AD82" s="15"/>
      <c r="AE82" s="15"/>
      <c r="AF82" s="15"/>
      <c r="AG82" s="15"/>
      <c r="AH82" s="15"/>
      <c r="AI82" s="15"/>
      <c r="AJ82" s="15"/>
      <c r="AK82" s="15"/>
      <c r="AL82" s="15"/>
      <c r="AM82" s="15"/>
      <c r="AN82" s="15"/>
    </row>
    <row r="83" spans="1:40" ht="12.75">
      <c r="A83" s="15"/>
      <c r="B83" s="15"/>
      <c r="C83" s="26"/>
      <c r="D83" s="15"/>
      <c r="E83" s="15"/>
      <c r="F83" s="3"/>
      <c r="G83" s="26"/>
      <c r="H83" s="15"/>
      <c r="I83" s="26"/>
      <c r="J83" s="15"/>
      <c r="K83" s="26"/>
      <c r="L83" s="15"/>
      <c r="M83" s="26"/>
      <c r="N83" s="26"/>
      <c r="O83" s="26"/>
      <c r="P83" s="26"/>
      <c r="Q83" s="15"/>
      <c r="R83" s="15"/>
      <c r="S83" s="15"/>
      <c r="T83" s="15"/>
      <c r="U83" s="15"/>
      <c r="V83" s="15"/>
      <c r="W83" s="15"/>
      <c r="X83" s="15"/>
      <c r="Y83" s="15"/>
      <c r="Z83" s="15"/>
      <c r="AA83" s="15"/>
      <c r="AB83" s="15"/>
      <c r="AC83" s="15"/>
      <c r="AD83" s="15"/>
      <c r="AE83" s="15"/>
      <c r="AF83" s="15"/>
      <c r="AG83" s="15"/>
      <c r="AH83" s="15"/>
      <c r="AI83" s="15"/>
      <c r="AJ83" s="15"/>
      <c r="AK83" s="15"/>
      <c r="AL83" s="15"/>
      <c r="AM83" s="15"/>
      <c r="AN83" s="15"/>
    </row>
    <row r="84" spans="1:40" ht="12.75">
      <c r="A84" s="15"/>
      <c r="B84" s="15"/>
      <c r="C84" s="26"/>
      <c r="D84" s="15"/>
      <c r="E84" s="15"/>
      <c r="F84" s="3"/>
      <c r="G84" s="26"/>
      <c r="H84" s="15"/>
      <c r="I84" s="26"/>
      <c r="J84" s="15"/>
      <c r="K84" s="26"/>
      <c r="L84" s="15"/>
      <c r="M84" s="26"/>
      <c r="N84" s="26"/>
      <c r="O84" s="26"/>
      <c r="P84" s="26"/>
      <c r="Q84" s="15"/>
      <c r="R84" s="15"/>
      <c r="S84" s="15"/>
      <c r="T84" s="15"/>
      <c r="U84" s="15"/>
      <c r="V84" s="15"/>
      <c r="W84" s="15"/>
      <c r="X84" s="15"/>
      <c r="Y84" s="15"/>
      <c r="Z84" s="15"/>
      <c r="AA84" s="15"/>
      <c r="AB84" s="15"/>
      <c r="AC84" s="15"/>
      <c r="AD84" s="15"/>
      <c r="AE84" s="15"/>
      <c r="AF84" s="15"/>
      <c r="AG84" s="15"/>
      <c r="AH84" s="15"/>
      <c r="AI84" s="15"/>
      <c r="AJ84" s="15"/>
      <c r="AK84" s="15"/>
      <c r="AL84" s="15"/>
      <c r="AM84" s="15"/>
      <c r="AN84" s="15"/>
    </row>
    <row r="85" spans="1:40" ht="12.75">
      <c r="A85" s="15"/>
      <c r="B85" s="15"/>
      <c r="C85" s="26"/>
      <c r="D85" s="15"/>
      <c r="E85" s="15"/>
      <c r="F85" s="3"/>
      <c r="G85" s="26"/>
      <c r="H85" s="15"/>
      <c r="I85" s="26"/>
      <c r="J85" s="15"/>
      <c r="K85" s="26"/>
      <c r="L85" s="15"/>
      <c r="M85" s="26"/>
      <c r="N85" s="26"/>
      <c r="O85" s="26"/>
      <c r="P85" s="26"/>
      <c r="Q85" s="15"/>
      <c r="R85" s="15"/>
      <c r="S85" s="15"/>
      <c r="T85" s="15"/>
      <c r="U85" s="15"/>
      <c r="V85" s="15"/>
      <c r="W85" s="15"/>
      <c r="X85" s="15"/>
      <c r="Y85" s="15"/>
      <c r="Z85" s="15"/>
      <c r="AA85" s="15"/>
      <c r="AB85" s="15"/>
      <c r="AC85" s="15"/>
      <c r="AD85" s="15"/>
      <c r="AE85" s="15"/>
      <c r="AF85" s="15"/>
      <c r="AG85" s="15"/>
      <c r="AH85" s="15"/>
      <c r="AI85" s="15"/>
      <c r="AJ85" s="15"/>
      <c r="AK85" s="15"/>
      <c r="AL85" s="15"/>
      <c r="AM85" s="15"/>
      <c r="AN85" s="15"/>
    </row>
    <row r="86" spans="1:40" ht="12.75">
      <c r="A86" s="15"/>
      <c r="B86" s="15"/>
      <c r="C86" s="26"/>
      <c r="D86" s="15"/>
      <c r="E86" s="15"/>
      <c r="F86" s="3"/>
      <c r="G86" s="26"/>
      <c r="H86" s="15"/>
      <c r="I86" s="26"/>
      <c r="J86" s="15"/>
      <c r="K86" s="26"/>
      <c r="L86" s="15"/>
      <c r="M86" s="26"/>
      <c r="N86" s="26"/>
      <c r="O86" s="26"/>
      <c r="P86" s="26"/>
      <c r="Q86" s="15"/>
      <c r="R86" s="15"/>
      <c r="S86" s="15"/>
      <c r="T86" s="15"/>
      <c r="U86" s="15"/>
      <c r="V86" s="15"/>
      <c r="W86" s="15"/>
      <c r="X86" s="15"/>
      <c r="Y86" s="15"/>
      <c r="Z86" s="15"/>
      <c r="AA86" s="15"/>
      <c r="AB86" s="15"/>
      <c r="AC86" s="15"/>
      <c r="AD86" s="15"/>
      <c r="AE86" s="15"/>
      <c r="AF86" s="15"/>
      <c r="AG86" s="15"/>
      <c r="AH86" s="15"/>
      <c r="AI86" s="15"/>
      <c r="AJ86" s="15"/>
      <c r="AK86" s="15"/>
      <c r="AL86" s="15"/>
      <c r="AM86" s="15"/>
      <c r="AN86" s="15"/>
    </row>
    <row r="87" spans="1:40" ht="12.75">
      <c r="A87" s="15"/>
      <c r="B87" s="15"/>
      <c r="C87" s="26"/>
      <c r="D87" s="15"/>
      <c r="E87" s="15"/>
      <c r="F87" s="3"/>
      <c r="G87" s="26"/>
      <c r="H87" s="15"/>
      <c r="I87" s="26"/>
      <c r="J87" s="15"/>
      <c r="K87" s="26"/>
      <c r="L87" s="15"/>
      <c r="M87" s="26"/>
      <c r="N87" s="26"/>
      <c r="O87" s="26"/>
      <c r="P87" s="26"/>
      <c r="Q87" s="15"/>
      <c r="R87" s="15"/>
      <c r="S87" s="15"/>
      <c r="T87" s="15"/>
      <c r="U87" s="15"/>
      <c r="V87" s="15"/>
      <c r="W87" s="15"/>
      <c r="X87" s="15"/>
      <c r="Y87" s="15"/>
      <c r="Z87" s="15"/>
      <c r="AA87" s="15"/>
      <c r="AB87" s="15"/>
      <c r="AC87" s="15"/>
      <c r="AD87" s="15"/>
      <c r="AE87" s="15"/>
      <c r="AF87" s="15"/>
      <c r="AG87" s="15"/>
      <c r="AH87" s="15"/>
      <c r="AI87" s="15"/>
      <c r="AJ87" s="15"/>
      <c r="AK87" s="15"/>
      <c r="AL87" s="15"/>
      <c r="AM87" s="15"/>
      <c r="AN87" s="15"/>
    </row>
    <row r="88" spans="1:40" ht="12.75">
      <c r="A88" s="15"/>
      <c r="B88" s="15"/>
      <c r="C88" s="26"/>
      <c r="D88" s="15"/>
      <c r="E88" s="15"/>
      <c r="F88" s="3"/>
      <c r="G88" s="26"/>
      <c r="H88" s="15"/>
      <c r="I88" s="26"/>
      <c r="J88" s="15"/>
      <c r="K88" s="26"/>
      <c r="L88" s="15"/>
      <c r="M88" s="26"/>
      <c r="N88" s="26"/>
      <c r="O88" s="26"/>
      <c r="P88" s="26"/>
      <c r="Q88" s="15"/>
      <c r="R88" s="15"/>
      <c r="S88" s="15"/>
      <c r="T88" s="15"/>
      <c r="U88" s="15"/>
      <c r="V88" s="15"/>
      <c r="W88" s="15"/>
      <c r="X88" s="15"/>
      <c r="Y88" s="15"/>
      <c r="Z88" s="15"/>
      <c r="AA88" s="15"/>
      <c r="AB88" s="15"/>
      <c r="AC88" s="15"/>
      <c r="AD88" s="15"/>
      <c r="AE88" s="15"/>
      <c r="AF88" s="15"/>
      <c r="AG88" s="15"/>
      <c r="AH88" s="15"/>
      <c r="AI88" s="15"/>
      <c r="AJ88" s="15"/>
      <c r="AK88" s="15"/>
      <c r="AL88" s="15"/>
      <c r="AM88" s="15"/>
      <c r="AN88" s="15"/>
    </row>
    <row r="89" spans="1:40" ht="12.75">
      <c r="A89" s="15"/>
      <c r="B89" s="15"/>
      <c r="C89" s="26"/>
      <c r="D89" s="15"/>
      <c r="E89" s="15"/>
      <c r="F89" s="3"/>
      <c r="G89" s="26"/>
      <c r="H89" s="15"/>
      <c r="I89" s="26"/>
      <c r="J89" s="15"/>
      <c r="K89" s="26"/>
      <c r="L89" s="15"/>
      <c r="M89" s="26"/>
      <c r="N89" s="26"/>
      <c r="O89" s="26"/>
      <c r="P89" s="26"/>
      <c r="Q89" s="15"/>
      <c r="R89" s="15"/>
      <c r="S89" s="15"/>
      <c r="T89" s="15"/>
      <c r="U89" s="15"/>
      <c r="V89" s="15"/>
      <c r="W89" s="15"/>
      <c r="X89" s="15"/>
      <c r="Y89" s="15"/>
      <c r="Z89" s="15"/>
      <c r="AA89" s="15"/>
      <c r="AB89" s="15"/>
      <c r="AC89" s="15"/>
      <c r="AD89" s="15"/>
      <c r="AE89" s="15"/>
      <c r="AF89" s="15"/>
      <c r="AG89" s="15"/>
      <c r="AH89" s="15"/>
      <c r="AI89" s="15"/>
      <c r="AJ89" s="15"/>
      <c r="AK89" s="15"/>
      <c r="AL89" s="15"/>
      <c r="AM89" s="15"/>
      <c r="AN89" s="15"/>
    </row>
    <row r="90" spans="1:40" ht="12.75">
      <c r="A90" s="15"/>
      <c r="B90" s="15"/>
      <c r="C90" s="26"/>
      <c r="D90" s="15"/>
      <c r="E90" s="15"/>
      <c r="F90" s="3"/>
      <c r="G90" s="26"/>
      <c r="H90" s="15"/>
      <c r="I90" s="26"/>
      <c r="J90" s="15"/>
      <c r="K90" s="26"/>
      <c r="L90" s="15"/>
      <c r="M90" s="26"/>
      <c r="N90" s="26"/>
      <c r="O90" s="26"/>
      <c r="P90" s="26"/>
      <c r="Q90" s="15"/>
      <c r="R90" s="15"/>
      <c r="S90" s="15"/>
      <c r="T90" s="15"/>
      <c r="U90" s="15"/>
      <c r="V90" s="15"/>
      <c r="W90" s="15"/>
      <c r="X90" s="15"/>
      <c r="Y90" s="15"/>
      <c r="Z90" s="15"/>
      <c r="AA90" s="15"/>
      <c r="AB90" s="15"/>
      <c r="AC90" s="15"/>
      <c r="AD90" s="15"/>
      <c r="AE90" s="15"/>
      <c r="AF90" s="15"/>
      <c r="AG90" s="15"/>
      <c r="AH90" s="15"/>
      <c r="AI90" s="15"/>
      <c r="AJ90" s="15"/>
      <c r="AK90" s="15"/>
      <c r="AL90" s="15"/>
      <c r="AM90" s="15"/>
      <c r="AN90" s="15"/>
    </row>
    <row r="91" spans="1:40" ht="12.75">
      <c r="A91" s="15"/>
      <c r="B91" s="15"/>
      <c r="C91" s="26"/>
      <c r="D91" s="15"/>
      <c r="E91" s="15"/>
      <c r="F91" s="3"/>
      <c r="G91" s="26"/>
      <c r="H91" s="15"/>
      <c r="I91" s="26"/>
      <c r="J91" s="15"/>
      <c r="K91" s="26"/>
      <c r="L91" s="15"/>
      <c r="M91" s="26"/>
      <c r="N91" s="26"/>
      <c r="O91" s="26"/>
      <c r="P91" s="26"/>
      <c r="Q91" s="15"/>
      <c r="R91" s="15"/>
      <c r="S91" s="15"/>
      <c r="T91" s="15"/>
      <c r="U91" s="15"/>
      <c r="V91" s="15"/>
      <c r="W91" s="15"/>
      <c r="X91" s="15"/>
      <c r="Y91" s="15"/>
      <c r="Z91" s="15"/>
      <c r="AA91" s="15"/>
      <c r="AB91" s="15"/>
      <c r="AC91" s="15"/>
      <c r="AD91" s="15"/>
      <c r="AE91" s="15"/>
      <c r="AF91" s="15"/>
      <c r="AG91" s="15"/>
      <c r="AH91" s="15"/>
      <c r="AI91" s="15"/>
      <c r="AJ91" s="15"/>
      <c r="AK91" s="15"/>
      <c r="AL91" s="15"/>
      <c r="AM91" s="15"/>
      <c r="AN91" s="15"/>
    </row>
    <row r="92" spans="1:40" ht="12.75">
      <c r="A92" s="15"/>
      <c r="B92" s="15"/>
      <c r="C92" s="26"/>
      <c r="D92" s="15"/>
      <c r="E92" s="15"/>
      <c r="F92" s="3"/>
      <c r="G92" s="26"/>
      <c r="H92" s="15"/>
      <c r="I92" s="26"/>
      <c r="J92" s="15"/>
      <c r="K92" s="26"/>
      <c r="L92" s="15"/>
      <c r="M92" s="26"/>
      <c r="N92" s="26"/>
      <c r="O92" s="26"/>
      <c r="P92" s="26"/>
      <c r="Q92" s="15"/>
      <c r="R92" s="15"/>
      <c r="S92" s="15"/>
      <c r="T92" s="15"/>
      <c r="U92" s="15"/>
      <c r="V92" s="15"/>
      <c r="W92" s="15"/>
      <c r="X92" s="15"/>
      <c r="Y92" s="15"/>
      <c r="Z92" s="15"/>
      <c r="AA92" s="15"/>
      <c r="AB92" s="15"/>
      <c r="AC92" s="15"/>
      <c r="AD92" s="15"/>
      <c r="AE92" s="15"/>
      <c r="AF92" s="15"/>
      <c r="AG92" s="15"/>
      <c r="AH92" s="15"/>
      <c r="AI92" s="15"/>
      <c r="AJ92" s="15"/>
      <c r="AK92" s="15"/>
      <c r="AL92" s="15"/>
      <c r="AM92" s="15"/>
      <c r="AN92" s="15"/>
    </row>
    <row r="93" spans="1:40" ht="12.75">
      <c r="A93" s="15"/>
      <c r="B93" s="15"/>
      <c r="C93" s="26"/>
      <c r="D93" s="15"/>
      <c r="E93" s="15"/>
      <c r="F93" s="3"/>
      <c r="G93" s="26"/>
      <c r="H93" s="15"/>
      <c r="I93" s="26"/>
      <c r="J93" s="15"/>
      <c r="K93" s="26"/>
      <c r="L93" s="15"/>
      <c r="M93" s="26"/>
      <c r="N93" s="26"/>
      <c r="O93" s="26"/>
      <c r="P93" s="26"/>
      <c r="Q93" s="15"/>
      <c r="R93" s="15"/>
      <c r="S93" s="15"/>
      <c r="T93" s="15"/>
      <c r="U93" s="15"/>
      <c r="V93" s="15"/>
      <c r="W93" s="15"/>
      <c r="X93" s="15"/>
      <c r="Y93" s="15"/>
      <c r="Z93" s="15"/>
      <c r="AA93" s="15"/>
      <c r="AB93" s="15"/>
      <c r="AC93" s="15"/>
      <c r="AD93" s="15"/>
      <c r="AE93" s="15"/>
      <c r="AF93" s="15"/>
      <c r="AG93" s="15"/>
      <c r="AH93" s="15"/>
      <c r="AI93" s="15"/>
      <c r="AJ93" s="15"/>
      <c r="AK93" s="15"/>
      <c r="AL93" s="15"/>
      <c r="AM93" s="15"/>
      <c r="AN93" s="15"/>
    </row>
    <row r="94" spans="1:40" ht="12.75">
      <c r="A94" s="15"/>
      <c r="B94" s="15"/>
      <c r="C94" s="26"/>
      <c r="D94" s="15"/>
      <c r="E94" s="15"/>
      <c r="F94" s="3"/>
      <c r="G94" s="26"/>
      <c r="H94" s="15"/>
      <c r="I94" s="26"/>
      <c r="J94" s="15"/>
      <c r="K94" s="26"/>
      <c r="L94" s="15"/>
      <c r="M94" s="26"/>
      <c r="N94" s="26"/>
      <c r="O94" s="26"/>
      <c r="P94" s="26"/>
      <c r="Q94" s="15"/>
      <c r="R94" s="15"/>
      <c r="S94" s="15"/>
      <c r="T94" s="15"/>
      <c r="U94" s="15"/>
      <c r="V94" s="15"/>
      <c r="W94" s="15"/>
      <c r="X94" s="15"/>
      <c r="Y94" s="15"/>
      <c r="Z94" s="15"/>
      <c r="AA94" s="15"/>
      <c r="AB94" s="15"/>
      <c r="AC94" s="15"/>
      <c r="AD94" s="15"/>
      <c r="AE94" s="15"/>
      <c r="AF94" s="15"/>
      <c r="AG94" s="15"/>
      <c r="AH94" s="15"/>
      <c r="AI94" s="15"/>
      <c r="AJ94" s="15"/>
      <c r="AK94" s="15"/>
      <c r="AL94" s="15"/>
      <c r="AM94" s="15"/>
      <c r="AN94" s="15"/>
    </row>
    <row r="95" spans="1:40" ht="12.75">
      <c r="A95" s="15"/>
      <c r="B95" s="15"/>
      <c r="C95" s="26"/>
      <c r="D95" s="15"/>
      <c r="E95" s="15"/>
      <c r="F95" s="3"/>
      <c r="G95" s="26"/>
      <c r="H95" s="15"/>
      <c r="I95" s="26"/>
      <c r="J95" s="15"/>
      <c r="K95" s="26"/>
      <c r="L95" s="15"/>
      <c r="M95" s="26"/>
      <c r="N95" s="26"/>
      <c r="O95" s="26"/>
      <c r="P95" s="26"/>
      <c r="Q95" s="15"/>
      <c r="R95" s="15"/>
      <c r="S95" s="15"/>
      <c r="T95" s="15"/>
      <c r="U95" s="15"/>
      <c r="V95" s="15"/>
      <c r="W95" s="15"/>
      <c r="X95" s="15"/>
      <c r="Y95" s="15"/>
      <c r="Z95" s="15"/>
      <c r="AA95" s="15"/>
      <c r="AB95" s="15"/>
      <c r="AC95" s="15"/>
      <c r="AD95" s="15"/>
      <c r="AE95" s="15"/>
      <c r="AF95" s="15"/>
      <c r="AG95" s="15"/>
      <c r="AH95" s="15"/>
      <c r="AI95" s="15"/>
      <c r="AJ95" s="15"/>
      <c r="AK95" s="15"/>
      <c r="AL95" s="15"/>
      <c r="AM95" s="15"/>
      <c r="AN95" s="15"/>
    </row>
    <row r="96" spans="1:40" ht="12.75">
      <c r="A96" s="15"/>
      <c r="B96" s="15"/>
      <c r="C96" s="26"/>
      <c r="D96" s="15"/>
      <c r="E96" s="15"/>
      <c r="F96" s="3"/>
      <c r="G96" s="26"/>
      <c r="H96" s="15"/>
      <c r="I96" s="26"/>
      <c r="J96" s="15"/>
      <c r="K96" s="26"/>
      <c r="L96" s="15"/>
      <c r="M96" s="26"/>
      <c r="N96" s="26"/>
      <c r="O96" s="26"/>
      <c r="P96" s="26"/>
      <c r="Q96" s="15"/>
      <c r="R96" s="15"/>
      <c r="S96" s="15"/>
      <c r="T96" s="15"/>
      <c r="U96" s="15"/>
      <c r="V96" s="15"/>
      <c r="W96" s="15"/>
      <c r="X96" s="15"/>
      <c r="Y96" s="15"/>
      <c r="Z96" s="15"/>
      <c r="AA96" s="15"/>
      <c r="AB96" s="15"/>
      <c r="AC96" s="15"/>
      <c r="AD96" s="15"/>
      <c r="AE96" s="15"/>
      <c r="AF96" s="15"/>
      <c r="AG96" s="15"/>
      <c r="AH96" s="15"/>
      <c r="AI96" s="15"/>
      <c r="AJ96" s="15"/>
      <c r="AK96" s="15"/>
      <c r="AL96" s="15"/>
      <c r="AM96" s="15"/>
      <c r="AN96" s="15"/>
    </row>
    <row r="97" spans="1:40" ht="12.75">
      <c r="A97" s="15"/>
      <c r="B97" s="15"/>
      <c r="C97" s="26"/>
      <c r="D97" s="15"/>
      <c r="E97" s="15"/>
      <c r="F97" s="3"/>
      <c r="G97" s="26"/>
      <c r="H97" s="15"/>
      <c r="I97" s="26"/>
      <c r="J97" s="15"/>
      <c r="K97" s="26"/>
      <c r="L97" s="15"/>
      <c r="M97" s="26"/>
      <c r="N97" s="26"/>
      <c r="O97" s="26"/>
      <c r="P97" s="26"/>
      <c r="Q97" s="15"/>
      <c r="R97" s="15"/>
      <c r="S97" s="15"/>
      <c r="T97" s="15"/>
      <c r="U97" s="15"/>
      <c r="V97" s="15"/>
      <c r="W97" s="15"/>
      <c r="X97" s="15"/>
      <c r="Y97" s="15"/>
      <c r="Z97" s="15"/>
      <c r="AA97" s="15"/>
      <c r="AB97" s="15"/>
      <c r="AC97" s="15"/>
      <c r="AD97" s="15"/>
      <c r="AE97" s="15"/>
      <c r="AF97" s="15"/>
      <c r="AG97" s="15"/>
      <c r="AH97" s="15"/>
      <c r="AI97" s="15"/>
      <c r="AJ97" s="15"/>
      <c r="AK97" s="15"/>
      <c r="AL97" s="15"/>
      <c r="AM97" s="15"/>
      <c r="AN97" s="15"/>
    </row>
    <row r="98" spans="1:40" ht="12.75">
      <c r="A98" s="15"/>
      <c r="B98" s="15"/>
      <c r="C98" s="26"/>
      <c r="D98" s="15"/>
      <c r="E98" s="15"/>
      <c r="F98" s="3"/>
      <c r="G98" s="26"/>
      <c r="H98" s="15"/>
      <c r="I98" s="26"/>
      <c r="J98" s="15"/>
      <c r="K98" s="26"/>
      <c r="L98" s="15"/>
      <c r="M98" s="26"/>
      <c r="N98" s="26"/>
      <c r="O98" s="26"/>
      <c r="P98" s="26"/>
      <c r="Q98" s="15"/>
      <c r="R98" s="15"/>
      <c r="S98" s="15"/>
      <c r="T98" s="15"/>
      <c r="U98" s="15"/>
      <c r="V98" s="15"/>
      <c r="W98" s="15"/>
      <c r="X98" s="15"/>
      <c r="Y98" s="15"/>
      <c r="Z98" s="15"/>
      <c r="AA98" s="15"/>
      <c r="AB98" s="15"/>
      <c r="AC98" s="15"/>
      <c r="AD98" s="15"/>
      <c r="AE98" s="15"/>
      <c r="AF98" s="15"/>
      <c r="AG98" s="15"/>
      <c r="AH98" s="15"/>
      <c r="AI98" s="15"/>
      <c r="AJ98" s="15"/>
      <c r="AK98" s="15"/>
      <c r="AL98" s="15"/>
      <c r="AM98" s="15"/>
      <c r="AN98" s="15"/>
    </row>
    <row r="99" spans="1:40" ht="12.75">
      <c r="A99" s="15"/>
      <c r="B99" s="15"/>
      <c r="C99" s="26"/>
      <c r="D99" s="15"/>
      <c r="E99" s="15"/>
      <c r="F99" s="3"/>
      <c r="G99" s="26"/>
      <c r="H99" s="15"/>
      <c r="I99" s="26"/>
      <c r="J99" s="15"/>
      <c r="K99" s="26"/>
      <c r="L99" s="15"/>
      <c r="M99" s="26"/>
      <c r="N99" s="26"/>
      <c r="O99" s="26"/>
      <c r="P99" s="26"/>
      <c r="Q99" s="15"/>
      <c r="R99" s="15"/>
      <c r="S99" s="15"/>
      <c r="T99" s="15"/>
      <c r="U99" s="15"/>
      <c r="V99" s="15"/>
      <c r="W99" s="15"/>
      <c r="X99" s="15"/>
      <c r="Y99" s="15"/>
      <c r="Z99" s="15"/>
      <c r="AA99" s="15"/>
      <c r="AB99" s="15"/>
      <c r="AC99" s="15"/>
      <c r="AD99" s="15"/>
      <c r="AE99" s="15"/>
      <c r="AF99" s="15"/>
      <c r="AG99" s="15"/>
      <c r="AH99" s="15"/>
      <c r="AI99" s="15"/>
      <c r="AJ99" s="15"/>
      <c r="AK99" s="15"/>
      <c r="AL99" s="15"/>
      <c r="AM99" s="15"/>
      <c r="AN99" s="15"/>
    </row>
    <row r="100" spans="1:40" ht="12.75">
      <c r="A100" s="15"/>
      <c r="B100" s="15"/>
      <c r="C100" s="26"/>
      <c r="D100" s="15"/>
      <c r="E100" s="15"/>
      <c r="F100" s="3"/>
      <c r="G100" s="26"/>
      <c r="H100" s="15"/>
      <c r="I100" s="26"/>
      <c r="J100" s="15"/>
      <c r="K100" s="26"/>
      <c r="L100" s="15"/>
      <c r="M100" s="26"/>
      <c r="N100" s="26"/>
      <c r="O100" s="26"/>
      <c r="P100" s="26"/>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row>
    <row r="101" spans="1:40" ht="12.75">
      <c r="A101" s="15"/>
      <c r="B101" s="15"/>
      <c r="C101" s="26"/>
      <c r="D101" s="15"/>
      <c r="E101" s="15"/>
      <c r="F101" s="3"/>
      <c r="G101" s="26"/>
      <c r="H101" s="15"/>
      <c r="I101" s="26"/>
      <c r="J101" s="15"/>
      <c r="K101" s="26"/>
      <c r="L101" s="15"/>
      <c r="M101" s="26"/>
      <c r="N101" s="26"/>
      <c r="O101" s="26"/>
      <c r="P101" s="26"/>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row>
    <row r="102" spans="1:40" ht="12.75">
      <c r="A102" s="15"/>
      <c r="B102" s="15"/>
      <c r="C102" s="26"/>
      <c r="D102" s="15"/>
      <c r="E102" s="15"/>
      <c r="F102" s="3"/>
      <c r="G102" s="26"/>
      <c r="H102" s="15"/>
      <c r="I102" s="26"/>
      <c r="J102" s="15"/>
      <c r="K102" s="26"/>
      <c r="L102" s="15"/>
      <c r="M102" s="26"/>
      <c r="N102" s="26"/>
      <c r="O102" s="26"/>
      <c r="P102" s="26"/>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row>
    <row r="103" spans="1:40" ht="12.75">
      <c r="A103" s="15"/>
      <c r="B103" s="15"/>
      <c r="C103" s="26"/>
      <c r="D103" s="15"/>
      <c r="E103" s="15"/>
      <c r="F103" s="3"/>
      <c r="G103" s="26"/>
      <c r="H103" s="15"/>
      <c r="I103" s="26"/>
      <c r="J103" s="15"/>
      <c r="K103" s="26"/>
      <c r="L103" s="15"/>
      <c r="M103" s="26"/>
      <c r="N103" s="26"/>
      <c r="O103" s="26"/>
      <c r="P103" s="26"/>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row>
    <row r="104" spans="1:40" ht="12.75">
      <c r="A104" s="15"/>
      <c r="B104" s="15"/>
      <c r="C104" s="26"/>
      <c r="D104" s="15"/>
      <c r="E104" s="15"/>
      <c r="F104" s="3"/>
      <c r="G104" s="26"/>
      <c r="H104" s="15"/>
      <c r="I104" s="26"/>
      <c r="J104" s="15"/>
      <c r="K104" s="26"/>
      <c r="L104" s="15"/>
      <c r="M104" s="26"/>
      <c r="N104" s="26"/>
      <c r="O104" s="26"/>
      <c r="P104" s="26"/>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row>
    <row r="105" spans="1:40" ht="12.75">
      <c r="A105" s="15"/>
      <c r="B105" s="15"/>
      <c r="C105" s="26"/>
      <c r="D105" s="15"/>
      <c r="E105" s="15"/>
      <c r="F105" s="3"/>
      <c r="G105" s="26"/>
      <c r="H105" s="15"/>
      <c r="I105" s="26"/>
      <c r="J105" s="15"/>
      <c r="K105" s="26"/>
      <c r="L105" s="15"/>
      <c r="M105" s="26"/>
      <c r="N105" s="26"/>
      <c r="O105" s="26"/>
      <c r="P105" s="26"/>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row>
    <row r="106" spans="1:40" ht="12.75">
      <c r="A106" s="15"/>
      <c r="B106" s="15"/>
      <c r="C106" s="26"/>
      <c r="D106" s="15"/>
      <c r="E106" s="15"/>
      <c r="F106" s="3"/>
      <c r="G106" s="26"/>
      <c r="H106" s="15"/>
      <c r="I106" s="26"/>
      <c r="J106" s="15"/>
      <c r="K106" s="26"/>
      <c r="L106" s="15"/>
      <c r="M106" s="26"/>
      <c r="N106" s="26"/>
      <c r="O106" s="26"/>
      <c r="P106" s="26"/>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row>
    <row r="107" spans="1:40" ht="12.75">
      <c r="A107" s="15"/>
      <c r="B107" s="15"/>
      <c r="C107" s="26"/>
      <c r="D107" s="15"/>
      <c r="E107" s="15"/>
      <c r="F107" s="3"/>
      <c r="G107" s="26"/>
      <c r="H107" s="15"/>
      <c r="I107" s="26"/>
      <c r="J107" s="15"/>
      <c r="K107" s="26"/>
      <c r="L107" s="15"/>
      <c r="M107" s="26"/>
      <c r="N107" s="26"/>
      <c r="O107" s="26"/>
      <c r="P107" s="26"/>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row>
    <row r="108" spans="1:40" ht="12.75">
      <c r="A108" s="15"/>
      <c r="B108" s="15"/>
      <c r="C108" s="26"/>
      <c r="D108" s="15"/>
      <c r="E108" s="15"/>
      <c r="F108" s="3"/>
      <c r="G108" s="26"/>
      <c r="H108" s="15"/>
      <c r="I108" s="26"/>
      <c r="J108" s="15"/>
      <c r="K108" s="26"/>
      <c r="L108" s="15"/>
      <c r="M108" s="26"/>
      <c r="N108" s="26"/>
      <c r="O108" s="26"/>
      <c r="P108" s="26"/>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row>
    <row r="109" spans="1:40" ht="12.75">
      <c r="A109" s="15"/>
      <c r="B109" s="15"/>
      <c r="C109" s="26"/>
      <c r="D109" s="15"/>
      <c r="E109" s="15"/>
      <c r="F109" s="3"/>
      <c r="G109" s="26"/>
      <c r="H109" s="15"/>
      <c r="I109" s="26"/>
      <c r="J109" s="15"/>
      <c r="K109" s="26"/>
      <c r="L109" s="15"/>
      <c r="M109" s="26"/>
      <c r="N109" s="26"/>
      <c r="O109" s="26"/>
      <c r="P109" s="26"/>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row>
    <row r="110" spans="1:40" ht="12.75">
      <c r="A110" s="15"/>
      <c r="B110" s="15"/>
      <c r="C110" s="26"/>
      <c r="D110" s="15"/>
      <c r="E110" s="15"/>
      <c r="F110" s="3"/>
      <c r="G110" s="26"/>
      <c r="H110" s="15"/>
      <c r="I110" s="26"/>
      <c r="J110" s="15"/>
      <c r="K110" s="26"/>
      <c r="L110" s="15"/>
      <c r="M110" s="26"/>
      <c r="N110" s="26"/>
      <c r="O110" s="26"/>
      <c r="P110" s="26"/>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row>
    <row r="111" spans="1:40" ht="12.75">
      <c r="A111" s="15"/>
      <c r="B111" s="15"/>
      <c r="C111" s="26"/>
      <c r="D111" s="15"/>
      <c r="E111" s="15"/>
      <c r="F111" s="3"/>
      <c r="G111" s="26"/>
      <c r="H111" s="15"/>
      <c r="I111" s="26"/>
      <c r="J111" s="15"/>
      <c r="K111" s="26"/>
      <c r="L111" s="15"/>
      <c r="M111" s="26"/>
      <c r="N111" s="26"/>
      <c r="O111" s="26"/>
      <c r="P111" s="26"/>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row>
    <row r="112" spans="1:40" ht="12.75">
      <c r="A112" s="15"/>
      <c r="B112" s="15"/>
      <c r="C112" s="26"/>
      <c r="D112" s="15"/>
      <c r="E112" s="15"/>
      <c r="F112" s="3"/>
      <c r="G112" s="26"/>
      <c r="H112" s="15"/>
      <c r="I112" s="26"/>
      <c r="J112" s="15"/>
      <c r="K112" s="26"/>
      <c r="L112" s="15"/>
      <c r="M112" s="26"/>
      <c r="N112" s="26"/>
      <c r="O112" s="26"/>
      <c r="P112" s="26"/>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row>
    <row r="113" spans="1:40" ht="12.75">
      <c r="A113" s="15"/>
      <c r="B113" s="15"/>
      <c r="C113" s="26"/>
      <c r="D113" s="15"/>
      <c r="E113" s="15"/>
      <c r="F113" s="3"/>
      <c r="G113" s="26"/>
      <c r="H113" s="15"/>
      <c r="I113" s="26"/>
      <c r="J113" s="15"/>
      <c r="K113" s="26"/>
      <c r="L113" s="15"/>
      <c r="M113" s="26"/>
      <c r="N113" s="26"/>
      <c r="O113" s="26"/>
      <c r="P113" s="26"/>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row>
    <row r="114" spans="1:40" ht="12.75">
      <c r="A114" s="15"/>
      <c r="B114" s="15"/>
      <c r="C114" s="26"/>
      <c r="D114" s="15"/>
      <c r="E114" s="15"/>
      <c r="F114" s="3"/>
      <c r="G114" s="26"/>
      <c r="H114" s="15"/>
      <c r="I114" s="26"/>
      <c r="J114" s="15"/>
      <c r="K114" s="26"/>
      <c r="L114" s="15"/>
      <c r="M114" s="26"/>
      <c r="N114" s="26"/>
      <c r="O114" s="26"/>
      <c r="P114" s="26"/>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row>
    <row r="115" spans="1:40" ht="12.75">
      <c r="A115" s="15"/>
      <c r="B115" s="15"/>
      <c r="C115" s="26"/>
      <c r="D115" s="15"/>
      <c r="E115" s="15"/>
      <c r="F115" s="3"/>
      <c r="G115" s="26"/>
      <c r="H115" s="15"/>
      <c r="I115" s="26"/>
      <c r="J115" s="15"/>
      <c r="K115" s="26"/>
      <c r="L115" s="15"/>
      <c r="M115" s="26"/>
      <c r="N115" s="26"/>
      <c r="O115" s="26"/>
      <c r="P115" s="26"/>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row>
    <row r="116" spans="1:40" ht="12.75">
      <c r="A116" s="15"/>
      <c r="B116" s="15"/>
      <c r="C116" s="26"/>
      <c r="D116" s="15"/>
      <c r="E116" s="15"/>
      <c r="F116" s="3"/>
      <c r="G116" s="26"/>
      <c r="H116" s="15"/>
      <c r="I116" s="26"/>
      <c r="J116" s="15"/>
      <c r="K116" s="26"/>
      <c r="L116" s="15"/>
      <c r="M116" s="26"/>
      <c r="N116" s="26"/>
      <c r="O116" s="26"/>
      <c r="P116" s="26"/>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row>
    <row r="117" spans="1:40" ht="12.75">
      <c r="A117" s="15"/>
      <c r="B117" s="15"/>
      <c r="C117" s="26"/>
      <c r="D117" s="15"/>
      <c r="E117" s="15"/>
      <c r="F117" s="3"/>
      <c r="G117" s="26"/>
      <c r="H117" s="15"/>
      <c r="I117" s="26"/>
      <c r="J117" s="15"/>
      <c r="K117" s="26"/>
      <c r="L117" s="15"/>
      <c r="M117" s="26"/>
      <c r="N117" s="26"/>
      <c r="O117" s="26"/>
      <c r="P117" s="26"/>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row>
    <row r="118" spans="1:40" ht="12.75">
      <c r="A118" s="15"/>
      <c r="B118" s="15"/>
      <c r="C118" s="26"/>
      <c r="D118" s="15"/>
      <c r="E118" s="15"/>
      <c r="F118" s="3"/>
      <c r="G118" s="26"/>
      <c r="H118" s="15"/>
      <c r="I118" s="26"/>
      <c r="J118" s="15"/>
      <c r="K118" s="26"/>
      <c r="L118" s="15"/>
      <c r="M118" s="26"/>
      <c r="N118" s="26"/>
      <c r="O118" s="26"/>
      <c r="P118" s="26"/>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row>
    <row r="119" spans="1:40" ht="12.75">
      <c r="A119" s="15"/>
      <c r="B119" s="15"/>
      <c r="C119" s="26"/>
      <c r="D119" s="15"/>
      <c r="E119" s="15"/>
      <c r="F119" s="3"/>
      <c r="G119" s="26"/>
      <c r="H119" s="15"/>
      <c r="I119" s="26"/>
      <c r="J119" s="15"/>
      <c r="K119" s="26"/>
      <c r="L119" s="15"/>
      <c r="M119" s="26"/>
      <c r="N119" s="26"/>
      <c r="O119" s="26"/>
      <c r="P119" s="26"/>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row>
    <row r="120" spans="1:40" ht="12.75">
      <c r="A120" s="15"/>
      <c r="B120" s="15"/>
      <c r="C120" s="26"/>
      <c r="D120" s="15"/>
      <c r="E120" s="15"/>
      <c r="F120" s="3"/>
      <c r="G120" s="26"/>
      <c r="H120" s="15"/>
      <c r="I120" s="26"/>
      <c r="J120" s="15"/>
      <c r="K120" s="26"/>
      <c r="L120" s="15"/>
      <c r="M120" s="26"/>
      <c r="N120" s="26"/>
      <c r="O120" s="26"/>
      <c r="P120" s="26"/>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row>
    <row r="121" spans="1:40" ht="12.75">
      <c r="A121" s="15"/>
      <c r="B121" s="15"/>
      <c r="C121" s="26"/>
      <c r="D121" s="15"/>
      <c r="E121" s="15"/>
      <c r="F121" s="3"/>
      <c r="G121" s="26"/>
      <c r="H121" s="15"/>
      <c r="I121" s="26"/>
      <c r="J121" s="15"/>
      <c r="K121" s="26"/>
      <c r="L121" s="15"/>
      <c r="M121" s="26"/>
      <c r="N121" s="26"/>
      <c r="O121" s="26"/>
      <c r="P121" s="26"/>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row>
    <row r="122" spans="1:40" ht="12.75">
      <c r="A122" s="15"/>
      <c r="B122" s="15"/>
      <c r="C122" s="26"/>
      <c r="D122" s="15"/>
      <c r="E122" s="15"/>
      <c r="F122" s="3"/>
      <c r="G122" s="26"/>
      <c r="H122" s="15"/>
      <c r="I122" s="26"/>
      <c r="J122" s="15"/>
      <c r="K122" s="26"/>
      <c r="L122" s="15"/>
      <c r="M122" s="26"/>
      <c r="N122" s="26"/>
      <c r="O122" s="26"/>
      <c r="P122" s="26"/>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row>
    <row r="123" spans="1:40" ht="12.75">
      <c r="A123" s="15"/>
      <c r="B123" s="15"/>
      <c r="C123" s="26"/>
      <c r="D123" s="15"/>
      <c r="E123" s="15"/>
      <c r="F123" s="3"/>
      <c r="G123" s="26"/>
      <c r="H123" s="15"/>
      <c r="I123" s="26"/>
      <c r="J123" s="15"/>
      <c r="K123" s="26"/>
      <c r="L123" s="15"/>
      <c r="M123" s="26"/>
      <c r="N123" s="26"/>
      <c r="O123" s="26"/>
      <c r="P123" s="26"/>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row>
    <row r="124" spans="1:40" ht="12.75">
      <c r="A124" s="15"/>
      <c r="B124" s="15"/>
      <c r="C124" s="26"/>
      <c r="D124" s="15"/>
      <c r="E124" s="15"/>
      <c r="F124" s="3"/>
      <c r="G124" s="26"/>
      <c r="H124" s="15"/>
      <c r="I124" s="26"/>
      <c r="J124" s="15"/>
      <c r="K124" s="26"/>
      <c r="L124" s="15"/>
      <c r="M124" s="26"/>
      <c r="N124" s="26"/>
      <c r="O124" s="26"/>
      <c r="P124" s="26"/>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row>
    <row r="125" spans="1:40" ht="12.75">
      <c r="A125" s="15"/>
      <c r="B125" s="15"/>
      <c r="C125" s="26"/>
      <c r="D125" s="15"/>
      <c r="E125" s="15"/>
      <c r="F125" s="3"/>
      <c r="G125" s="26"/>
      <c r="H125" s="15"/>
      <c r="I125" s="26"/>
      <c r="J125" s="15"/>
      <c r="K125" s="26"/>
      <c r="L125" s="15"/>
      <c r="M125" s="26"/>
      <c r="N125" s="26"/>
      <c r="O125" s="26"/>
      <c r="P125" s="26"/>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row>
    <row r="126" spans="1:40" ht="12.75">
      <c r="A126" s="15"/>
      <c r="B126" s="15"/>
      <c r="C126" s="26"/>
      <c r="D126" s="15"/>
      <c r="E126" s="15"/>
      <c r="F126" s="3"/>
      <c r="G126" s="26"/>
      <c r="H126" s="15"/>
      <c r="I126" s="26"/>
      <c r="J126" s="15"/>
      <c r="K126" s="26"/>
      <c r="L126" s="15"/>
      <c r="M126" s="26"/>
      <c r="N126" s="26"/>
      <c r="O126" s="26"/>
      <c r="P126" s="26"/>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row>
    <row r="127" spans="1:40" ht="12.75">
      <c r="A127" s="15"/>
      <c r="B127" s="15"/>
      <c r="C127" s="26"/>
      <c r="D127" s="15"/>
      <c r="E127" s="15"/>
      <c r="F127" s="3"/>
      <c r="G127" s="26"/>
      <c r="H127" s="15"/>
      <c r="I127" s="26"/>
      <c r="J127" s="15"/>
      <c r="K127" s="26"/>
      <c r="L127" s="15"/>
      <c r="M127" s="26"/>
      <c r="N127" s="26"/>
      <c r="O127" s="26"/>
      <c r="P127" s="26"/>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row>
    <row r="128" spans="1:40" ht="12.75">
      <c r="A128" s="15"/>
      <c r="B128" s="15"/>
      <c r="C128" s="26"/>
      <c r="D128" s="15"/>
      <c r="E128" s="15"/>
      <c r="F128" s="3"/>
      <c r="G128" s="26"/>
      <c r="H128" s="15"/>
      <c r="I128" s="26"/>
      <c r="J128" s="15"/>
      <c r="K128" s="26"/>
      <c r="L128" s="15"/>
      <c r="M128" s="26"/>
      <c r="N128" s="26"/>
      <c r="O128" s="26"/>
      <c r="P128" s="26"/>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row>
    <row r="129" spans="1:40" ht="12.75">
      <c r="A129" s="15"/>
      <c r="B129" s="15"/>
      <c r="C129" s="26"/>
      <c r="D129" s="15"/>
      <c r="E129" s="15"/>
      <c r="F129" s="3"/>
      <c r="G129" s="26"/>
      <c r="H129" s="15"/>
      <c r="I129" s="26"/>
      <c r="J129" s="15"/>
      <c r="K129" s="26"/>
      <c r="L129" s="15"/>
      <c r="M129" s="26"/>
      <c r="N129" s="26"/>
      <c r="O129" s="26"/>
      <c r="P129" s="26"/>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row>
    <row r="130" spans="1:40" ht="12.75">
      <c r="A130" s="15"/>
      <c r="B130" s="15"/>
      <c r="C130" s="26"/>
      <c r="D130" s="15"/>
      <c r="E130" s="15"/>
      <c r="F130" s="3"/>
      <c r="G130" s="26"/>
      <c r="H130" s="15"/>
      <c r="I130" s="26"/>
      <c r="J130" s="15"/>
      <c r="K130" s="26"/>
      <c r="L130" s="15"/>
      <c r="M130" s="26"/>
      <c r="N130" s="26"/>
      <c r="O130" s="26"/>
      <c r="P130" s="26"/>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row>
    <row r="131" spans="1:40" ht="12.75">
      <c r="A131" s="15"/>
      <c r="B131" s="15"/>
      <c r="C131" s="26"/>
      <c r="D131" s="15"/>
      <c r="E131" s="15"/>
      <c r="F131" s="3"/>
      <c r="G131" s="26"/>
      <c r="H131" s="15"/>
      <c r="I131" s="26"/>
      <c r="J131" s="15"/>
      <c r="K131" s="26"/>
      <c r="L131" s="15"/>
      <c r="M131" s="26"/>
      <c r="N131" s="26"/>
      <c r="O131" s="26"/>
      <c r="P131" s="26"/>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row>
    <row r="132" spans="1:40" ht="12.75">
      <c r="A132" s="15"/>
      <c r="B132" s="15"/>
      <c r="C132" s="26"/>
      <c r="D132" s="15"/>
      <c r="E132" s="15"/>
      <c r="F132" s="3"/>
      <c r="G132" s="26"/>
      <c r="H132" s="15"/>
      <c r="I132" s="26"/>
      <c r="J132" s="15"/>
      <c r="K132" s="26"/>
      <c r="L132" s="15"/>
      <c r="M132" s="26"/>
      <c r="N132" s="26"/>
      <c r="O132" s="26"/>
      <c r="P132" s="26"/>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row>
    <row r="133" spans="1:40" ht="12.75">
      <c r="A133" s="15"/>
      <c r="B133" s="15"/>
      <c r="C133" s="26"/>
      <c r="D133" s="15"/>
      <c r="E133" s="15"/>
      <c r="F133" s="3"/>
      <c r="G133" s="26"/>
      <c r="H133" s="15"/>
      <c r="I133" s="26"/>
      <c r="J133" s="15"/>
      <c r="K133" s="26"/>
      <c r="L133" s="15"/>
      <c r="M133" s="26"/>
      <c r="N133" s="26"/>
      <c r="O133" s="26"/>
      <c r="P133" s="26"/>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row>
    <row r="134" spans="1:40" ht="12.75">
      <c r="A134" s="15"/>
      <c r="B134" s="15"/>
      <c r="C134" s="26"/>
      <c r="D134" s="15"/>
      <c r="E134" s="15"/>
      <c r="F134" s="3"/>
      <c r="G134" s="26"/>
      <c r="H134" s="15"/>
      <c r="I134" s="26"/>
      <c r="J134" s="15"/>
      <c r="K134" s="26"/>
      <c r="L134" s="15"/>
      <c r="M134" s="26"/>
      <c r="N134" s="26"/>
      <c r="O134" s="26"/>
      <c r="P134" s="26"/>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row>
    <row r="135" spans="1:40" ht="12.75">
      <c r="A135" s="15"/>
      <c r="B135" s="15"/>
      <c r="C135" s="26"/>
      <c r="D135" s="15"/>
      <c r="E135" s="15"/>
      <c r="F135" s="3"/>
      <c r="G135" s="26"/>
      <c r="H135" s="15"/>
      <c r="I135" s="26"/>
      <c r="J135" s="15"/>
      <c r="K135" s="26"/>
      <c r="L135" s="15"/>
      <c r="M135" s="26"/>
      <c r="N135" s="26"/>
      <c r="O135" s="26"/>
      <c r="P135" s="26"/>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row>
    <row r="136" spans="1:40" ht="12.75">
      <c r="A136" s="15"/>
      <c r="B136" s="15"/>
      <c r="C136" s="26"/>
      <c r="D136" s="15"/>
      <c r="E136" s="15"/>
      <c r="F136" s="3"/>
      <c r="G136" s="26"/>
      <c r="H136" s="15"/>
      <c r="I136" s="26"/>
      <c r="J136" s="15"/>
      <c r="K136" s="26"/>
      <c r="L136" s="15"/>
      <c r="M136" s="26"/>
      <c r="N136" s="26"/>
      <c r="O136" s="26"/>
      <c r="P136" s="26"/>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row>
    <row r="137" spans="1:40" ht="12.75">
      <c r="A137" s="15"/>
      <c r="B137" s="15"/>
      <c r="C137" s="26"/>
      <c r="D137" s="15"/>
      <c r="E137" s="15"/>
      <c r="F137" s="3"/>
      <c r="G137" s="26"/>
      <c r="H137" s="15"/>
      <c r="I137" s="26"/>
      <c r="J137" s="15"/>
      <c r="K137" s="26"/>
      <c r="L137" s="15"/>
      <c r="M137" s="26"/>
      <c r="N137" s="26"/>
      <c r="O137" s="26"/>
      <c r="P137" s="26"/>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row>
    <row r="138" spans="1:40" ht="12.75">
      <c r="A138" s="15"/>
      <c r="B138" s="15"/>
      <c r="C138" s="26"/>
      <c r="D138" s="15"/>
      <c r="E138" s="15"/>
      <c r="F138" s="3"/>
      <c r="G138" s="26"/>
      <c r="H138" s="15"/>
      <c r="I138" s="26"/>
      <c r="J138" s="15"/>
      <c r="K138" s="26"/>
      <c r="L138" s="15"/>
      <c r="M138" s="26"/>
      <c r="N138" s="26"/>
      <c r="O138" s="26"/>
      <c r="P138" s="26"/>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row>
    <row r="139" spans="1:40" ht="12.75">
      <c r="A139" s="15"/>
      <c r="B139" s="15"/>
      <c r="C139" s="26"/>
      <c r="D139" s="15"/>
      <c r="E139" s="15"/>
      <c r="F139" s="3"/>
      <c r="G139" s="26"/>
      <c r="H139" s="15"/>
      <c r="I139" s="26"/>
      <c r="J139" s="15"/>
      <c r="K139" s="26"/>
      <c r="L139" s="15"/>
      <c r="M139" s="26"/>
      <c r="N139" s="26"/>
      <c r="O139" s="26"/>
      <c r="P139" s="26"/>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row>
    <row r="140" spans="1:40" ht="12.75">
      <c r="A140" s="15"/>
      <c r="B140" s="15"/>
      <c r="C140" s="26"/>
      <c r="D140" s="15"/>
      <c r="E140" s="15"/>
      <c r="F140" s="3"/>
      <c r="G140" s="26"/>
      <c r="H140" s="15"/>
      <c r="I140" s="26"/>
      <c r="J140" s="15"/>
      <c r="K140" s="26"/>
      <c r="L140" s="15"/>
      <c r="M140" s="26"/>
      <c r="N140" s="26"/>
      <c r="O140" s="26"/>
      <c r="P140" s="26"/>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row>
    <row r="141" spans="1:40" ht="12.75">
      <c r="A141" s="15"/>
      <c r="B141" s="15"/>
      <c r="C141" s="26"/>
      <c r="D141" s="15"/>
      <c r="E141" s="15"/>
      <c r="F141" s="3"/>
      <c r="G141" s="26"/>
      <c r="H141" s="15"/>
      <c r="I141" s="26"/>
      <c r="J141" s="15"/>
      <c r="K141" s="26"/>
      <c r="L141" s="15"/>
      <c r="M141" s="26"/>
      <c r="N141" s="26"/>
      <c r="O141" s="26"/>
      <c r="P141" s="26"/>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row>
    <row r="142" spans="1:40" ht="12.75">
      <c r="A142" s="15"/>
      <c r="B142" s="15"/>
      <c r="C142" s="26"/>
      <c r="D142" s="15"/>
      <c r="E142" s="15"/>
      <c r="F142" s="3"/>
      <c r="G142" s="26"/>
      <c r="H142" s="15"/>
      <c r="I142" s="26"/>
      <c r="J142" s="15"/>
      <c r="K142" s="26"/>
      <c r="L142" s="15"/>
      <c r="M142" s="26"/>
      <c r="N142" s="26"/>
      <c r="O142" s="26"/>
      <c r="P142" s="26"/>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row>
    <row r="143" spans="1:40" ht="12.75">
      <c r="A143" s="15"/>
      <c r="B143" s="15"/>
      <c r="C143" s="26"/>
      <c r="D143" s="15"/>
      <c r="E143" s="15"/>
      <c r="F143" s="3"/>
      <c r="G143" s="26"/>
      <c r="H143" s="15"/>
      <c r="I143" s="26"/>
      <c r="J143" s="15"/>
      <c r="K143" s="26"/>
      <c r="L143" s="15"/>
      <c r="M143" s="26"/>
      <c r="N143" s="26"/>
      <c r="O143" s="26"/>
      <c r="P143" s="26"/>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row>
    <row r="144" spans="1:40" ht="12.75">
      <c r="A144" s="15"/>
      <c r="B144" s="15"/>
      <c r="C144" s="26"/>
      <c r="D144" s="15"/>
      <c r="E144" s="15"/>
      <c r="F144" s="3"/>
      <c r="G144" s="26"/>
      <c r="H144" s="15"/>
      <c r="I144" s="26"/>
      <c r="J144" s="15"/>
      <c r="K144" s="26"/>
      <c r="L144" s="15"/>
      <c r="M144" s="26"/>
      <c r="N144" s="26"/>
      <c r="O144" s="26"/>
      <c r="P144" s="26"/>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row>
    <row r="145" spans="1:40" ht="12.75">
      <c r="A145" s="15"/>
      <c r="B145" s="15"/>
      <c r="C145" s="26"/>
      <c r="D145" s="15"/>
      <c r="E145" s="15"/>
      <c r="F145" s="3"/>
      <c r="G145" s="26"/>
      <c r="H145" s="15"/>
      <c r="I145" s="26"/>
      <c r="J145" s="15"/>
      <c r="K145" s="26"/>
      <c r="L145" s="15"/>
      <c r="M145" s="26"/>
      <c r="N145" s="26"/>
      <c r="O145" s="26"/>
      <c r="P145" s="26"/>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row>
    <row r="146" spans="1:40" ht="12.75">
      <c r="A146" s="15"/>
      <c r="B146" s="15"/>
      <c r="C146" s="26"/>
      <c r="D146" s="15"/>
      <c r="E146" s="15"/>
      <c r="F146" s="3"/>
      <c r="G146" s="26"/>
      <c r="H146" s="15"/>
      <c r="I146" s="26"/>
      <c r="J146" s="15"/>
      <c r="K146" s="26"/>
      <c r="L146" s="15"/>
      <c r="M146" s="26"/>
      <c r="N146" s="26"/>
      <c r="O146" s="26"/>
      <c r="P146" s="26"/>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row>
    <row r="147" spans="1:40" ht="12.75">
      <c r="A147" s="15"/>
      <c r="B147" s="15"/>
      <c r="C147" s="26"/>
      <c r="D147" s="15"/>
      <c r="E147" s="15"/>
      <c r="F147" s="3"/>
      <c r="G147" s="26"/>
      <c r="H147" s="15"/>
      <c r="I147" s="26"/>
      <c r="J147" s="15"/>
      <c r="K147" s="26"/>
      <c r="L147" s="15"/>
      <c r="M147" s="26"/>
      <c r="N147" s="26"/>
      <c r="O147" s="26"/>
      <c r="P147" s="26"/>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row>
    <row r="148" spans="1:40" ht="12.75">
      <c r="A148" s="15"/>
      <c r="B148" s="15"/>
      <c r="C148" s="26"/>
      <c r="D148" s="15"/>
      <c r="E148" s="15"/>
      <c r="F148" s="3"/>
      <c r="G148" s="26"/>
      <c r="H148" s="15"/>
      <c r="I148" s="26"/>
      <c r="J148" s="15"/>
      <c r="K148" s="26"/>
      <c r="L148" s="15"/>
      <c r="M148" s="26"/>
      <c r="N148" s="26"/>
      <c r="O148" s="26"/>
      <c r="P148" s="26"/>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row>
    <row r="149" spans="1:40" ht="12.75">
      <c r="A149" s="15"/>
      <c r="B149" s="15"/>
      <c r="C149" s="26"/>
      <c r="D149" s="15"/>
      <c r="E149" s="15"/>
      <c r="F149" s="3"/>
      <c r="G149" s="26"/>
      <c r="H149" s="15"/>
      <c r="I149" s="26"/>
      <c r="J149" s="15"/>
      <c r="K149" s="26"/>
      <c r="L149" s="15"/>
      <c r="M149" s="26"/>
      <c r="N149" s="26"/>
      <c r="O149" s="26"/>
      <c r="P149" s="26"/>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row>
    <row r="150" spans="1:40" ht="12.75">
      <c r="A150" s="15"/>
      <c r="B150" s="15"/>
      <c r="C150" s="26"/>
      <c r="D150" s="15"/>
      <c r="E150" s="15"/>
      <c r="F150" s="3"/>
      <c r="G150" s="26"/>
      <c r="H150" s="15"/>
      <c r="I150" s="26"/>
      <c r="J150" s="15"/>
      <c r="K150" s="26"/>
      <c r="L150" s="15"/>
      <c r="M150" s="26"/>
      <c r="N150" s="26"/>
      <c r="O150" s="26"/>
      <c r="P150" s="26"/>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row>
    <row r="151" spans="1:40" ht="12.75">
      <c r="A151" s="15"/>
      <c r="B151" s="15"/>
      <c r="C151" s="26"/>
      <c r="D151" s="15"/>
      <c r="E151" s="15"/>
      <c r="F151" s="3"/>
      <c r="G151" s="26"/>
      <c r="H151" s="15"/>
      <c r="I151" s="26"/>
      <c r="J151" s="15"/>
      <c r="K151" s="26"/>
      <c r="L151" s="15"/>
      <c r="M151" s="26"/>
      <c r="N151" s="26"/>
      <c r="O151" s="26"/>
      <c r="P151" s="26"/>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row>
    <row r="152" spans="1:40" ht="12.75">
      <c r="A152" s="15"/>
      <c r="B152" s="15"/>
      <c r="C152" s="26"/>
      <c r="D152" s="15"/>
      <c r="E152" s="15"/>
      <c r="F152" s="3"/>
      <c r="G152" s="26"/>
      <c r="H152" s="15"/>
      <c r="I152" s="26"/>
      <c r="J152" s="15"/>
      <c r="K152" s="26"/>
      <c r="L152" s="15"/>
      <c r="M152" s="26"/>
      <c r="N152" s="26"/>
      <c r="O152" s="26"/>
      <c r="P152" s="26"/>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row>
    <row r="153" spans="1:40" ht="12.75">
      <c r="A153" s="15"/>
      <c r="B153" s="15"/>
      <c r="C153" s="26"/>
      <c r="D153" s="15"/>
      <c r="E153" s="15"/>
      <c r="F153" s="3"/>
      <c r="G153" s="26"/>
      <c r="H153" s="15"/>
      <c r="I153" s="26"/>
      <c r="J153" s="15"/>
      <c r="K153" s="26"/>
      <c r="L153" s="15"/>
      <c r="M153" s="26"/>
      <c r="N153" s="26"/>
      <c r="O153" s="26"/>
      <c r="P153" s="26"/>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row>
    <row r="154" spans="1:40" ht="12.75">
      <c r="A154" s="15"/>
      <c r="B154" s="15"/>
      <c r="C154" s="26"/>
      <c r="D154" s="15"/>
      <c r="E154" s="15"/>
      <c r="F154" s="3"/>
      <c r="G154" s="26"/>
      <c r="H154" s="15"/>
      <c r="I154" s="26"/>
      <c r="J154" s="15"/>
      <c r="K154" s="26"/>
      <c r="L154" s="15"/>
      <c r="M154" s="26"/>
      <c r="N154" s="26"/>
      <c r="O154" s="26"/>
      <c r="P154" s="26"/>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row>
    <row r="155" spans="1:40" ht="12.75">
      <c r="A155" s="15"/>
      <c r="B155" s="15"/>
      <c r="C155" s="26"/>
      <c r="D155" s="15"/>
      <c r="E155" s="15"/>
      <c r="F155" s="3"/>
      <c r="G155" s="26"/>
      <c r="H155" s="15"/>
      <c r="I155" s="26"/>
      <c r="J155" s="15"/>
      <c r="K155" s="26"/>
      <c r="L155" s="15"/>
      <c r="M155" s="26"/>
      <c r="N155" s="26"/>
      <c r="O155" s="26"/>
      <c r="P155" s="26"/>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row>
    <row r="156" spans="1:40" ht="12.75">
      <c r="A156" s="15"/>
      <c r="B156" s="15"/>
      <c r="C156" s="26"/>
      <c r="D156" s="15"/>
      <c r="E156" s="15"/>
      <c r="F156" s="3"/>
      <c r="G156" s="26"/>
      <c r="H156" s="15"/>
      <c r="I156" s="26"/>
      <c r="J156" s="15"/>
      <c r="K156" s="26"/>
      <c r="L156" s="15"/>
      <c r="M156" s="26"/>
      <c r="N156" s="26"/>
      <c r="O156" s="26"/>
      <c r="P156" s="26"/>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row>
    <row r="157" spans="1:40" ht="12.75">
      <c r="A157" s="15"/>
      <c r="B157" s="15"/>
      <c r="C157" s="26"/>
      <c r="D157" s="15"/>
      <c r="E157" s="15"/>
      <c r="F157" s="3"/>
      <c r="G157" s="26"/>
      <c r="H157" s="15"/>
      <c r="I157" s="26"/>
      <c r="J157" s="15"/>
      <c r="K157" s="26"/>
      <c r="L157" s="15"/>
      <c r="M157" s="26"/>
      <c r="N157" s="26"/>
      <c r="O157" s="26"/>
      <c r="P157" s="26"/>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row>
    <row r="158" spans="1:40" ht="12.75">
      <c r="A158" s="15"/>
      <c r="B158" s="15"/>
      <c r="C158" s="26"/>
      <c r="D158" s="15"/>
      <c r="E158" s="15"/>
      <c r="F158" s="3"/>
      <c r="G158" s="26"/>
      <c r="H158" s="15"/>
      <c r="I158" s="26"/>
      <c r="J158" s="15"/>
      <c r="K158" s="26"/>
      <c r="L158" s="15"/>
      <c r="M158" s="26"/>
      <c r="N158" s="26"/>
      <c r="O158" s="26"/>
      <c r="P158" s="26"/>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row>
    <row r="159" spans="1:40" ht="12.75">
      <c r="A159" s="15"/>
      <c r="B159" s="15"/>
      <c r="C159" s="26"/>
      <c r="D159" s="15"/>
      <c r="E159" s="15"/>
      <c r="F159" s="3"/>
      <c r="G159" s="26"/>
      <c r="H159" s="15"/>
      <c r="I159" s="26"/>
      <c r="J159" s="15"/>
      <c r="K159" s="26"/>
      <c r="L159" s="15"/>
      <c r="M159" s="26"/>
      <c r="N159" s="26"/>
      <c r="O159" s="26"/>
      <c r="P159" s="26"/>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row>
    <row r="160" spans="1:40" ht="12.75">
      <c r="A160" s="15"/>
      <c r="B160" s="15"/>
      <c r="C160" s="26"/>
      <c r="D160" s="15"/>
      <c r="E160" s="15"/>
      <c r="F160" s="3"/>
      <c r="G160" s="26"/>
      <c r="H160" s="15"/>
      <c r="I160" s="26"/>
      <c r="J160" s="15"/>
      <c r="K160" s="26"/>
      <c r="L160" s="15"/>
      <c r="M160" s="26"/>
      <c r="N160" s="26"/>
      <c r="O160" s="26"/>
      <c r="P160" s="26"/>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row>
    <row r="161" spans="1:40" ht="12.75">
      <c r="A161" s="15"/>
      <c r="B161" s="15"/>
      <c r="C161" s="26"/>
      <c r="D161" s="15"/>
      <c r="E161" s="15"/>
      <c r="F161" s="3"/>
      <c r="G161" s="26"/>
      <c r="H161" s="15"/>
      <c r="I161" s="26"/>
      <c r="J161" s="15"/>
      <c r="K161" s="26"/>
      <c r="L161" s="15"/>
      <c r="M161" s="26"/>
      <c r="N161" s="26"/>
      <c r="O161" s="26"/>
      <c r="P161" s="26"/>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row>
    <row r="162" spans="1:40" ht="12.75">
      <c r="A162" s="15"/>
      <c r="B162" s="15"/>
      <c r="C162" s="26"/>
      <c r="D162" s="15"/>
      <c r="E162" s="15"/>
      <c r="F162" s="3"/>
      <c r="G162" s="26"/>
      <c r="H162" s="15"/>
      <c r="I162" s="26"/>
      <c r="J162" s="15"/>
      <c r="K162" s="26"/>
      <c r="L162" s="15"/>
      <c r="M162" s="26"/>
      <c r="N162" s="26"/>
      <c r="O162" s="26"/>
      <c r="P162" s="26"/>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row>
    <row r="163" spans="1:40" ht="12.75">
      <c r="A163" s="15"/>
      <c r="B163" s="15"/>
      <c r="C163" s="26"/>
      <c r="D163" s="15"/>
      <c r="E163" s="15"/>
      <c r="F163" s="3"/>
      <c r="G163" s="26"/>
      <c r="H163" s="15"/>
      <c r="I163" s="26"/>
      <c r="J163" s="15"/>
      <c r="K163" s="26"/>
      <c r="L163" s="15"/>
      <c r="M163" s="26"/>
      <c r="N163" s="26"/>
      <c r="O163" s="26"/>
      <c r="P163" s="26"/>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row>
    <row r="164" spans="1:40" ht="12.75">
      <c r="A164" s="15"/>
      <c r="B164" s="15"/>
      <c r="C164" s="26"/>
      <c r="D164" s="15"/>
      <c r="E164" s="15"/>
      <c r="F164" s="3"/>
      <c r="G164" s="26"/>
      <c r="H164" s="15"/>
      <c r="I164" s="26"/>
      <c r="J164" s="15"/>
      <c r="K164" s="26"/>
      <c r="L164" s="15"/>
      <c r="M164" s="26"/>
      <c r="N164" s="26"/>
      <c r="O164" s="26"/>
      <c r="P164" s="26"/>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row>
    <row r="165" spans="1:40" ht="12.75">
      <c r="A165" s="15"/>
      <c r="B165" s="15"/>
      <c r="C165" s="26"/>
      <c r="D165" s="15"/>
      <c r="E165" s="15"/>
      <c r="F165" s="3"/>
      <c r="G165" s="26"/>
      <c r="H165" s="15"/>
      <c r="I165" s="26"/>
      <c r="J165" s="15"/>
      <c r="K165" s="26"/>
      <c r="L165" s="15"/>
      <c r="M165" s="26"/>
      <c r="N165" s="26"/>
      <c r="O165" s="26"/>
      <c r="P165" s="26"/>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row>
    <row r="166" spans="1:40" ht="12.75">
      <c r="A166" s="15"/>
      <c r="B166" s="15"/>
      <c r="C166" s="26"/>
      <c r="D166" s="15"/>
      <c r="E166" s="15"/>
      <c r="F166" s="3"/>
      <c r="G166" s="26"/>
      <c r="H166" s="15"/>
      <c r="I166" s="26"/>
      <c r="J166" s="15"/>
      <c r="K166" s="26"/>
      <c r="L166" s="15"/>
      <c r="M166" s="26"/>
      <c r="N166" s="26"/>
      <c r="O166" s="26"/>
      <c r="P166" s="26"/>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row>
    <row r="167" spans="1:40" ht="12.75">
      <c r="A167" s="15"/>
      <c r="B167" s="15"/>
      <c r="C167" s="26"/>
      <c r="D167" s="15"/>
      <c r="E167" s="15"/>
      <c r="F167" s="3"/>
      <c r="G167" s="26"/>
      <c r="H167" s="15"/>
      <c r="I167" s="26"/>
      <c r="J167" s="15"/>
      <c r="K167" s="26"/>
      <c r="L167" s="15"/>
      <c r="M167" s="26"/>
      <c r="N167" s="26"/>
      <c r="O167" s="26"/>
      <c r="P167" s="26"/>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row>
    <row r="168" spans="1:40" ht="12.75">
      <c r="A168" s="15"/>
      <c r="B168" s="15"/>
      <c r="C168" s="26"/>
      <c r="D168" s="15"/>
      <c r="E168" s="15"/>
      <c r="F168" s="3"/>
      <c r="G168" s="26"/>
      <c r="H168" s="15"/>
      <c r="I168" s="26"/>
      <c r="J168" s="15"/>
      <c r="K168" s="26"/>
      <c r="L168" s="15"/>
      <c r="M168" s="26"/>
      <c r="N168" s="26"/>
      <c r="O168" s="26"/>
      <c r="P168" s="26"/>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row>
    <row r="169" spans="1:40" ht="12.75">
      <c r="A169" s="15"/>
      <c r="B169" s="15"/>
      <c r="C169" s="26"/>
      <c r="D169" s="15"/>
      <c r="E169" s="15"/>
      <c r="F169" s="3"/>
      <c r="G169" s="26"/>
      <c r="H169" s="15"/>
      <c r="I169" s="26"/>
      <c r="J169" s="15"/>
      <c r="K169" s="26"/>
      <c r="L169" s="15"/>
      <c r="M169" s="26"/>
      <c r="N169" s="26"/>
      <c r="O169" s="26"/>
      <c r="P169" s="26"/>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row>
    <row r="170" spans="1:40" ht="12.75">
      <c r="A170" s="15"/>
      <c r="B170" s="15"/>
      <c r="C170" s="26"/>
      <c r="D170" s="15"/>
      <c r="E170" s="15"/>
      <c r="F170" s="3"/>
      <c r="G170" s="26"/>
      <c r="H170" s="15"/>
      <c r="I170" s="26"/>
      <c r="J170" s="15"/>
      <c r="K170" s="26"/>
      <c r="L170" s="15"/>
      <c r="M170" s="26"/>
      <c r="N170" s="26"/>
      <c r="O170" s="26"/>
      <c r="P170" s="26"/>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row>
    <row r="171" spans="1:40" ht="12.75">
      <c r="A171" s="15"/>
      <c r="B171" s="15"/>
      <c r="C171" s="26"/>
      <c r="D171" s="15"/>
      <c r="E171" s="15"/>
      <c r="F171" s="3"/>
      <c r="G171" s="26"/>
      <c r="H171" s="15"/>
      <c r="I171" s="26"/>
      <c r="J171" s="15"/>
      <c r="K171" s="26"/>
      <c r="L171" s="15"/>
      <c r="M171" s="26"/>
      <c r="N171" s="26"/>
      <c r="O171" s="26"/>
      <c r="P171" s="26"/>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row>
    <row r="172" spans="1:40" ht="12.75">
      <c r="A172" s="15"/>
      <c r="B172" s="15"/>
      <c r="C172" s="26"/>
      <c r="D172" s="15"/>
      <c r="E172" s="15"/>
      <c r="F172" s="3"/>
      <c r="G172" s="26"/>
      <c r="H172" s="15"/>
      <c r="I172" s="26"/>
      <c r="J172" s="15"/>
      <c r="K172" s="26"/>
      <c r="L172" s="15"/>
      <c r="M172" s="26"/>
      <c r="N172" s="26"/>
      <c r="O172" s="26"/>
      <c r="P172" s="26"/>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row>
    <row r="173" spans="1:40" ht="12.75">
      <c r="A173" s="15"/>
      <c r="B173" s="15"/>
      <c r="C173" s="26"/>
      <c r="D173" s="15"/>
      <c r="E173" s="15"/>
      <c r="F173" s="3"/>
      <c r="G173" s="26"/>
      <c r="H173" s="15"/>
      <c r="I173" s="26"/>
      <c r="J173" s="15"/>
      <c r="K173" s="26"/>
      <c r="L173" s="15"/>
      <c r="M173" s="26"/>
      <c r="N173" s="26"/>
      <c r="O173" s="26"/>
      <c r="P173" s="26"/>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row>
    <row r="174" spans="1:40" ht="12.75">
      <c r="A174" s="15"/>
      <c r="B174" s="15"/>
      <c r="C174" s="26"/>
      <c r="D174" s="15"/>
      <c r="E174" s="15"/>
      <c r="F174" s="3"/>
      <c r="G174" s="26"/>
      <c r="H174" s="15"/>
      <c r="I174" s="26"/>
      <c r="J174" s="15"/>
      <c r="K174" s="26"/>
      <c r="L174" s="15"/>
      <c r="M174" s="26"/>
      <c r="N174" s="26"/>
      <c r="O174" s="26"/>
      <c r="P174" s="26"/>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row>
    <row r="175" spans="1:40" ht="12.75">
      <c r="A175" s="15"/>
      <c r="B175" s="15"/>
      <c r="C175" s="26"/>
      <c r="D175" s="15"/>
      <c r="E175" s="15"/>
      <c r="F175" s="3"/>
      <c r="G175" s="26"/>
      <c r="H175" s="15"/>
      <c r="I175" s="26"/>
      <c r="J175" s="15"/>
      <c r="K175" s="26"/>
      <c r="L175" s="15"/>
      <c r="M175" s="26"/>
      <c r="N175" s="26"/>
      <c r="O175" s="26"/>
      <c r="P175" s="26"/>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row>
    <row r="176" spans="1:40" ht="12.75">
      <c r="A176" s="15"/>
      <c r="B176" s="15"/>
      <c r="C176" s="26"/>
      <c r="D176" s="15"/>
      <c r="E176" s="15"/>
      <c r="F176" s="3"/>
      <c r="G176" s="26"/>
      <c r="H176" s="15"/>
      <c r="I176" s="26"/>
      <c r="J176" s="15"/>
      <c r="K176" s="26"/>
      <c r="L176" s="15"/>
      <c r="M176" s="26"/>
      <c r="N176" s="26"/>
      <c r="O176" s="26"/>
      <c r="P176" s="26"/>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row>
    <row r="177" spans="1:40" ht="12.75">
      <c r="A177" s="15"/>
      <c r="B177" s="15"/>
      <c r="C177" s="26"/>
      <c r="D177" s="15"/>
      <c r="E177" s="15"/>
      <c r="F177" s="3"/>
      <c r="G177" s="26"/>
      <c r="H177" s="15"/>
      <c r="I177" s="26"/>
      <c r="J177" s="15"/>
      <c r="K177" s="26"/>
      <c r="L177" s="15"/>
      <c r="M177" s="26"/>
      <c r="N177" s="26"/>
      <c r="O177" s="26"/>
      <c r="P177" s="26"/>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row>
    <row r="178" spans="1:40" ht="12.75">
      <c r="A178" s="15"/>
      <c r="B178" s="15"/>
      <c r="C178" s="26"/>
      <c r="D178" s="15"/>
      <c r="E178" s="15"/>
      <c r="F178" s="3"/>
      <c r="G178" s="26"/>
      <c r="H178" s="15"/>
      <c r="I178" s="26"/>
      <c r="J178" s="15"/>
      <c r="K178" s="26"/>
      <c r="L178" s="15"/>
      <c r="M178" s="26"/>
      <c r="N178" s="26"/>
      <c r="O178" s="26"/>
      <c r="P178" s="26"/>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row>
    <row r="179" spans="1:40" ht="12.75">
      <c r="A179" s="15"/>
      <c r="B179" s="15"/>
      <c r="C179" s="26"/>
      <c r="D179" s="15"/>
      <c r="E179" s="15"/>
      <c r="F179" s="3"/>
      <c r="G179" s="26"/>
      <c r="H179" s="15"/>
      <c r="I179" s="26"/>
      <c r="J179" s="15"/>
      <c r="K179" s="26"/>
      <c r="L179" s="15"/>
      <c r="M179" s="26"/>
      <c r="N179" s="26"/>
      <c r="O179" s="26"/>
      <c r="P179" s="26"/>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row>
    <row r="180" spans="1:40" ht="12.75">
      <c r="A180" s="15"/>
      <c r="B180" s="15"/>
      <c r="C180" s="26"/>
      <c r="D180" s="15"/>
      <c r="E180" s="15"/>
      <c r="F180" s="3"/>
      <c r="G180" s="26"/>
      <c r="H180" s="15"/>
      <c r="I180" s="26"/>
      <c r="J180" s="15"/>
      <c r="K180" s="26"/>
      <c r="L180" s="15"/>
      <c r="M180" s="26"/>
      <c r="N180" s="26"/>
      <c r="O180" s="26"/>
      <c r="P180" s="26"/>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row>
    <row r="181" spans="1:40" ht="12.75">
      <c r="A181" s="15"/>
      <c r="B181" s="15"/>
      <c r="C181" s="26"/>
      <c r="D181" s="15"/>
      <c r="E181" s="15"/>
      <c r="F181" s="3"/>
      <c r="G181" s="26"/>
      <c r="H181" s="15"/>
      <c r="I181" s="26"/>
      <c r="J181" s="15"/>
      <c r="K181" s="26"/>
      <c r="L181" s="15"/>
      <c r="M181" s="26"/>
      <c r="N181" s="26"/>
      <c r="O181" s="26"/>
      <c r="P181" s="26"/>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row>
    <row r="182" spans="1:40" ht="12.75">
      <c r="A182" s="15"/>
      <c r="B182" s="15"/>
      <c r="C182" s="26"/>
      <c r="D182" s="15"/>
      <c r="E182" s="15"/>
      <c r="F182" s="3"/>
      <c r="G182" s="26"/>
      <c r="H182" s="15"/>
      <c r="I182" s="26"/>
      <c r="J182" s="15"/>
      <c r="K182" s="26"/>
      <c r="L182" s="15"/>
      <c r="M182" s="26"/>
      <c r="N182" s="26"/>
      <c r="O182" s="26"/>
      <c r="P182" s="26"/>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row>
    <row r="183" spans="1:40" ht="12.75">
      <c r="A183" s="15"/>
      <c r="B183" s="15"/>
      <c r="C183" s="26"/>
      <c r="D183" s="15"/>
      <c r="E183" s="15"/>
      <c r="F183" s="3"/>
      <c r="G183" s="26"/>
      <c r="H183" s="15"/>
      <c r="I183" s="26"/>
      <c r="J183" s="15"/>
      <c r="K183" s="26"/>
      <c r="L183" s="15"/>
      <c r="M183" s="26"/>
      <c r="N183" s="26"/>
      <c r="O183" s="26"/>
      <c r="P183" s="26"/>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row>
    <row r="184" spans="1:40" ht="12.75">
      <c r="A184" s="15"/>
      <c r="B184" s="15"/>
      <c r="C184" s="26"/>
      <c r="D184" s="15"/>
      <c r="E184" s="15"/>
      <c r="F184" s="3"/>
      <c r="G184" s="26"/>
      <c r="H184" s="15"/>
      <c r="I184" s="26"/>
      <c r="J184" s="15"/>
      <c r="K184" s="26"/>
      <c r="L184" s="15"/>
      <c r="M184" s="26"/>
      <c r="N184" s="26"/>
      <c r="O184" s="26"/>
      <c r="P184" s="26"/>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row>
    <row r="185" spans="1:40" ht="12.75">
      <c r="A185" s="15"/>
      <c r="B185" s="15"/>
      <c r="C185" s="26"/>
      <c r="D185" s="15"/>
      <c r="E185" s="15"/>
      <c r="F185" s="3"/>
      <c r="G185" s="26"/>
      <c r="H185" s="15"/>
      <c r="I185" s="26"/>
      <c r="J185" s="15"/>
      <c r="K185" s="26"/>
      <c r="L185" s="15"/>
      <c r="M185" s="26"/>
      <c r="N185" s="26"/>
      <c r="O185" s="26"/>
      <c r="P185" s="26"/>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row>
    <row r="186" spans="1:40" ht="12.75">
      <c r="A186" s="15"/>
      <c r="B186" s="15"/>
      <c r="C186" s="26"/>
      <c r="D186" s="15"/>
      <c r="E186" s="15"/>
      <c r="F186" s="3"/>
      <c r="G186" s="26"/>
      <c r="H186" s="15"/>
      <c r="I186" s="26"/>
      <c r="J186" s="15"/>
      <c r="K186" s="26"/>
      <c r="L186" s="15"/>
      <c r="M186" s="26"/>
      <c r="N186" s="26"/>
      <c r="O186" s="26"/>
      <c r="P186" s="26"/>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row>
    <row r="187" spans="1:40" ht="12.75">
      <c r="A187" s="15"/>
      <c r="B187" s="15"/>
      <c r="C187" s="26"/>
      <c r="D187" s="15"/>
      <c r="E187" s="15"/>
      <c r="F187" s="3"/>
      <c r="G187" s="26"/>
      <c r="H187" s="15"/>
      <c r="I187" s="26"/>
      <c r="J187" s="15"/>
      <c r="K187" s="26"/>
      <c r="L187" s="15"/>
      <c r="M187" s="26"/>
      <c r="N187" s="26"/>
      <c r="O187" s="26"/>
      <c r="P187" s="26"/>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row>
    <row r="188" spans="1:40" ht="12.75">
      <c r="A188" s="15"/>
      <c r="B188" s="15"/>
      <c r="C188" s="26"/>
      <c r="D188" s="15"/>
      <c r="E188" s="15"/>
      <c r="F188" s="3"/>
      <c r="G188" s="26"/>
      <c r="H188" s="15"/>
      <c r="I188" s="26"/>
      <c r="J188" s="15"/>
      <c r="K188" s="26"/>
      <c r="L188" s="15"/>
      <c r="M188" s="26"/>
      <c r="N188" s="26"/>
      <c r="O188" s="26"/>
      <c r="P188" s="26"/>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row>
    <row r="189" spans="1:40" ht="12.75">
      <c r="A189" s="15"/>
      <c r="B189" s="15"/>
      <c r="C189" s="26"/>
      <c r="D189" s="15"/>
      <c r="E189" s="15"/>
      <c r="F189" s="3"/>
      <c r="G189" s="26"/>
      <c r="H189" s="15"/>
      <c r="I189" s="26"/>
      <c r="J189" s="15"/>
      <c r="K189" s="26"/>
      <c r="L189" s="15"/>
      <c r="M189" s="26"/>
      <c r="N189" s="26"/>
      <c r="O189" s="26"/>
      <c r="P189" s="26"/>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row>
    <row r="190" spans="1:40" ht="12.75">
      <c r="A190" s="15"/>
      <c r="B190" s="15"/>
      <c r="C190" s="26"/>
      <c r="D190" s="15"/>
      <c r="E190" s="15"/>
      <c r="F190" s="3"/>
      <c r="G190" s="26"/>
      <c r="H190" s="15"/>
      <c r="I190" s="26"/>
      <c r="J190" s="15"/>
      <c r="K190" s="26"/>
      <c r="L190" s="15"/>
      <c r="M190" s="26"/>
      <c r="N190" s="26"/>
      <c r="O190" s="26"/>
      <c r="P190" s="26"/>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row>
    <row r="191" spans="1:40" ht="12.75">
      <c r="A191" s="15"/>
      <c r="B191" s="15"/>
      <c r="C191" s="26"/>
      <c r="D191" s="15"/>
      <c r="E191" s="15"/>
      <c r="F191" s="3"/>
      <c r="G191" s="26"/>
      <c r="H191" s="15"/>
      <c r="I191" s="26"/>
      <c r="J191" s="15"/>
      <c r="K191" s="26"/>
      <c r="L191" s="15"/>
      <c r="M191" s="26"/>
      <c r="N191" s="26"/>
      <c r="O191" s="26"/>
      <c r="P191" s="26"/>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row>
    <row r="192" spans="1:40" ht="12.75">
      <c r="A192" s="15"/>
      <c r="B192" s="15"/>
      <c r="C192" s="26"/>
      <c r="D192" s="15"/>
      <c r="E192" s="15"/>
      <c r="F192" s="3"/>
      <c r="G192" s="26"/>
      <c r="H192" s="15"/>
      <c r="I192" s="26"/>
      <c r="J192" s="15"/>
      <c r="K192" s="26"/>
      <c r="L192" s="15"/>
      <c r="M192" s="26"/>
      <c r="N192" s="26"/>
      <c r="O192" s="26"/>
      <c r="P192" s="26"/>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row>
    <row r="193" spans="1:40" ht="12.75">
      <c r="A193" s="15"/>
      <c r="B193" s="15"/>
      <c r="C193" s="26"/>
      <c r="D193" s="15"/>
      <c r="E193" s="15"/>
      <c r="F193" s="3"/>
      <c r="G193" s="26"/>
      <c r="H193" s="15"/>
      <c r="I193" s="26"/>
      <c r="J193" s="15"/>
      <c r="K193" s="26"/>
      <c r="L193" s="15"/>
      <c r="M193" s="26"/>
      <c r="N193" s="26"/>
      <c r="O193" s="26"/>
      <c r="P193" s="26"/>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row>
    <row r="194" spans="1:40" ht="12.75">
      <c r="A194" s="15"/>
      <c r="B194" s="15"/>
      <c r="C194" s="26"/>
      <c r="D194" s="15"/>
      <c r="E194" s="15"/>
      <c r="F194" s="3"/>
      <c r="G194" s="26"/>
      <c r="H194" s="15"/>
      <c r="I194" s="26"/>
      <c r="J194" s="15"/>
      <c r="K194" s="26"/>
      <c r="L194" s="15"/>
      <c r="M194" s="26"/>
      <c r="N194" s="26"/>
      <c r="O194" s="26"/>
      <c r="P194" s="26"/>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row>
    <row r="195" spans="1:40" ht="12.75">
      <c r="A195" s="15"/>
      <c r="B195" s="15"/>
      <c r="C195" s="26"/>
      <c r="D195" s="15"/>
      <c r="E195" s="15"/>
      <c r="F195" s="3"/>
      <c r="G195" s="26"/>
      <c r="H195" s="15"/>
      <c r="I195" s="26"/>
      <c r="J195" s="15"/>
      <c r="K195" s="26"/>
      <c r="L195" s="15"/>
      <c r="M195" s="26"/>
      <c r="N195" s="26"/>
      <c r="O195" s="26"/>
      <c r="P195" s="26"/>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row>
    <row r="196" spans="1:40" ht="12.75">
      <c r="A196" s="15"/>
      <c r="B196" s="15"/>
      <c r="C196" s="26"/>
      <c r="D196" s="15"/>
      <c r="E196" s="15"/>
      <c r="F196" s="3"/>
      <c r="G196" s="26"/>
      <c r="H196" s="15"/>
      <c r="I196" s="26"/>
      <c r="J196" s="15"/>
      <c r="K196" s="26"/>
      <c r="L196" s="15"/>
      <c r="M196" s="26"/>
      <c r="N196" s="26"/>
      <c r="O196" s="26"/>
      <c r="P196" s="26"/>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row>
    <row r="197" spans="1:40" ht="12.75">
      <c r="A197" s="15"/>
      <c r="B197" s="15"/>
      <c r="C197" s="26"/>
      <c r="D197" s="15"/>
      <c r="E197" s="15"/>
      <c r="F197" s="3"/>
      <c r="G197" s="26"/>
      <c r="H197" s="15"/>
      <c r="I197" s="26"/>
      <c r="J197" s="15"/>
      <c r="K197" s="26"/>
      <c r="L197" s="15"/>
      <c r="M197" s="26"/>
      <c r="N197" s="26"/>
      <c r="O197" s="26"/>
      <c r="P197" s="26"/>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row>
    <row r="198" spans="1:40" ht="12.75">
      <c r="A198" s="15"/>
      <c r="B198" s="15"/>
      <c r="C198" s="26"/>
      <c r="D198" s="15"/>
      <c r="E198" s="15"/>
      <c r="F198" s="3"/>
      <c r="G198" s="26"/>
      <c r="H198" s="15"/>
      <c r="I198" s="26"/>
      <c r="J198" s="15"/>
      <c r="K198" s="26"/>
      <c r="L198" s="15"/>
      <c r="M198" s="26"/>
      <c r="N198" s="26"/>
      <c r="O198" s="26"/>
      <c r="P198" s="26"/>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row>
    <row r="199" spans="1:40" ht="12.75">
      <c r="A199" s="15"/>
      <c r="B199" s="15"/>
      <c r="C199" s="26"/>
      <c r="D199" s="15"/>
      <c r="E199" s="15"/>
      <c r="F199" s="3"/>
      <c r="G199" s="26"/>
      <c r="H199" s="15"/>
      <c r="I199" s="26"/>
      <c r="J199" s="15"/>
      <c r="K199" s="26"/>
      <c r="L199" s="15"/>
      <c r="M199" s="26"/>
      <c r="N199" s="26"/>
      <c r="O199" s="26"/>
      <c r="P199" s="26"/>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row>
    <row r="200" spans="1:40" ht="12.75">
      <c r="A200" s="15"/>
      <c r="B200" s="15"/>
      <c r="C200" s="26"/>
      <c r="D200" s="15"/>
      <c r="E200" s="15"/>
      <c r="F200" s="3"/>
      <c r="G200" s="26"/>
      <c r="H200" s="15"/>
      <c r="I200" s="26"/>
      <c r="J200" s="15"/>
      <c r="K200" s="26"/>
      <c r="L200" s="15"/>
      <c r="M200" s="26"/>
      <c r="N200" s="26"/>
      <c r="O200" s="26"/>
      <c r="P200" s="26"/>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row>
    <row r="201" spans="1:40" ht="12.75">
      <c r="A201" s="15"/>
      <c r="B201" s="15"/>
      <c r="C201" s="26"/>
      <c r="D201" s="15"/>
      <c r="E201" s="15"/>
      <c r="F201" s="3"/>
      <c r="G201" s="26"/>
      <c r="H201" s="15"/>
      <c r="I201" s="26"/>
      <c r="J201" s="15"/>
      <c r="K201" s="26"/>
      <c r="L201" s="15"/>
      <c r="M201" s="26"/>
      <c r="N201" s="26"/>
      <c r="O201" s="26"/>
      <c r="P201" s="26"/>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row>
    <row r="202" spans="1:40" ht="12.75">
      <c r="A202" s="15"/>
      <c r="B202" s="15"/>
      <c r="C202" s="26"/>
      <c r="D202" s="15"/>
      <c r="E202" s="15"/>
      <c r="F202" s="3"/>
      <c r="G202" s="26"/>
      <c r="H202" s="15"/>
      <c r="I202" s="26"/>
      <c r="J202" s="15"/>
      <c r="K202" s="26"/>
      <c r="L202" s="15"/>
      <c r="M202" s="26"/>
      <c r="N202" s="26"/>
      <c r="O202" s="26"/>
      <c r="P202" s="26"/>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row>
    <row r="203" spans="1:40" ht="12.75">
      <c r="A203" s="15"/>
      <c r="B203" s="15"/>
      <c r="C203" s="26"/>
      <c r="D203" s="15"/>
      <c r="E203" s="15"/>
      <c r="F203" s="3"/>
      <c r="G203" s="26"/>
      <c r="H203" s="15"/>
      <c r="I203" s="26"/>
      <c r="J203" s="15"/>
      <c r="K203" s="26"/>
      <c r="L203" s="15"/>
      <c r="M203" s="26"/>
      <c r="N203" s="26"/>
      <c r="O203" s="26"/>
      <c r="P203" s="26"/>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row>
    <row r="204" spans="1:40" ht="12.75">
      <c r="A204" s="15"/>
      <c r="B204" s="15"/>
      <c r="C204" s="26"/>
      <c r="D204" s="15"/>
      <c r="E204" s="15"/>
      <c r="F204" s="3"/>
      <c r="G204" s="26"/>
      <c r="H204" s="15"/>
      <c r="I204" s="26"/>
      <c r="J204" s="15"/>
      <c r="K204" s="26"/>
      <c r="L204" s="15"/>
      <c r="M204" s="26"/>
      <c r="N204" s="26"/>
      <c r="O204" s="26"/>
      <c r="P204" s="26"/>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row>
    <row r="205" spans="1:40" ht="12.75">
      <c r="A205" s="15"/>
      <c r="B205" s="15"/>
      <c r="C205" s="26"/>
      <c r="D205" s="15"/>
      <c r="E205" s="15"/>
      <c r="F205" s="3"/>
      <c r="G205" s="26"/>
      <c r="H205" s="15"/>
      <c r="I205" s="26"/>
      <c r="J205" s="15"/>
      <c r="K205" s="26"/>
      <c r="L205" s="15"/>
      <c r="M205" s="26"/>
      <c r="N205" s="26"/>
      <c r="O205" s="26"/>
      <c r="P205" s="26"/>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row>
    <row r="206" spans="1:40" ht="12.75">
      <c r="A206" s="15"/>
      <c r="B206" s="15"/>
      <c r="C206" s="26"/>
      <c r="D206" s="15"/>
      <c r="E206" s="15"/>
      <c r="F206" s="3"/>
      <c r="G206" s="26"/>
      <c r="H206" s="15"/>
      <c r="I206" s="26"/>
      <c r="J206" s="15"/>
      <c r="K206" s="26"/>
      <c r="L206" s="15"/>
      <c r="M206" s="26"/>
      <c r="N206" s="26"/>
      <c r="O206" s="26"/>
      <c r="P206" s="26"/>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row>
    <row r="207" spans="1:40" ht="12.75">
      <c r="A207" s="15"/>
      <c r="B207" s="15"/>
      <c r="C207" s="26"/>
      <c r="D207" s="15"/>
      <c r="E207" s="15"/>
      <c r="F207" s="3"/>
      <c r="G207" s="26"/>
      <c r="H207" s="15"/>
      <c r="I207" s="26"/>
      <c r="J207" s="15"/>
      <c r="K207" s="26"/>
      <c r="L207" s="15"/>
      <c r="M207" s="26"/>
      <c r="N207" s="26"/>
      <c r="O207" s="26"/>
      <c r="P207" s="26"/>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row>
    <row r="208" spans="1:40" ht="12.75">
      <c r="A208" s="15"/>
      <c r="B208" s="15"/>
      <c r="C208" s="26"/>
      <c r="D208" s="15"/>
      <c r="E208" s="15"/>
      <c r="F208" s="3"/>
      <c r="G208" s="26"/>
      <c r="H208" s="15"/>
      <c r="I208" s="26"/>
      <c r="J208" s="15"/>
      <c r="K208" s="26"/>
      <c r="L208" s="15"/>
      <c r="M208" s="26"/>
      <c r="N208" s="26"/>
      <c r="O208" s="26"/>
      <c r="P208" s="26"/>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row>
    <row r="209" spans="1:40" ht="12.75">
      <c r="A209" s="15"/>
      <c r="B209" s="15"/>
      <c r="C209" s="26"/>
      <c r="D209" s="15"/>
      <c r="E209" s="15"/>
      <c r="F209" s="3"/>
      <c r="G209" s="26"/>
      <c r="H209" s="15"/>
      <c r="I209" s="26"/>
      <c r="J209" s="15"/>
      <c r="K209" s="26"/>
      <c r="L209" s="15"/>
      <c r="M209" s="26"/>
      <c r="N209" s="26"/>
      <c r="O209" s="26"/>
      <c r="P209" s="26"/>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row>
    <row r="210" spans="1:40" ht="12.75">
      <c r="A210" s="15"/>
      <c r="B210" s="15"/>
      <c r="C210" s="26"/>
      <c r="D210" s="15"/>
      <c r="E210" s="15"/>
      <c r="F210" s="3"/>
      <c r="G210" s="26"/>
      <c r="H210" s="15"/>
      <c r="I210" s="26"/>
      <c r="J210" s="15"/>
      <c r="K210" s="26"/>
      <c r="L210" s="15"/>
      <c r="M210" s="26"/>
      <c r="N210" s="26"/>
      <c r="O210" s="26"/>
      <c r="P210" s="26"/>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row>
    <row r="211" spans="1:40" ht="12.75">
      <c r="A211" s="15"/>
      <c r="B211" s="15"/>
      <c r="C211" s="26"/>
      <c r="D211" s="15"/>
      <c r="E211" s="15"/>
      <c r="F211" s="3"/>
      <c r="G211" s="26"/>
      <c r="H211" s="15"/>
      <c r="I211" s="26"/>
      <c r="J211" s="15"/>
      <c r="K211" s="26"/>
      <c r="L211" s="15"/>
      <c r="M211" s="26"/>
      <c r="N211" s="26"/>
      <c r="O211" s="26"/>
      <c r="P211" s="26"/>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row>
    <row r="212" spans="1:40" ht="12.75">
      <c r="A212" s="15"/>
      <c r="B212" s="15"/>
      <c r="C212" s="26"/>
      <c r="D212" s="15"/>
      <c r="E212" s="15"/>
      <c r="F212" s="3"/>
      <c r="G212" s="26"/>
      <c r="H212" s="15"/>
      <c r="I212" s="26"/>
      <c r="J212" s="15"/>
      <c r="K212" s="26"/>
      <c r="L212" s="15"/>
      <c r="M212" s="26"/>
      <c r="N212" s="26"/>
      <c r="O212" s="26"/>
      <c r="P212" s="26"/>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row>
    <row r="213" spans="1:40" ht="12.75">
      <c r="A213" s="15"/>
      <c r="B213" s="15"/>
      <c r="C213" s="26"/>
      <c r="D213" s="15"/>
      <c r="E213" s="15"/>
      <c r="F213" s="3"/>
      <c r="G213" s="26"/>
      <c r="H213" s="15"/>
      <c r="I213" s="26"/>
      <c r="J213" s="15"/>
      <c r="K213" s="26"/>
      <c r="L213" s="15"/>
      <c r="M213" s="26"/>
      <c r="N213" s="26"/>
      <c r="O213" s="26"/>
      <c r="P213" s="26"/>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row>
    <row r="214" spans="1:40" ht="12.75">
      <c r="A214" s="15"/>
      <c r="B214" s="15"/>
      <c r="C214" s="26"/>
      <c r="D214" s="15"/>
      <c r="E214" s="15"/>
      <c r="F214" s="3"/>
      <c r="G214" s="26"/>
      <c r="H214" s="15"/>
      <c r="I214" s="26"/>
      <c r="J214" s="15"/>
      <c r="K214" s="26"/>
      <c r="L214" s="15"/>
      <c r="M214" s="26"/>
      <c r="N214" s="26"/>
      <c r="O214" s="26"/>
      <c r="P214" s="26"/>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row>
    <row r="215" spans="1:40" ht="12.75">
      <c r="A215" s="15"/>
      <c r="B215" s="15"/>
      <c r="C215" s="26"/>
      <c r="D215" s="15"/>
      <c r="E215" s="15"/>
      <c r="F215" s="3"/>
      <c r="G215" s="26"/>
      <c r="H215" s="15"/>
      <c r="I215" s="26"/>
      <c r="J215" s="15"/>
      <c r="K215" s="26"/>
      <c r="L215" s="15"/>
      <c r="M215" s="26"/>
      <c r="N215" s="26"/>
      <c r="O215" s="26"/>
      <c r="P215" s="26"/>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row>
    <row r="216" spans="1:40" ht="12.75">
      <c r="A216" s="15"/>
      <c r="B216" s="15"/>
      <c r="C216" s="26"/>
      <c r="D216" s="15"/>
      <c r="E216" s="15"/>
      <c r="F216" s="3"/>
      <c r="G216" s="26"/>
      <c r="H216" s="15"/>
      <c r="I216" s="26"/>
      <c r="J216" s="15"/>
      <c r="K216" s="26"/>
      <c r="L216" s="15"/>
      <c r="M216" s="26"/>
      <c r="N216" s="26"/>
      <c r="O216" s="26"/>
      <c r="P216" s="26"/>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row>
    <row r="217" spans="1:40" ht="12.75">
      <c r="A217" s="15"/>
      <c r="B217" s="15"/>
      <c r="C217" s="26"/>
      <c r="D217" s="15"/>
      <c r="E217" s="15"/>
      <c r="F217" s="3"/>
      <c r="G217" s="26"/>
      <c r="H217" s="15"/>
      <c r="I217" s="26"/>
      <c r="J217" s="15"/>
      <c r="K217" s="26"/>
      <c r="L217" s="15"/>
      <c r="M217" s="26"/>
      <c r="N217" s="26"/>
      <c r="O217" s="26"/>
      <c r="P217" s="26"/>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row>
    <row r="218" spans="1:40" ht="12.75">
      <c r="A218" s="15"/>
      <c r="B218" s="15"/>
      <c r="C218" s="26"/>
      <c r="D218" s="15"/>
      <c r="E218" s="15"/>
      <c r="F218" s="3"/>
      <c r="G218" s="26"/>
      <c r="H218" s="15"/>
      <c r="I218" s="26"/>
      <c r="J218" s="15"/>
      <c r="K218" s="26"/>
      <c r="L218" s="15"/>
      <c r="M218" s="26"/>
      <c r="N218" s="26"/>
      <c r="O218" s="26"/>
      <c r="P218" s="26"/>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row>
    <row r="219" spans="1:40" ht="12.75">
      <c r="A219" s="15"/>
      <c r="B219" s="15"/>
      <c r="C219" s="26"/>
      <c r="D219" s="15"/>
      <c r="E219" s="15"/>
      <c r="F219" s="3"/>
      <c r="G219" s="26"/>
      <c r="H219" s="15"/>
      <c r="I219" s="26"/>
      <c r="J219" s="15"/>
      <c r="K219" s="26"/>
      <c r="L219" s="15"/>
      <c r="M219" s="26"/>
      <c r="N219" s="26"/>
      <c r="O219" s="26"/>
      <c r="P219" s="26"/>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row>
    <row r="220" spans="1:40" ht="12.75">
      <c r="A220" s="15"/>
      <c r="B220" s="15"/>
      <c r="C220" s="26"/>
      <c r="D220" s="15"/>
      <c r="E220" s="15"/>
      <c r="F220" s="3"/>
      <c r="G220" s="26"/>
      <c r="H220" s="15"/>
      <c r="I220" s="26"/>
      <c r="J220" s="15"/>
      <c r="K220" s="26"/>
      <c r="L220" s="15"/>
      <c r="M220" s="26"/>
      <c r="N220" s="26"/>
      <c r="O220" s="26"/>
      <c r="P220" s="26"/>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row>
    <row r="221" spans="1:40" ht="12.75">
      <c r="A221" s="15"/>
      <c r="B221" s="15"/>
      <c r="C221" s="26"/>
      <c r="D221" s="15"/>
      <c r="E221" s="15"/>
      <c r="F221" s="3"/>
      <c r="G221" s="26"/>
      <c r="H221" s="15"/>
      <c r="I221" s="26"/>
      <c r="J221" s="15"/>
      <c r="K221" s="26"/>
      <c r="L221" s="15"/>
      <c r="M221" s="26"/>
      <c r="N221" s="26"/>
      <c r="O221" s="26"/>
      <c r="P221" s="26"/>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row>
    <row r="222" spans="1:40" ht="12.75">
      <c r="A222" s="15"/>
      <c r="B222" s="15"/>
      <c r="C222" s="26"/>
      <c r="D222" s="15"/>
      <c r="E222" s="15"/>
      <c r="F222" s="3"/>
      <c r="G222" s="26"/>
      <c r="H222" s="15"/>
      <c r="I222" s="26"/>
      <c r="J222" s="15"/>
      <c r="K222" s="26"/>
      <c r="L222" s="15"/>
      <c r="M222" s="26"/>
      <c r="N222" s="26"/>
      <c r="O222" s="26"/>
      <c r="P222" s="26"/>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row>
    <row r="223" spans="1:40" ht="12.75">
      <c r="A223" s="15"/>
      <c r="B223" s="15"/>
      <c r="C223" s="26"/>
      <c r="D223" s="15"/>
      <c r="E223" s="15"/>
      <c r="F223" s="3"/>
      <c r="G223" s="26"/>
      <c r="H223" s="15"/>
      <c r="I223" s="26"/>
      <c r="J223" s="15"/>
      <c r="K223" s="26"/>
      <c r="L223" s="15"/>
      <c r="M223" s="26"/>
      <c r="N223" s="26"/>
      <c r="O223" s="26"/>
      <c r="P223" s="26"/>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row>
    <row r="224" spans="1:40" ht="12.75">
      <c r="A224" s="15"/>
      <c r="B224" s="15"/>
      <c r="C224" s="26"/>
      <c r="D224" s="15"/>
      <c r="E224" s="15"/>
      <c r="F224" s="3"/>
      <c r="G224" s="26"/>
      <c r="H224" s="15"/>
      <c r="I224" s="26"/>
      <c r="J224" s="15"/>
      <c r="K224" s="26"/>
      <c r="L224" s="15"/>
      <c r="M224" s="26"/>
      <c r="N224" s="26"/>
      <c r="O224" s="26"/>
      <c r="P224" s="26"/>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row>
    <row r="225" spans="1:40" ht="12.75">
      <c r="A225" s="15"/>
      <c r="B225" s="15"/>
      <c r="C225" s="26"/>
      <c r="D225" s="15"/>
      <c r="E225" s="15"/>
      <c r="F225" s="3"/>
      <c r="G225" s="26"/>
      <c r="H225" s="15"/>
      <c r="I225" s="26"/>
      <c r="J225" s="15"/>
      <c r="K225" s="26"/>
      <c r="L225" s="15"/>
      <c r="M225" s="26"/>
      <c r="N225" s="26"/>
      <c r="O225" s="26"/>
      <c r="P225" s="26"/>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row>
    <row r="226" spans="1:40" ht="12.75">
      <c r="A226" s="15"/>
      <c r="B226" s="15"/>
      <c r="C226" s="26"/>
      <c r="D226" s="15"/>
      <c r="E226" s="15"/>
      <c r="F226" s="3"/>
      <c r="G226" s="26"/>
      <c r="H226" s="15"/>
      <c r="I226" s="26"/>
      <c r="J226" s="15"/>
      <c r="K226" s="26"/>
      <c r="L226" s="15"/>
      <c r="M226" s="26"/>
      <c r="N226" s="26"/>
      <c r="O226" s="26"/>
      <c r="P226" s="26"/>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row>
    <row r="227" spans="1:40" ht="12.75">
      <c r="A227" s="15"/>
      <c r="B227" s="15"/>
      <c r="C227" s="26"/>
      <c r="D227" s="15"/>
      <c r="E227" s="15"/>
      <c r="F227" s="3"/>
      <c r="G227" s="26"/>
      <c r="H227" s="15"/>
      <c r="I227" s="26"/>
      <c r="J227" s="15"/>
      <c r="K227" s="26"/>
      <c r="L227" s="15"/>
      <c r="M227" s="26"/>
      <c r="N227" s="26"/>
      <c r="O227" s="26"/>
      <c r="P227" s="26"/>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row>
    <row r="228" spans="1:40" ht="12.75">
      <c r="A228" s="15"/>
      <c r="B228" s="15"/>
      <c r="C228" s="26"/>
      <c r="D228" s="15"/>
      <c r="E228" s="15"/>
      <c r="F228" s="3"/>
      <c r="G228" s="26"/>
      <c r="H228" s="15"/>
      <c r="I228" s="26"/>
      <c r="J228" s="15"/>
      <c r="K228" s="26"/>
      <c r="L228" s="15"/>
      <c r="M228" s="26"/>
      <c r="N228" s="26"/>
      <c r="O228" s="26"/>
      <c r="P228" s="26"/>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row>
    <row r="229" spans="1:40" ht="12.75">
      <c r="A229" s="15"/>
      <c r="B229" s="15"/>
      <c r="C229" s="26"/>
      <c r="D229" s="15"/>
      <c r="E229" s="15"/>
      <c r="F229" s="3"/>
      <c r="G229" s="26"/>
      <c r="H229" s="15"/>
      <c r="I229" s="26"/>
      <c r="J229" s="15"/>
      <c r="K229" s="26"/>
      <c r="L229" s="15"/>
      <c r="M229" s="26"/>
      <c r="N229" s="26"/>
      <c r="O229" s="26"/>
      <c r="P229" s="26"/>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row>
    <row r="230" spans="1:40" ht="12.75">
      <c r="A230" s="15"/>
      <c r="B230" s="15"/>
      <c r="C230" s="26"/>
      <c r="D230" s="15"/>
      <c r="E230" s="15"/>
      <c r="F230" s="3"/>
      <c r="G230" s="26"/>
      <c r="H230" s="15"/>
      <c r="I230" s="26"/>
      <c r="J230" s="15"/>
      <c r="K230" s="26"/>
      <c r="L230" s="15"/>
      <c r="M230" s="26"/>
      <c r="N230" s="26"/>
      <c r="O230" s="26"/>
      <c r="P230" s="26"/>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row>
    <row r="231" spans="1:40" ht="12.75">
      <c r="A231" s="15"/>
      <c r="B231" s="15"/>
      <c r="C231" s="26"/>
      <c r="D231" s="15"/>
      <c r="E231" s="15"/>
      <c r="F231" s="3"/>
      <c r="G231" s="26"/>
      <c r="H231" s="15"/>
      <c r="I231" s="26"/>
      <c r="J231" s="15"/>
      <c r="K231" s="26"/>
      <c r="L231" s="15"/>
      <c r="M231" s="26"/>
      <c r="N231" s="26"/>
      <c r="O231" s="26"/>
      <c r="P231" s="26"/>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row>
    <row r="232" spans="1:40" ht="12.75">
      <c r="A232" s="15"/>
      <c r="B232" s="15"/>
      <c r="C232" s="26"/>
      <c r="D232" s="15"/>
      <c r="E232" s="15"/>
      <c r="F232" s="3"/>
      <c r="G232" s="26"/>
      <c r="H232" s="15"/>
      <c r="I232" s="26"/>
      <c r="J232" s="15"/>
      <c r="K232" s="26"/>
      <c r="L232" s="15"/>
      <c r="M232" s="26"/>
      <c r="N232" s="26"/>
      <c r="O232" s="26"/>
      <c r="P232" s="26"/>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row>
    <row r="233" spans="1:40" ht="12.75">
      <c r="A233" s="15"/>
      <c r="B233" s="15"/>
      <c r="C233" s="26"/>
      <c r="D233" s="15"/>
      <c r="E233" s="15"/>
      <c r="F233" s="3"/>
      <c r="G233" s="26"/>
      <c r="H233" s="15"/>
      <c r="I233" s="26"/>
      <c r="J233" s="15"/>
      <c r="K233" s="26"/>
      <c r="L233" s="15"/>
      <c r="M233" s="26"/>
      <c r="N233" s="26"/>
      <c r="O233" s="26"/>
      <c r="P233" s="26"/>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row>
    <row r="234" spans="1:40" ht="12.75">
      <c r="A234" s="15"/>
      <c r="B234" s="15"/>
      <c r="C234" s="26"/>
      <c r="D234" s="15"/>
      <c r="E234" s="15"/>
      <c r="F234" s="3"/>
      <c r="G234" s="26"/>
      <c r="H234" s="15"/>
      <c r="I234" s="26"/>
      <c r="J234" s="15"/>
      <c r="K234" s="26"/>
      <c r="L234" s="15"/>
      <c r="M234" s="26"/>
      <c r="N234" s="26"/>
      <c r="O234" s="26"/>
      <c r="P234" s="26"/>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row>
    <row r="235" spans="1:40" ht="12.75">
      <c r="A235" s="15"/>
      <c r="B235" s="15"/>
      <c r="C235" s="26"/>
      <c r="D235" s="15"/>
      <c r="E235" s="15"/>
      <c r="F235" s="3"/>
      <c r="G235" s="26"/>
      <c r="H235" s="15"/>
      <c r="I235" s="26"/>
      <c r="J235" s="15"/>
      <c r="K235" s="26"/>
      <c r="L235" s="15"/>
      <c r="M235" s="26"/>
      <c r="N235" s="26"/>
      <c r="O235" s="26"/>
      <c r="P235" s="26"/>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row>
    <row r="236" spans="1:40" ht="12.75">
      <c r="A236" s="15"/>
      <c r="B236" s="15"/>
      <c r="C236" s="26"/>
      <c r="D236" s="15"/>
      <c r="E236" s="15"/>
      <c r="F236" s="3"/>
      <c r="G236" s="26"/>
      <c r="H236" s="15"/>
      <c r="I236" s="26"/>
      <c r="J236" s="15"/>
      <c r="K236" s="26"/>
      <c r="L236" s="15"/>
      <c r="M236" s="26"/>
      <c r="N236" s="26"/>
      <c r="O236" s="26"/>
      <c r="P236" s="26"/>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row>
    <row r="237" spans="1:40" ht="12.75">
      <c r="A237" s="15"/>
      <c r="B237" s="15"/>
      <c r="C237" s="26"/>
      <c r="D237" s="15"/>
      <c r="E237" s="15"/>
      <c r="F237" s="3"/>
      <c r="G237" s="26"/>
      <c r="H237" s="15"/>
      <c r="I237" s="26"/>
      <c r="J237" s="15"/>
      <c r="K237" s="26"/>
      <c r="L237" s="15"/>
      <c r="M237" s="26"/>
      <c r="N237" s="26"/>
      <c r="O237" s="26"/>
      <c r="P237" s="26"/>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row>
    <row r="238" spans="1:40" ht="12.75">
      <c r="A238" s="15"/>
      <c r="B238" s="15"/>
      <c r="C238" s="26"/>
      <c r="D238" s="15"/>
      <c r="E238" s="15"/>
      <c r="F238" s="3"/>
      <c r="G238" s="26"/>
      <c r="H238" s="15"/>
      <c r="I238" s="26"/>
      <c r="J238" s="15"/>
      <c r="K238" s="26"/>
      <c r="L238" s="15"/>
      <c r="M238" s="26"/>
      <c r="N238" s="26"/>
      <c r="O238" s="26"/>
      <c r="P238" s="26"/>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row>
    <row r="239" spans="1:40" ht="12.75">
      <c r="A239" s="15"/>
      <c r="B239" s="15"/>
      <c r="C239" s="26"/>
      <c r="D239" s="15"/>
      <c r="E239" s="15"/>
      <c r="F239" s="3"/>
      <c r="G239" s="26"/>
      <c r="H239" s="15"/>
      <c r="I239" s="26"/>
      <c r="J239" s="15"/>
      <c r="K239" s="26"/>
      <c r="L239" s="15"/>
      <c r="M239" s="26"/>
      <c r="N239" s="26"/>
      <c r="O239" s="26"/>
      <c r="P239" s="26"/>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row>
    <row r="240" spans="1:40" ht="12.75">
      <c r="A240" s="15"/>
      <c r="B240" s="15"/>
      <c r="C240" s="26"/>
      <c r="D240" s="15"/>
      <c r="E240" s="15"/>
      <c r="F240" s="3"/>
      <c r="G240" s="26"/>
      <c r="H240" s="15"/>
      <c r="I240" s="26"/>
      <c r="J240" s="15"/>
      <c r="K240" s="26"/>
      <c r="L240" s="15"/>
      <c r="M240" s="26"/>
      <c r="N240" s="26"/>
      <c r="O240" s="26"/>
      <c r="P240" s="26"/>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row>
    <row r="241" spans="1:40" ht="12.75">
      <c r="A241" s="15"/>
      <c r="B241" s="15"/>
      <c r="C241" s="26"/>
      <c r="D241" s="15"/>
      <c r="E241" s="15"/>
      <c r="F241" s="3"/>
      <c r="G241" s="26"/>
      <c r="H241" s="15"/>
      <c r="I241" s="26"/>
      <c r="J241" s="15"/>
      <c r="K241" s="26"/>
      <c r="L241" s="15"/>
      <c r="M241" s="26"/>
      <c r="N241" s="26"/>
      <c r="O241" s="26"/>
      <c r="P241" s="26"/>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row>
    <row r="242" spans="1:40" ht="12.75">
      <c r="A242" s="15"/>
      <c r="B242" s="15"/>
      <c r="C242" s="26"/>
      <c r="D242" s="15"/>
      <c r="E242" s="15"/>
      <c r="F242" s="3"/>
      <c r="G242" s="26"/>
      <c r="H242" s="15"/>
      <c r="I242" s="26"/>
      <c r="J242" s="15"/>
      <c r="K242" s="26"/>
      <c r="L242" s="15"/>
      <c r="M242" s="26"/>
      <c r="N242" s="26"/>
      <c r="O242" s="26"/>
      <c r="P242" s="26"/>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row>
    <row r="243" spans="1:40" ht="12.75">
      <c r="A243" s="15"/>
      <c r="B243" s="15"/>
      <c r="C243" s="26"/>
      <c r="D243" s="15"/>
      <c r="E243" s="15"/>
      <c r="F243" s="3"/>
      <c r="G243" s="26"/>
      <c r="H243" s="15"/>
      <c r="I243" s="26"/>
      <c r="J243" s="15"/>
      <c r="K243" s="26"/>
      <c r="L243" s="15"/>
      <c r="M243" s="26"/>
      <c r="N243" s="26"/>
      <c r="O243" s="26"/>
      <c r="P243" s="26"/>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row>
    <row r="244" spans="1:40" ht="12.75">
      <c r="A244" s="15"/>
      <c r="B244" s="15"/>
      <c r="C244" s="26"/>
      <c r="D244" s="15"/>
      <c r="E244" s="15"/>
      <c r="F244" s="3"/>
      <c r="G244" s="26"/>
      <c r="H244" s="15"/>
      <c r="I244" s="26"/>
      <c r="J244" s="15"/>
      <c r="K244" s="26"/>
      <c r="L244" s="15"/>
      <c r="M244" s="26"/>
      <c r="N244" s="26"/>
      <c r="O244" s="26"/>
      <c r="P244" s="26"/>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row>
    <row r="245" spans="1:40" ht="12.75">
      <c r="A245" s="15"/>
      <c r="B245" s="15"/>
      <c r="C245" s="26"/>
      <c r="D245" s="15"/>
      <c r="E245" s="15"/>
      <c r="F245" s="3"/>
      <c r="G245" s="26"/>
      <c r="H245" s="15"/>
      <c r="I245" s="26"/>
      <c r="J245" s="15"/>
      <c r="K245" s="26"/>
      <c r="L245" s="15"/>
      <c r="M245" s="26"/>
      <c r="N245" s="26"/>
      <c r="O245" s="26"/>
      <c r="P245" s="26"/>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row>
    <row r="246" spans="1:40" ht="12.75">
      <c r="A246" s="15"/>
      <c r="B246" s="15"/>
      <c r="C246" s="26"/>
      <c r="D246" s="15"/>
      <c r="E246" s="15"/>
      <c r="F246" s="3"/>
      <c r="G246" s="26"/>
      <c r="H246" s="15"/>
      <c r="I246" s="26"/>
      <c r="J246" s="15"/>
      <c r="K246" s="26"/>
      <c r="L246" s="15"/>
      <c r="M246" s="26"/>
      <c r="N246" s="26"/>
      <c r="O246" s="26"/>
      <c r="P246" s="26"/>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row>
    <row r="247" spans="1:40" ht="12.75">
      <c r="A247" s="15"/>
      <c r="B247" s="15"/>
      <c r="C247" s="26"/>
      <c r="D247" s="15"/>
      <c r="E247" s="15"/>
      <c r="F247" s="3"/>
      <c r="G247" s="26"/>
      <c r="H247" s="15"/>
      <c r="I247" s="26"/>
      <c r="J247" s="15"/>
      <c r="K247" s="26"/>
      <c r="L247" s="15"/>
      <c r="M247" s="26"/>
      <c r="N247" s="26"/>
      <c r="O247" s="26"/>
      <c r="P247" s="26"/>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row>
    <row r="248" spans="1:40" ht="12.75">
      <c r="A248" s="15"/>
      <c r="B248" s="15"/>
      <c r="C248" s="26"/>
      <c r="D248" s="15"/>
      <c r="E248" s="15"/>
      <c r="F248" s="3"/>
      <c r="G248" s="26"/>
      <c r="H248" s="15"/>
      <c r="I248" s="26"/>
      <c r="J248" s="15"/>
      <c r="K248" s="26"/>
      <c r="L248" s="15"/>
      <c r="M248" s="26"/>
      <c r="N248" s="26"/>
      <c r="O248" s="26"/>
      <c r="P248" s="26"/>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row>
    <row r="249" spans="1:40" ht="12.75">
      <c r="A249" s="15"/>
      <c r="B249" s="15"/>
      <c r="C249" s="26"/>
      <c r="D249" s="15"/>
      <c r="E249" s="15"/>
      <c r="F249" s="3"/>
      <c r="G249" s="26"/>
      <c r="H249" s="15"/>
      <c r="I249" s="26"/>
      <c r="J249" s="15"/>
      <c r="K249" s="26"/>
      <c r="L249" s="15"/>
      <c r="M249" s="26"/>
      <c r="N249" s="26"/>
      <c r="O249" s="26"/>
      <c r="P249" s="26"/>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row>
    <row r="250" spans="1:40" ht="12.75">
      <c r="A250" s="15"/>
      <c r="B250" s="15"/>
      <c r="C250" s="26"/>
      <c r="D250" s="15"/>
      <c r="E250" s="15"/>
      <c r="F250" s="3"/>
      <c r="G250" s="26"/>
      <c r="H250" s="15"/>
      <c r="I250" s="26"/>
      <c r="J250" s="15"/>
      <c r="K250" s="26"/>
      <c r="L250" s="15"/>
      <c r="M250" s="26"/>
      <c r="N250" s="26"/>
      <c r="O250" s="26"/>
      <c r="P250" s="26"/>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row>
    <row r="251" spans="1:40" ht="12.75">
      <c r="A251" s="15"/>
      <c r="B251" s="15"/>
      <c r="C251" s="26"/>
      <c r="D251" s="15"/>
      <c r="E251" s="15"/>
      <c r="F251" s="3"/>
      <c r="G251" s="26"/>
      <c r="H251" s="15"/>
      <c r="I251" s="26"/>
      <c r="J251" s="15"/>
      <c r="K251" s="26"/>
      <c r="L251" s="15"/>
      <c r="M251" s="26"/>
      <c r="N251" s="26"/>
      <c r="O251" s="26"/>
      <c r="P251" s="26"/>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row>
    <row r="252" spans="1:40" ht="12.75">
      <c r="A252" s="15"/>
      <c r="B252" s="15"/>
      <c r="C252" s="26"/>
      <c r="D252" s="15"/>
      <c r="E252" s="15"/>
      <c r="F252" s="3"/>
      <c r="G252" s="26"/>
      <c r="H252" s="15"/>
      <c r="I252" s="26"/>
      <c r="J252" s="15"/>
      <c r="K252" s="26"/>
      <c r="L252" s="15"/>
      <c r="M252" s="26"/>
      <c r="N252" s="26"/>
      <c r="O252" s="26"/>
      <c r="P252" s="26"/>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row>
    <row r="253" spans="1:40" ht="12.75">
      <c r="A253" s="15"/>
      <c r="B253" s="15"/>
      <c r="C253" s="26"/>
      <c r="D253" s="15"/>
      <c r="E253" s="15"/>
      <c r="F253" s="3"/>
      <c r="G253" s="26"/>
      <c r="H253" s="15"/>
      <c r="I253" s="26"/>
      <c r="J253" s="15"/>
      <c r="K253" s="26"/>
      <c r="L253" s="15"/>
      <c r="M253" s="26"/>
      <c r="N253" s="26"/>
      <c r="O253" s="26"/>
      <c r="P253" s="26"/>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row>
    <row r="254" spans="1:40" ht="12.75">
      <c r="A254" s="15"/>
      <c r="B254" s="15"/>
      <c r="C254" s="26"/>
      <c r="D254" s="15"/>
      <c r="E254" s="15"/>
      <c r="F254" s="3"/>
      <c r="G254" s="26"/>
      <c r="H254" s="15"/>
      <c r="I254" s="26"/>
      <c r="J254" s="15"/>
      <c r="K254" s="26"/>
      <c r="L254" s="15"/>
      <c r="M254" s="26"/>
      <c r="N254" s="26"/>
      <c r="O254" s="26"/>
      <c r="P254" s="26"/>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row>
    <row r="255" spans="1:40" ht="12.75">
      <c r="A255" s="15"/>
      <c r="B255" s="15"/>
      <c r="C255" s="26"/>
      <c r="D255" s="15"/>
      <c r="E255" s="15"/>
      <c r="F255" s="3"/>
      <c r="G255" s="26"/>
      <c r="H255" s="15"/>
      <c r="I255" s="26"/>
      <c r="J255" s="15"/>
      <c r="K255" s="26"/>
      <c r="L255" s="15"/>
      <c r="M255" s="26"/>
      <c r="N255" s="26"/>
      <c r="O255" s="26"/>
      <c r="P255" s="26"/>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row>
    <row r="256" spans="1:40" ht="12.75">
      <c r="A256" s="15"/>
      <c r="B256" s="15"/>
      <c r="C256" s="26"/>
      <c r="D256" s="15"/>
      <c r="E256" s="15"/>
      <c r="F256" s="3"/>
      <c r="G256" s="26"/>
      <c r="H256" s="15"/>
      <c r="I256" s="26"/>
      <c r="J256" s="15"/>
      <c r="K256" s="26"/>
      <c r="L256" s="15"/>
      <c r="M256" s="26"/>
      <c r="N256" s="26"/>
      <c r="O256" s="26"/>
      <c r="P256" s="26"/>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row>
    <row r="257" spans="1:40" ht="12.75">
      <c r="A257" s="15"/>
      <c r="B257" s="15"/>
      <c r="C257" s="26"/>
      <c r="D257" s="15"/>
      <c r="E257" s="15"/>
      <c r="F257" s="3"/>
      <c r="G257" s="26"/>
      <c r="H257" s="15"/>
      <c r="I257" s="26"/>
      <c r="J257" s="15"/>
      <c r="K257" s="26"/>
      <c r="L257" s="15"/>
      <c r="M257" s="26"/>
      <c r="N257" s="26"/>
      <c r="O257" s="26"/>
      <c r="P257" s="26"/>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row>
    <row r="258" spans="1:40" ht="12.75">
      <c r="A258" s="15"/>
      <c r="B258" s="15"/>
      <c r="C258" s="26"/>
      <c r="D258" s="15"/>
      <c r="E258" s="15"/>
      <c r="F258" s="3"/>
      <c r="G258" s="26"/>
      <c r="H258" s="15"/>
      <c r="I258" s="26"/>
      <c r="J258" s="15"/>
      <c r="K258" s="26"/>
      <c r="L258" s="15"/>
      <c r="M258" s="26"/>
      <c r="N258" s="26"/>
      <c r="O258" s="26"/>
      <c r="P258" s="26"/>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row>
    <row r="259" spans="1:40" ht="12.75">
      <c r="A259" s="15"/>
      <c r="B259" s="15"/>
      <c r="C259" s="26"/>
      <c r="D259" s="15"/>
      <c r="E259" s="15"/>
      <c r="F259" s="3"/>
      <c r="G259" s="26"/>
      <c r="H259" s="15"/>
      <c r="I259" s="26"/>
      <c r="J259" s="15"/>
      <c r="K259" s="26"/>
      <c r="L259" s="15"/>
      <c r="M259" s="26"/>
      <c r="N259" s="26"/>
      <c r="O259" s="26"/>
      <c r="P259" s="26"/>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row>
    <row r="260" spans="1:40" ht="12.75">
      <c r="A260" s="15"/>
      <c r="B260" s="15"/>
      <c r="C260" s="26"/>
      <c r="D260" s="15"/>
      <c r="E260" s="15"/>
      <c r="F260" s="3"/>
      <c r="G260" s="26"/>
      <c r="H260" s="15"/>
      <c r="I260" s="26"/>
      <c r="J260" s="15"/>
      <c r="K260" s="26"/>
      <c r="L260" s="15"/>
      <c r="M260" s="26"/>
      <c r="N260" s="26"/>
      <c r="O260" s="26"/>
      <c r="P260" s="26"/>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row>
    <row r="261" spans="1:40" ht="12.75">
      <c r="A261" s="15"/>
      <c r="B261" s="15"/>
      <c r="C261" s="26"/>
      <c r="D261" s="15"/>
      <c r="E261" s="15"/>
      <c r="F261" s="3"/>
      <c r="G261" s="26"/>
      <c r="H261" s="15"/>
      <c r="I261" s="26"/>
      <c r="J261" s="15"/>
      <c r="K261" s="26"/>
      <c r="L261" s="15"/>
      <c r="M261" s="26"/>
      <c r="N261" s="26"/>
      <c r="O261" s="26"/>
      <c r="P261" s="26"/>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row>
    <row r="262" spans="1:40" ht="12.75">
      <c r="A262" s="15"/>
      <c r="B262" s="15"/>
      <c r="C262" s="26"/>
      <c r="D262" s="15"/>
      <c r="E262" s="15"/>
      <c r="F262" s="3"/>
      <c r="G262" s="26"/>
      <c r="H262" s="15"/>
      <c r="I262" s="26"/>
      <c r="J262" s="15"/>
      <c r="K262" s="26"/>
      <c r="L262" s="15"/>
      <c r="M262" s="26"/>
      <c r="N262" s="26"/>
      <c r="O262" s="26"/>
      <c r="P262" s="26"/>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row>
    <row r="263" spans="1:40" ht="12.75">
      <c r="A263" s="15"/>
      <c r="B263" s="15"/>
      <c r="C263" s="26"/>
      <c r="D263" s="15"/>
      <c r="E263" s="15"/>
      <c r="F263" s="3"/>
      <c r="G263" s="26"/>
      <c r="H263" s="15"/>
      <c r="I263" s="26"/>
      <c r="J263" s="15"/>
      <c r="K263" s="26"/>
      <c r="L263" s="15"/>
      <c r="M263" s="26"/>
      <c r="N263" s="26"/>
      <c r="O263" s="26"/>
      <c r="P263" s="26"/>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row>
    <row r="264" spans="1:40" ht="12.75">
      <c r="A264" s="15"/>
      <c r="B264" s="15"/>
      <c r="C264" s="26"/>
      <c r="D264" s="15"/>
      <c r="E264" s="15"/>
      <c r="F264" s="3"/>
      <c r="G264" s="26"/>
      <c r="H264" s="15"/>
      <c r="I264" s="26"/>
      <c r="J264" s="15"/>
      <c r="K264" s="26"/>
      <c r="L264" s="15"/>
      <c r="M264" s="26"/>
      <c r="N264" s="26"/>
      <c r="O264" s="26"/>
      <c r="P264" s="26"/>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row>
    <row r="265" spans="1:40" ht="12.75">
      <c r="A265" s="15"/>
      <c r="B265" s="15"/>
      <c r="C265" s="26"/>
      <c r="D265" s="15"/>
      <c r="E265" s="15"/>
      <c r="F265" s="3"/>
      <c r="G265" s="26"/>
      <c r="H265" s="15"/>
      <c r="I265" s="26"/>
      <c r="J265" s="15"/>
      <c r="K265" s="26"/>
      <c r="L265" s="15"/>
      <c r="M265" s="26"/>
      <c r="N265" s="26"/>
      <c r="O265" s="26"/>
      <c r="P265" s="26"/>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row>
    <row r="266" spans="1:40" ht="12.75">
      <c r="A266" s="15"/>
      <c r="B266" s="15"/>
      <c r="C266" s="26"/>
      <c r="D266" s="15"/>
      <c r="E266" s="15"/>
      <c r="F266" s="3"/>
      <c r="G266" s="26"/>
      <c r="H266" s="15"/>
      <c r="I266" s="26"/>
      <c r="J266" s="15"/>
      <c r="K266" s="26"/>
      <c r="L266" s="15"/>
      <c r="M266" s="26"/>
      <c r="N266" s="26"/>
      <c r="O266" s="26"/>
      <c r="P266" s="26"/>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row>
    <row r="267" spans="1:40" ht="12.75">
      <c r="A267" s="15"/>
      <c r="B267" s="15"/>
      <c r="C267" s="26"/>
      <c r="D267" s="15"/>
      <c r="E267" s="15"/>
      <c r="F267" s="3"/>
      <c r="G267" s="26"/>
      <c r="H267" s="15"/>
      <c r="I267" s="26"/>
      <c r="J267" s="15"/>
      <c r="K267" s="26"/>
      <c r="L267" s="15"/>
      <c r="M267" s="26"/>
      <c r="N267" s="26"/>
      <c r="O267" s="26"/>
      <c r="P267" s="26"/>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row>
    <row r="268" spans="1:40" ht="12.75">
      <c r="A268" s="15"/>
      <c r="B268" s="15"/>
      <c r="C268" s="26"/>
      <c r="D268" s="15"/>
      <c r="E268" s="15"/>
      <c r="F268" s="3"/>
      <c r="G268" s="26"/>
      <c r="H268" s="15"/>
      <c r="I268" s="26"/>
      <c r="J268" s="15"/>
      <c r="K268" s="26"/>
      <c r="L268" s="15"/>
      <c r="M268" s="26"/>
      <c r="N268" s="26"/>
      <c r="O268" s="26"/>
      <c r="P268" s="26"/>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row>
    <row r="269" spans="1:40" ht="12.75">
      <c r="A269" s="15"/>
      <c r="B269" s="15"/>
      <c r="C269" s="26"/>
      <c r="D269" s="15"/>
      <c r="E269" s="15"/>
      <c r="F269" s="3"/>
      <c r="G269" s="26"/>
      <c r="H269" s="15"/>
      <c r="I269" s="26"/>
      <c r="J269" s="15"/>
      <c r="K269" s="26"/>
      <c r="L269" s="15"/>
      <c r="M269" s="26"/>
      <c r="N269" s="26"/>
      <c r="O269" s="26"/>
      <c r="P269" s="26"/>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row>
    <row r="270" spans="1:40" ht="12.75">
      <c r="A270" s="15"/>
      <c r="B270" s="15"/>
      <c r="C270" s="26"/>
      <c r="D270" s="15"/>
      <c r="E270" s="15"/>
      <c r="F270" s="3"/>
      <c r="G270" s="26"/>
      <c r="H270" s="15"/>
      <c r="I270" s="26"/>
      <c r="J270" s="15"/>
      <c r="K270" s="26"/>
      <c r="L270" s="15"/>
      <c r="M270" s="26"/>
      <c r="N270" s="26"/>
      <c r="O270" s="26"/>
      <c r="P270" s="26"/>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row>
    <row r="271" spans="1:40" ht="12.75">
      <c r="A271" s="15"/>
      <c r="B271" s="15"/>
      <c r="C271" s="26"/>
      <c r="D271" s="15"/>
      <c r="E271" s="15"/>
      <c r="F271" s="3"/>
      <c r="G271" s="26"/>
      <c r="H271" s="15"/>
      <c r="I271" s="26"/>
      <c r="J271" s="15"/>
      <c r="K271" s="26"/>
      <c r="L271" s="15"/>
      <c r="M271" s="26"/>
      <c r="N271" s="26"/>
      <c r="O271" s="26"/>
      <c r="P271" s="26"/>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row>
    <row r="272" spans="1:40" ht="12.75">
      <c r="A272" s="15"/>
      <c r="B272" s="15"/>
      <c r="C272" s="26"/>
      <c r="D272" s="15"/>
      <c r="E272" s="15"/>
      <c r="F272" s="3"/>
      <c r="G272" s="26"/>
      <c r="H272" s="15"/>
      <c r="I272" s="26"/>
      <c r="J272" s="15"/>
      <c r="K272" s="26"/>
      <c r="L272" s="15"/>
      <c r="M272" s="26"/>
      <c r="N272" s="26"/>
      <c r="O272" s="26"/>
      <c r="P272" s="26"/>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row>
    <row r="273" spans="1:40" ht="12.75">
      <c r="A273" s="15"/>
      <c r="B273" s="15"/>
      <c r="C273" s="26"/>
      <c r="D273" s="15"/>
      <c r="E273" s="15"/>
      <c r="F273" s="3"/>
      <c r="G273" s="26"/>
      <c r="H273" s="15"/>
      <c r="I273" s="26"/>
      <c r="J273" s="15"/>
      <c r="K273" s="26"/>
      <c r="L273" s="15"/>
      <c r="M273" s="26"/>
      <c r="N273" s="26"/>
      <c r="O273" s="26"/>
      <c r="P273" s="26"/>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row>
    <row r="274" spans="1:40" ht="12.75">
      <c r="A274" s="15"/>
      <c r="B274" s="15"/>
      <c r="C274" s="26"/>
      <c r="D274" s="15"/>
      <c r="E274" s="15"/>
      <c r="F274" s="3"/>
      <c r="G274" s="26"/>
      <c r="H274" s="15"/>
      <c r="I274" s="26"/>
      <c r="J274" s="15"/>
      <c r="K274" s="26"/>
      <c r="L274" s="15"/>
      <c r="M274" s="26"/>
      <c r="N274" s="26"/>
      <c r="O274" s="26"/>
      <c r="P274" s="26"/>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row>
    <row r="275" spans="1:40" ht="12.75">
      <c r="A275" s="15"/>
      <c r="B275" s="15"/>
      <c r="C275" s="26"/>
      <c r="D275" s="15"/>
      <c r="E275" s="15"/>
      <c r="F275" s="3"/>
      <c r="G275" s="26"/>
      <c r="H275" s="15"/>
      <c r="I275" s="26"/>
      <c r="J275" s="15"/>
      <c r="K275" s="26"/>
      <c r="L275" s="15"/>
      <c r="M275" s="26"/>
      <c r="N275" s="26"/>
      <c r="O275" s="26"/>
      <c r="P275" s="26"/>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row>
    <row r="276" spans="1:40" ht="12.75">
      <c r="A276" s="15"/>
      <c r="B276" s="15"/>
      <c r="C276" s="26"/>
      <c r="D276" s="15"/>
      <c r="E276" s="15"/>
      <c r="F276" s="3"/>
      <c r="G276" s="26"/>
      <c r="H276" s="15"/>
      <c r="I276" s="26"/>
      <c r="J276" s="15"/>
      <c r="K276" s="26"/>
      <c r="L276" s="15"/>
      <c r="M276" s="26"/>
      <c r="N276" s="26"/>
      <c r="O276" s="26"/>
      <c r="P276" s="26"/>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row>
    <row r="277" spans="1:40" ht="12.75">
      <c r="A277" s="15"/>
      <c r="B277" s="15"/>
      <c r="C277" s="26"/>
      <c r="D277" s="15"/>
      <c r="E277" s="15"/>
      <c r="F277" s="3"/>
      <c r="G277" s="26"/>
      <c r="H277" s="15"/>
      <c r="I277" s="26"/>
      <c r="J277" s="15"/>
      <c r="K277" s="26"/>
      <c r="L277" s="15"/>
      <c r="M277" s="26"/>
      <c r="N277" s="26"/>
      <c r="O277" s="26"/>
      <c r="P277" s="26"/>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row>
    <row r="278" spans="1:40" ht="12.75">
      <c r="A278" s="15"/>
      <c r="B278" s="15"/>
      <c r="C278" s="26"/>
      <c r="D278" s="15"/>
      <c r="E278" s="15"/>
      <c r="F278" s="3"/>
      <c r="G278" s="26"/>
      <c r="H278" s="15"/>
      <c r="I278" s="26"/>
      <c r="J278" s="15"/>
      <c r="K278" s="26"/>
      <c r="L278" s="15"/>
      <c r="M278" s="26"/>
      <c r="N278" s="26"/>
      <c r="O278" s="26"/>
      <c r="P278" s="26"/>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row>
    <row r="279" spans="1:40" ht="12.75">
      <c r="A279" s="15"/>
      <c r="B279" s="15"/>
      <c r="C279" s="26"/>
      <c r="D279" s="15"/>
      <c r="E279" s="15"/>
      <c r="F279" s="3"/>
      <c r="G279" s="26"/>
      <c r="H279" s="15"/>
      <c r="I279" s="26"/>
      <c r="J279" s="15"/>
      <c r="K279" s="26"/>
      <c r="L279" s="15"/>
      <c r="M279" s="26"/>
      <c r="N279" s="26"/>
      <c r="O279" s="26"/>
      <c r="P279" s="26"/>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row>
    <row r="280" spans="1:40" ht="12.75">
      <c r="A280" s="15"/>
      <c r="B280" s="15"/>
      <c r="C280" s="26"/>
      <c r="D280" s="15"/>
      <c r="E280" s="15"/>
      <c r="F280" s="3"/>
      <c r="G280" s="26"/>
      <c r="H280" s="15"/>
      <c r="I280" s="26"/>
      <c r="J280" s="15"/>
      <c r="K280" s="26"/>
      <c r="L280" s="15"/>
      <c r="M280" s="26"/>
      <c r="N280" s="26"/>
      <c r="O280" s="26"/>
      <c r="P280" s="26"/>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row>
    <row r="281" spans="1:40" ht="12.75">
      <c r="A281" s="15"/>
      <c r="B281" s="15"/>
      <c r="C281" s="26"/>
      <c r="D281" s="15"/>
      <c r="E281" s="15"/>
      <c r="F281" s="3"/>
      <c r="G281" s="26"/>
      <c r="H281" s="15"/>
      <c r="I281" s="26"/>
      <c r="J281" s="15"/>
      <c r="K281" s="26"/>
      <c r="L281" s="15"/>
      <c r="M281" s="26"/>
      <c r="N281" s="26"/>
      <c r="O281" s="26"/>
      <c r="P281" s="26"/>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row>
    <row r="282" spans="1:40" ht="12.75">
      <c r="A282" s="15"/>
      <c r="B282" s="15"/>
      <c r="C282" s="26"/>
      <c r="D282" s="15"/>
      <c r="E282" s="15"/>
      <c r="F282" s="3"/>
      <c r="G282" s="26"/>
      <c r="H282" s="15"/>
      <c r="I282" s="26"/>
      <c r="J282" s="15"/>
      <c r="K282" s="26"/>
      <c r="L282" s="15"/>
      <c r="M282" s="26"/>
      <c r="N282" s="26"/>
      <c r="O282" s="26"/>
      <c r="P282" s="26"/>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row>
    <row r="283" spans="1:40" ht="12.75">
      <c r="A283" s="15"/>
      <c r="B283" s="15"/>
      <c r="C283" s="26"/>
      <c r="D283" s="15"/>
      <c r="E283" s="15"/>
      <c r="F283" s="3"/>
      <c r="G283" s="26"/>
      <c r="H283" s="15"/>
      <c r="I283" s="26"/>
      <c r="J283" s="15"/>
      <c r="K283" s="26"/>
      <c r="L283" s="15"/>
      <c r="M283" s="26"/>
      <c r="N283" s="26"/>
      <c r="O283" s="26"/>
      <c r="P283" s="26"/>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row>
    <row r="284" spans="1:40" ht="12.75">
      <c r="A284" s="15"/>
      <c r="B284" s="15"/>
      <c r="C284" s="26"/>
      <c r="D284" s="15"/>
      <c r="E284" s="15"/>
      <c r="F284" s="3"/>
      <c r="G284" s="26"/>
      <c r="H284" s="15"/>
      <c r="I284" s="26"/>
      <c r="J284" s="15"/>
      <c r="K284" s="26"/>
      <c r="L284" s="15"/>
      <c r="M284" s="26"/>
      <c r="N284" s="26"/>
      <c r="O284" s="26"/>
      <c r="P284" s="26"/>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row>
    <row r="285" spans="1:40" ht="12.75">
      <c r="A285" s="15"/>
      <c r="B285" s="15"/>
      <c r="C285" s="26"/>
      <c r="D285" s="15"/>
      <c r="E285" s="15"/>
      <c r="F285" s="3"/>
      <c r="G285" s="26"/>
      <c r="H285" s="15"/>
      <c r="I285" s="26"/>
      <c r="J285" s="15"/>
      <c r="K285" s="26"/>
      <c r="L285" s="15"/>
      <c r="M285" s="26"/>
      <c r="N285" s="26"/>
      <c r="O285" s="26"/>
      <c r="P285" s="26"/>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row>
    <row r="286" spans="1:40" ht="12.75">
      <c r="A286" s="15"/>
      <c r="B286" s="15"/>
      <c r="C286" s="26"/>
      <c r="D286" s="15"/>
      <c r="E286" s="15"/>
      <c r="F286" s="3"/>
      <c r="G286" s="26"/>
      <c r="H286" s="15"/>
      <c r="I286" s="26"/>
      <c r="J286" s="15"/>
      <c r="K286" s="26"/>
      <c r="L286" s="15"/>
      <c r="M286" s="26"/>
      <c r="N286" s="26"/>
      <c r="O286" s="26"/>
      <c r="P286" s="26"/>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row>
    <row r="287" spans="1:40" ht="12.75">
      <c r="A287" s="15"/>
      <c r="B287" s="15"/>
      <c r="C287" s="26"/>
      <c r="D287" s="15"/>
      <c r="E287" s="15"/>
      <c r="F287" s="3"/>
      <c r="G287" s="26"/>
      <c r="H287" s="15"/>
      <c r="I287" s="26"/>
      <c r="J287" s="15"/>
      <c r="K287" s="26"/>
      <c r="L287" s="15"/>
      <c r="M287" s="26"/>
      <c r="N287" s="26"/>
      <c r="O287" s="26"/>
      <c r="P287" s="26"/>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row>
    <row r="288" spans="1:40" ht="12.75">
      <c r="A288" s="15"/>
      <c r="B288" s="15"/>
      <c r="C288" s="26"/>
      <c r="D288" s="15"/>
      <c r="E288" s="15"/>
      <c r="F288" s="3"/>
      <c r="G288" s="26"/>
      <c r="H288" s="15"/>
      <c r="I288" s="26"/>
      <c r="J288" s="15"/>
      <c r="K288" s="26"/>
      <c r="L288" s="15"/>
      <c r="M288" s="26"/>
      <c r="N288" s="26"/>
      <c r="O288" s="26"/>
      <c r="P288" s="26"/>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row>
    <row r="289" spans="1:40" ht="12.75">
      <c r="A289" s="15"/>
      <c r="B289" s="15"/>
      <c r="C289" s="26"/>
      <c r="D289" s="15"/>
      <c r="E289" s="15"/>
      <c r="F289" s="3"/>
      <c r="G289" s="26"/>
      <c r="H289" s="15"/>
      <c r="I289" s="26"/>
      <c r="J289" s="15"/>
      <c r="K289" s="26"/>
      <c r="L289" s="15"/>
      <c r="M289" s="26"/>
      <c r="N289" s="26"/>
      <c r="O289" s="26"/>
      <c r="P289" s="26"/>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row>
    <row r="290" spans="1:40" ht="12.75">
      <c r="A290" s="15"/>
      <c r="B290" s="15"/>
      <c r="C290" s="26"/>
      <c r="D290" s="15"/>
      <c r="E290" s="15"/>
      <c r="F290" s="3"/>
      <c r="G290" s="26"/>
      <c r="H290" s="15"/>
      <c r="I290" s="26"/>
      <c r="J290" s="15"/>
      <c r="K290" s="26"/>
      <c r="L290" s="15"/>
      <c r="M290" s="26"/>
      <c r="N290" s="26"/>
      <c r="O290" s="26"/>
      <c r="P290" s="26"/>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row>
    <row r="291" spans="1:40" ht="12.75">
      <c r="A291" s="15"/>
      <c r="B291" s="15"/>
      <c r="C291" s="26"/>
      <c r="D291" s="15"/>
      <c r="E291" s="15"/>
      <c r="F291" s="3"/>
      <c r="G291" s="26"/>
      <c r="H291" s="15"/>
      <c r="I291" s="26"/>
      <c r="J291" s="15"/>
      <c r="K291" s="26"/>
      <c r="L291" s="15"/>
      <c r="M291" s="26"/>
      <c r="N291" s="26"/>
      <c r="O291" s="26"/>
      <c r="P291" s="26"/>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row>
    <row r="292" spans="1:40" ht="12.75">
      <c r="A292" s="15"/>
      <c r="B292" s="15"/>
      <c r="C292" s="26"/>
      <c r="D292" s="15"/>
      <c r="E292" s="15"/>
      <c r="F292" s="3"/>
      <c r="G292" s="26"/>
      <c r="H292" s="15"/>
      <c r="I292" s="26"/>
      <c r="J292" s="15"/>
      <c r="K292" s="26"/>
      <c r="L292" s="15"/>
      <c r="M292" s="26"/>
      <c r="N292" s="26"/>
      <c r="O292" s="26"/>
      <c r="P292" s="26"/>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row>
    <row r="293" spans="1:40" ht="12.75">
      <c r="A293" s="15"/>
      <c r="B293" s="15"/>
      <c r="C293" s="26"/>
      <c r="D293" s="15"/>
      <c r="E293" s="15"/>
      <c r="F293" s="3"/>
      <c r="G293" s="26"/>
      <c r="H293" s="15"/>
      <c r="I293" s="26"/>
      <c r="J293" s="15"/>
      <c r="K293" s="26"/>
      <c r="L293" s="15"/>
      <c r="M293" s="26"/>
      <c r="N293" s="26"/>
      <c r="O293" s="26"/>
      <c r="P293" s="26"/>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row>
    <row r="294" spans="1:40" ht="12.75">
      <c r="A294" s="15"/>
      <c r="B294" s="15"/>
      <c r="C294" s="26"/>
      <c r="D294" s="15"/>
      <c r="E294" s="15"/>
      <c r="F294" s="3"/>
      <c r="G294" s="26"/>
      <c r="H294" s="15"/>
      <c r="I294" s="26"/>
      <c r="J294" s="15"/>
      <c r="K294" s="26"/>
      <c r="L294" s="15"/>
      <c r="M294" s="26"/>
      <c r="N294" s="26"/>
      <c r="O294" s="26"/>
      <c r="P294" s="26"/>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row>
    <row r="295" spans="1:40" ht="12.75">
      <c r="A295" s="15"/>
      <c r="B295" s="15"/>
      <c r="C295" s="26"/>
      <c r="D295" s="15"/>
      <c r="E295" s="15"/>
      <c r="F295" s="3"/>
      <c r="G295" s="26"/>
      <c r="H295" s="15"/>
      <c r="I295" s="26"/>
      <c r="J295" s="15"/>
      <c r="K295" s="26"/>
      <c r="L295" s="15"/>
      <c r="M295" s="26"/>
      <c r="N295" s="26"/>
      <c r="O295" s="26"/>
      <c r="P295" s="26"/>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row>
    <row r="296" spans="1:40" ht="12.75">
      <c r="A296" s="15"/>
      <c r="B296" s="15"/>
      <c r="C296" s="26"/>
      <c r="D296" s="15"/>
      <c r="E296" s="15"/>
      <c r="F296" s="3"/>
      <c r="G296" s="26"/>
      <c r="H296" s="15"/>
      <c r="I296" s="26"/>
      <c r="J296" s="15"/>
      <c r="K296" s="26"/>
      <c r="L296" s="15"/>
      <c r="M296" s="26"/>
      <c r="N296" s="26"/>
      <c r="O296" s="26"/>
      <c r="P296" s="26"/>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row>
    <row r="297" spans="1:40" ht="12.75">
      <c r="A297" s="15"/>
      <c r="B297" s="15"/>
      <c r="C297" s="26"/>
      <c r="D297" s="15"/>
      <c r="E297" s="15"/>
      <c r="F297" s="3"/>
      <c r="G297" s="26"/>
      <c r="H297" s="15"/>
      <c r="I297" s="26"/>
      <c r="J297" s="15"/>
      <c r="K297" s="26"/>
      <c r="L297" s="15"/>
      <c r="M297" s="26"/>
      <c r="N297" s="26"/>
      <c r="O297" s="26"/>
      <c r="P297" s="26"/>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row>
    <row r="298" spans="1:40" ht="12.75">
      <c r="A298" s="15"/>
      <c r="B298" s="15"/>
      <c r="C298" s="26"/>
      <c r="D298" s="15"/>
      <c r="E298" s="15"/>
      <c r="F298" s="3"/>
      <c r="G298" s="26"/>
      <c r="H298" s="15"/>
      <c r="I298" s="26"/>
      <c r="J298" s="15"/>
      <c r="K298" s="26"/>
      <c r="L298" s="15"/>
      <c r="M298" s="26"/>
      <c r="N298" s="26"/>
      <c r="O298" s="26"/>
      <c r="P298" s="26"/>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row>
    <row r="299" spans="1:40" ht="12.75">
      <c r="A299" s="15"/>
      <c r="B299" s="15"/>
      <c r="C299" s="26"/>
      <c r="D299" s="15"/>
      <c r="E299" s="15"/>
      <c r="F299" s="3"/>
      <c r="G299" s="26"/>
      <c r="H299" s="15"/>
      <c r="I299" s="26"/>
      <c r="J299" s="15"/>
      <c r="K299" s="26"/>
      <c r="L299" s="15"/>
      <c r="M299" s="26"/>
      <c r="N299" s="26"/>
      <c r="O299" s="26"/>
      <c r="P299" s="26"/>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row>
    <row r="300" spans="1:40" ht="12.75">
      <c r="A300" s="15"/>
      <c r="B300" s="15"/>
      <c r="C300" s="26"/>
      <c r="D300" s="15"/>
      <c r="E300" s="15"/>
      <c r="F300" s="3"/>
      <c r="G300" s="26"/>
      <c r="H300" s="15"/>
      <c r="I300" s="26"/>
      <c r="J300" s="15"/>
      <c r="K300" s="26"/>
      <c r="L300" s="15"/>
      <c r="M300" s="26"/>
      <c r="N300" s="26"/>
      <c r="O300" s="26"/>
      <c r="P300" s="26"/>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row>
    <row r="301" spans="1:40" ht="12.75">
      <c r="A301" s="15"/>
      <c r="B301" s="15"/>
      <c r="C301" s="26"/>
      <c r="D301" s="15"/>
      <c r="E301" s="15"/>
      <c r="F301" s="3"/>
      <c r="G301" s="26"/>
      <c r="H301" s="15"/>
      <c r="I301" s="26"/>
      <c r="J301" s="15"/>
      <c r="K301" s="26"/>
      <c r="L301" s="15"/>
      <c r="M301" s="26"/>
      <c r="N301" s="26"/>
      <c r="O301" s="26"/>
      <c r="P301" s="26"/>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row>
    <row r="302" spans="1:40" ht="12.75">
      <c r="A302" s="15"/>
      <c r="B302" s="15"/>
      <c r="C302" s="26"/>
      <c r="D302" s="15"/>
      <c r="E302" s="15"/>
      <c r="F302" s="3"/>
      <c r="G302" s="26"/>
      <c r="H302" s="15"/>
      <c r="I302" s="26"/>
      <c r="J302" s="15"/>
      <c r="K302" s="26"/>
      <c r="L302" s="15"/>
      <c r="M302" s="26"/>
      <c r="N302" s="26"/>
      <c r="O302" s="26"/>
      <c r="P302" s="26"/>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row>
    <row r="303" spans="1:40" ht="12.75">
      <c r="A303" s="15"/>
      <c r="B303" s="15"/>
      <c r="C303" s="26"/>
      <c r="D303" s="15"/>
      <c r="E303" s="15"/>
      <c r="F303" s="3"/>
      <c r="G303" s="26"/>
      <c r="H303" s="15"/>
      <c r="I303" s="26"/>
      <c r="J303" s="15"/>
      <c r="K303" s="26"/>
      <c r="L303" s="15"/>
      <c r="M303" s="26"/>
      <c r="N303" s="26"/>
      <c r="O303" s="26"/>
      <c r="P303" s="26"/>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row>
    <row r="304" spans="1:40" ht="12.75">
      <c r="A304" s="15"/>
      <c r="B304" s="15"/>
      <c r="C304" s="26"/>
      <c r="D304" s="15"/>
      <c r="E304" s="15"/>
      <c r="F304" s="3"/>
      <c r="G304" s="26"/>
      <c r="H304" s="15"/>
      <c r="I304" s="26"/>
      <c r="J304" s="15"/>
      <c r="K304" s="26"/>
      <c r="L304" s="15"/>
      <c r="M304" s="26"/>
      <c r="N304" s="26"/>
      <c r="O304" s="26"/>
      <c r="P304" s="26"/>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row>
    <row r="305" spans="1:40" ht="12.75">
      <c r="A305" s="15"/>
      <c r="B305" s="15"/>
      <c r="C305" s="26"/>
      <c r="D305" s="15"/>
      <c r="E305" s="15"/>
      <c r="F305" s="3"/>
      <c r="G305" s="26"/>
      <c r="H305" s="15"/>
      <c r="I305" s="26"/>
      <c r="J305" s="15"/>
      <c r="K305" s="26"/>
      <c r="L305" s="15"/>
      <c r="M305" s="26"/>
      <c r="N305" s="26"/>
      <c r="O305" s="26"/>
      <c r="P305" s="26"/>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row>
    <row r="306" spans="1:40" ht="12.75">
      <c r="A306" s="15"/>
      <c r="B306" s="15"/>
      <c r="C306" s="26"/>
      <c r="D306" s="15"/>
      <c r="E306" s="15"/>
      <c r="F306" s="3"/>
      <c r="G306" s="26"/>
      <c r="H306" s="15"/>
      <c r="I306" s="26"/>
      <c r="J306" s="15"/>
      <c r="K306" s="26"/>
      <c r="L306" s="15"/>
      <c r="M306" s="26"/>
      <c r="N306" s="26"/>
      <c r="O306" s="26"/>
      <c r="P306" s="26"/>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row>
    <row r="307" spans="1:40" ht="12.75">
      <c r="A307" s="15"/>
      <c r="B307" s="15"/>
      <c r="C307" s="26"/>
      <c r="D307" s="15"/>
      <c r="E307" s="15"/>
      <c r="F307" s="3"/>
      <c r="G307" s="26"/>
      <c r="H307" s="15"/>
      <c r="I307" s="26"/>
      <c r="J307" s="15"/>
      <c r="K307" s="26"/>
      <c r="L307" s="15"/>
      <c r="M307" s="26"/>
      <c r="N307" s="26"/>
      <c r="O307" s="26"/>
      <c r="P307" s="26"/>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row>
    <row r="308" spans="1:40" ht="12.75">
      <c r="A308" s="15"/>
      <c r="B308" s="15"/>
      <c r="C308" s="26"/>
      <c r="D308" s="15"/>
      <c r="E308" s="15"/>
      <c r="F308" s="3"/>
      <c r="G308" s="26"/>
      <c r="H308" s="15"/>
      <c r="I308" s="26"/>
      <c r="J308" s="15"/>
      <c r="K308" s="26"/>
      <c r="L308" s="15"/>
      <c r="M308" s="26"/>
      <c r="N308" s="26"/>
      <c r="O308" s="26"/>
      <c r="P308" s="26"/>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row>
    <row r="309" spans="1:40" ht="12.75">
      <c r="A309" s="15"/>
      <c r="B309" s="15"/>
      <c r="C309" s="26"/>
      <c r="D309" s="15"/>
      <c r="E309" s="15"/>
      <c r="F309" s="3"/>
      <c r="G309" s="26"/>
      <c r="H309" s="15"/>
      <c r="I309" s="26"/>
      <c r="J309" s="15"/>
      <c r="K309" s="26"/>
      <c r="L309" s="15"/>
      <c r="M309" s="26"/>
      <c r="N309" s="26"/>
      <c r="O309" s="26"/>
      <c r="P309" s="26"/>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row>
    <row r="310" spans="1:40" ht="12.75">
      <c r="A310" s="15"/>
      <c r="B310" s="15"/>
      <c r="C310" s="26"/>
      <c r="D310" s="15"/>
      <c r="E310" s="15"/>
      <c r="F310" s="3"/>
      <c r="G310" s="26"/>
      <c r="H310" s="15"/>
      <c r="I310" s="26"/>
      <c r="J310" s="15"/>
      <c r="K310" s="26"/>
      <c r="L310" s="15"/>
      <c r="M310" s="26"/>
      <c r="N310" s="26"/>
      <c r="O310" s="26"/>
      <c r="P310" s="26"/>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row>
    <row r="311" spans="1:40" ht="12.75">
      <c r="A311" s="15"/>
      <c r="B311" s="15"/>
      <c r="C311" s="26"/>
      <c r="D311" s="15"/>
      <c r="E311" s="15"/>
      <c r="F311" s="3"/>
      <c r="G311" s="26"/>
      <c r="H311" s="15"/>
      <c r="I311" s="26"/>
      <c r="J311" s="15"/>
      <c r="K311" s="26"/>
      <c r="L311" s="15"/>
      <c r="M311" s="26"/>
      <c r="N311" s="26"/>
      <c r="O311" s="26"/>
      <c r="P311" s="26"/>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row>
    <row r="312" spans="1:40" ht="12.75">
      <c r="A312" s="15"/>
      <c r="B312" s="15"/>
      <c r="C312" s="26"/>
      <c r="D312" s="15"/>
      <c r="E312" s="15"/>
      <c r="F312" s="3"/>
      <c r="G312" s="26"/>
      <c r="H312" s="15"/>
      <c r="I312" s="26"/>
      <c r="J312" s="15"/>
      <c r="K312" s="26"/>
      <c r="L312" s="15"/>
      <c r="M312" s="26"/>
      <c r="N312" s="26"/>
      <c r="O312" s="26"/>
      <c r="P312" s="26"/>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row>
    <row r="313" spans="1:40" ht="12.75">
      <c r="A313" s="15"/>
      <c r="B313" s="15"/>
      <c r="C313" s="26"/>
      <c r="D313" s="15"/>
      <c r="E313" s="15"/>
      <c r="F313" s="3"/>
      <c r="G313" s="26"/>
      <c r="H313" s="15"/>
      <c r="I313" s="26"/>
      <c r="J313" s="15"/>
      <c r="K313" s="26"/>
      <c r="L313" s="15"/>
      <c r="M313" s="26"/>
      <c r="N313" s="26"/>
      <c r="O313" s="26"/>
      <c r="P313" s="26"/>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row>
    <row r="314" spans="1:40" ht="12.75">
      <c r="A314" s="15"/>
      <c r="B314" s="15"/>
      <c r="C314" s="26"/>
      <c r="D314" s="15"/>
      <c r="E314" s="15"/>
      <c r="F314" s="3"/>
      <c r="G314" s="26"/>
      <c r="H314" s="15"/>
      <c r="I314" s="26"/>
      <c r="J314" s="15"/>
      <c r="K314" s="26"/>
      <c r="L314" s="15"/>
      <c r="M314" s="26"/>
      <c r="N314" s="26"/>
      <c r="O314" s="26"/>
      <c r="P314" s="26"/>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row>
    <row r="315" spans="1:40" ht="12.75">
      <c r="A315" s="15"/>
      <c r="B315" s="15"/>
      <c r="C315" s="26"/>
      <c r="D315" s="15"/>
      <c r="E315" s="15"/>
      <c r="F315" s="3"/>
      <c r="G315" s="26"/>
      <c r="H315" s="15"/>
      <c r="I315" s="26"/>
      <c r="J315" s="15"/>
      <c r="K315" s="26"/>
      <c r="L315" s="15"/>
      <c r="M315" s="26"/>
      <c r="N315" s="26"/>
      <c r="O315" s="26"/>
      <c r="P315" s="26"/>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row>
    <row r="316" spans="1:40" ht="12.75">
      <c r="A316" s="15"/>
      <c r="B316" s="15"/>
      <c r="C316" s="26"/>
      <c r="D316" s="15"/>
      <c r="E316" s="15"/>
      <c r="F316" s="3"/>
      <c r="G316" s="26"/>
      <c r="H316" s="15"/>
      <c r="I316" s="26"/>
      <c r="J316" s="15"/>
      <c r="K316" s="26"/>
      <c r="L316" s="15"/>
      <c r="M316" s="26"/>
      <c r="N316" s="26"/>
      <c r="O316" s="26"/>
      <c r="P316" s="26"/>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row>
    <row r="317" spans="1:40" ht="12.75">
      <c r="A317" s="15"/>
      <c r="B317" s="15"/>
      <c r="C317" s="26"/>
      <c r="D317" s="15"/>
      <c r="E317" s="15"/>
      <c r="F317" s="3"/>
      <c r="G317" s="26"/>
      <c r="H317" s="15"/>
      <c r="I317" s="26"/>
      <c r="J317" s="15"/>
      <c r="K317" s="26"/>
      <c r="L317" s="15"/>
      <c r="M317" s="26"/>
      <c r="N317" s="26"/>
      <c r="O317" s="26"/>
      <c r="P317" s="26"/>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row>
    <row r="318" spans="1:40" ht="12.75">
      <c r="A318" s="15"/>
      <c r="B318" s="15"/>
      <c r="C318" s="26"/>
      <c r="D318" s="15"/>
      <c r="E318" s="15"/>
      <c r="F318" s="3"/>
      <c r="G318" s="26"/>
      <c r="H318" s="15"/>
      <c r="I318" s="26"/>
      <c r="J318" s="15"/>
      <c r="K318" s="26"/>
      <c r="L318" s="15"/>
      <c r="M318" s="26"/>
      <c r="N318" s="26"/>
      <c r="O318" s="26"/>
      <c r="P318" s="26"/>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row>
    <row r="319" spans="1:40" ht="12.75">
      <c r="A319" s="15"/>
      <c r="B319" s="15"/>
      <c r="C319" s="26"/>
      <c r="D319" s="15"/>
      <c r="E319" s="15"/>
      <c r="F319" s="3"/>
      <c r="G319" s="26"/>
      <c r="H319" s="15"/>
      <c r="I319" s="26"/>
      <c r="J319" s="15"/>
      <c r="K319" s="26"/>
      <c r="L319" s="15"/>
      <c r="M319" s="26"/>
      <c r="N319" s="26"/>
      <c r="O319" s="26"/>
      <c r="P319" s="26"/>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row>
    <row r="320" spans="1:40" ht="12.75">
      <c r="A320" s="15"/>
      <c r="B320" s="15"/>
      <c r="C320" s="26"/>
      <c r="D320" s="15"/>
      <c r="E320" s="15"/>
      <c r="F320" s="3"/>
      <c r="G320" s="26"/>
      <c r="H320" s="15"/>
      <c r="I320" s="26"/>
      <c r="J320" s="15"/>
      <c r="K320" s="26"/>
      <c r="L320" s="15"/>
      <c r="M320" s="26"/>
      <c r="N320" s="26"/>
      <c r="O320" s="26"/>
      <c r="P320" s="26"/>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row>
    <row r="321" spans="1:40" ht="12.75">
      <c r="A321" s="15"/>
      <c r="B321" s="15"/>
      <c r="C321" s="26"/>
      <c r="D321" s="15"/>
      <c r="E321" s="15"/>
      <c r="F321" s="3"/>
      <c r="G321" s="26"/>
      <c r="H321" s="15"/>
      <c r="I321" s="26"/>
      <c r="J321" s="15"/>
      <c r="K321" s="26"/>
      <c r="L321" s="15"/>
      <c r="M321" s="26"/>
      <c r="N321" s="26"/>
      <c r="O321" s="26"/>
      <c r="P321" s="26"/>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row>
    <row r="322" spans="1:40" ht="12.75">
      <c r="A322" s="15"/>
      <c r="B322" s="15"/>
      <c r="C322" s="26"/>
      <c r="D322" s="15"/>
      <c r="E322" s="15"/>
      <c r="F322" s="3"/>
      <c r="G322" s="26"/>
      <c r="H322" s="15"/>
      <c r="I322" s="26"/>
      <c r="J322" s="15"/>
      <c r="K322" s="26"/>
      <c r="L322" s="15"/>
      <c r="M322" s="26"/>
      <c r="N322" s="26"/>
      <c r="O322" s="26"/>
      <c r="P322" s="26"/>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row>
    <row r="323" spans="1:40" ht="12.75">
      <c r="A323" s="15"/>
      <c r="B323" s="15"/>
      <c r="C323" s="26"/>
      <c r="D323" s="15"/>
      <c r="E323" s="15"/>
      <c r="F323" s="3"/>
      <c r="G323" s="26"/>
      <c r="H323" s="15"/>
      <c r="I323" s="26"/>
      <c r="J323" s="15"/>
      <c r="K323" s="26"/>
      <c r="L323" s="15"/>
      <c r="M323" s="26"/>
      <c r="N323" s="26"/>
      <c r="O323" s="26"/>
      <c r="P323" s="26"/>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row>
    <row r="324" spans="1:40" ht="12.75">
      <c r="A324" s="15"/>
      <c r="B324" s="15"/>
      <c r="C324" s="26"/>
      <c r="D324" s="15"/>
      <c r="E324" s="15"/>
      <c r="F324" s="3"/>
      <c r="G324" s="26"/>
      <c r="H324" s="15"/>
      <c r="I324" s="26"/>
      <c r="J324" s="15"/>
      <c r="K324" s="26"/>
      <c r="L324" s="15"/>
      <c r="M324" s="26"/>
      <c r="N324" s="26"/>
      <c r="O324" s="26"/>
      <c r="P324" s="26"/>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row>
    <row r="325" spans="1:40" ht="12.75">
      <c r="A325" s="15"/>
      <c r="B325" s="15"/>
      <c r="C325" s="26"/>
      <c r="D325" s="15"/>
      <c r="E325" s="15"/>
      <c r="F325" s="3"/>
      <c r="G325" s="26"/>
      <c r="H325" s="15"/>
      <c r="I325" s="26"/>
      <c r="J325" s="15"/>
      <c r="K325" s="26"/>
      <c r="L325" s="15"/>
      <c r="M325" s="26"/>
      <c r="N325" s="26"/>
      <c r="O325" s="26"/>
      <c r="P325" s="26"/>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row>
    <row r="326" spans="1:40" ht="12.75">
      <c r="A326" s="15"/>
      <c r="B326" s="15"/>
      <c r="C326" s="26"/>
      <c r="D326" s="15"/>
      <c r="E326" s="15"/>
      <c r="F326" s="3"/>
      <c r="G326" s="26"/>
      <c r="H326" s="15"/>
      <c r="I326" s="26"/>
      <c r="J326" s="15"/>
      <c r="K326" s="26"/>
      <c r="L326" s="15"/>
      <c r="M326" s="26"/>
      <c r="N326" s="26"/>
      <c r="O326" s="26"/>
      <c r="P326" s="26"/>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row>
    <row r="327" spans="1:40" ht="12.75">
      <c r="A327" s="15"/>
      <c r="B327" s="15"/>
      <c r="C327" s="26"/>
      <c r="D327" s="15"/>
      <c r="E327" s="15"/>
      <c r="F327" s="3"/>
      <c r="G327" s="26"/>
      <c r="H327" s="15"/>
      <c r="I327" s="26"/>
      <c r="J327" s="15"/>
      <c r="K327" s="26"/>
      <c r="L327" s="15"/>
      <c r="M327" s="26"/>
      <c r="N327" s="26"/>
      <c r="O327" s="26"/>
      <c r="P327" s="26"/>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row>
    <row r="328" spans="1:40" ht="12.75">
      <c r="A328" s="15"/>
      <c r="B328" s="15"/>
      <c r="C328" s="26"/>
      <c r="D328" s="15"/>
      <c r="E328" s="15"/>
      <c r="F328" s="3"/>
      <c r="G328" s="26"/>
      <c r="H328" s="15"/>
      <c r="I328" s="26"/>
      <c r="J328" s="15"/>
      <c r="K328" s="26"/>
      <c r="L328" s="15"/>
      <c r="M328" s="26"/>
      <c r="N328" s="26"/>
      <c r="O328" s="26"/>
      <c r="P328" s="26"/>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row>
    <row r="329" spans="1:40" ht="12.75">
      <c r="A329" s="15"/>
      <c r="B329" s="15"/>
      <c r="C329" s="26"/>
      <c r="D329" s="15"/>
      <c r="E329" s="15"/>
      <c r="F329" s="3"/>
      <c r="G329" s="26"/>
      <c r="H329" s="15"/>
      <c r="I329" s="26"/>
      <c r="J329" s="15"/>
      <c r="K329" s="26"/>
      <c r="L329" s="15"/>
      <c r="M329" s="26"/>
      <c r="N329" s="26"/>
      <c r="O329" s="26"/>
      <c r="P329" s="26"/>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row>
    <row r="330" spans="1:40" ht="12.75">
      <c r="A330" s="15"/>
      <c r="B330" s="15"/>
      <c r="C330" s="26"/>
      <c r="D330" s="15"/>
      <c r="E330" s="15"/>
      <c r="F330" s="3"/>
      <c r="G330" s="26"/>
      <c r="H330" s="15"/>
      <c r="I330" s="26"/>
      <c r="J330" s="15"/>
      <c r="K330" s="26"/>
      <c r="L330" s="15"/>
      <c r="M330" s="26"/>
      <c r="N330" s="26"/>
      <c r="O330" s="26"/>
      <c r="P330" s="26"/>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row>
    <row r="331" spans="1:40" ht="12.75">
      <c r="A331" s="15"/>
      <c r="B331" s="15"/>
      <c r="C331" s="26"/>
      <c r="D331" s="15"/>
      <c r="E331" s="15"/>
      <c r="F331" s="3"/>
      <c r="G331" s="26"/>
      <c r="H331" s="15"/>
      <c r="I331" s="26"/>
      <c r="J331" s="15"/>
      <c r="K331" s="26"/>
      <c r="L331" s="15"/>
      <c r="M331" s="26"/>
      <c r="N331" s="26"/>
      <c r="O331" s="26"/>
      <c r="P331" s="26"/>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row>
    <row r="332" spans="1:40" ht="12.75">
      <c r="A332" s="15"/>
      <c r="B332" s="15"/>
      <c r="C332" s="26"/>
      <c r="D332" s="15"/>
      <c r="E332" s="15"/>
      <c r="F332" s="3"/>
      <c r="G332" s="26"/>
      <c r="H332" s="15"/>
      <c r="I332" s="26"/>
      <c r="J332" s="15"/>
      <c r="K332" s="26"/>
      <c r="L332" s="15"/>
      <c r="M332" s="26"/>
      <c r="N332" s="26"/>
      <c r="O332" s="26"/>
      <c r="P332" s="26"/>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row>
    <row r="333" spans="1:40" ht="12.75">
      <c r="A333" s="15"/>
      <c r="B333" s="15"/>
      <c r="C333" s="26"/>
      <c r="D333" s="15"/>
      <c r="E333" s="15"/>
      <c r="F333" s="3"/>
      <c r="G333" s="26"/>
      <c r="H333" s="15"/>
      <c r="I333" s="26"/>
      <c r="J333" s="15"/>
      <c r="K333" s="26"/>
      <c r="L333" s="15"/>
      <c r="M333" s="26"/>
      <c r="N333" s="26"/>
      <c r="O333" s="26"/>
      <c r="P333" s="26"/>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row>
    <row r="334" spans="1:40" ht="12.75">
      <c r="A334" s="15"/>
      <c r="B334" s="15"/>
      <c r="C334" s="26"/>
      <c r="D334" s="15"/>
      <c r="E334" s="15"/>
      <c r="F334" s="3"/>
      <c r="G334" s="26"/>
      <c r="H334" s="15"/>
      <c r="I334" s="26"/>
      <c r="J334" s="15"/>
      <c r="K334" s="26"/>
      <c r="L334" s="15"/>
      <c r="M334" s="26"/>
      <c r="N334" s="26"/>
      <c r="O334" s="26"/>
      <c r="P334" s="26"/>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row>
    <row r="335" spans="1:40" ht="12.75">
      <c r="A335" s="15"/>
      <c r="B335" s="15"/>
      <c r="C335" s="26"/>
      <c r="D335" s="15"/>
      <c r="E335" s="15"/>
      <c r="F335" s="3"/>
      <c r="G335" s="26"/>
      <c r="H335" s="15"/>
      <c r="I335" s="26"/>
      <c r="J335" s="15"/>
      <c r="K335" s="26"/>
      <c r="L335" s="15"/>
      <c r="M335" s="26"/>
      <c r="N335" s="26"/>
      <c r="O335" s="26"/>
      <c r="P335" s="26"/>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row>
    <row r="336" spans="1:40" ht="12.75">
      <c r="A336" s="15"/>
      <c r="B336" s="15"/>
      <c r="C336" s="26"/>
      <c r="D336" s="15"/>
      <c r="E336" s="15"/>
      <c r="F336" s="3"/>
      <c r="G336" s="26"/>
      <c r="H336" s="15"/>
      <c r="I336" s="26"/>
      <c r="J336" s="15"/>
      <c r="K336" s="26"/>
      <c r="L336" s="15"/>
      <c r="M336" s="26"/>
      <c r="N336" s="26"/>
      <c r="O336" s="26"/>
      <c r="P336" s="26"/>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row>
    <row r="337" spans="1:40" ht="12.75">
      <c r="A337" s="15"/>
      <c r="B337" s="15"/>
      <c r="C337" s="26"/>
      <c r="D337" s="15"/>
      <c r="E337" s="15"/>
      <c r="F337" s="3"/>
      <c r="G337" s="26"/>
      <c r="H337" s="15"/>
      <c r="I337" s="26"/>
      <c r="J337" s="15"/>
      <c r="K337" s="26"/>
      <c r="L337" s="15"/>
      <c r="M337" s="26"/>
      <c r="N337" s="26"/>
      <c r="O337" s="26"/>
      <c r="P337" s="26"/>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row>
    <row r="338" spans="1:40" ht="12.75">
      <c r="A338" s="15"/>
      <c r="B338" s="15"/>
      <c r="C338" s="26"/>
      <c r="D338" s="15"/>
      <c r="E338" s="15"/>
      <c r="F338" s="3"/>
      <c r="G338" s="26"/>
      <c r="H338" s="15"/>
      <c r="I338" s="26"/>
      <c r="J338" s="15"/>
      <c r="K338" s="26"/>
      <c r="L338" s="15"/>
      <c r="M338" s="26"/>
      <c r="N338" s="26"/>
      <c r="O338" s="26"/>
      <c r="P338" s="26"/>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row>
    <row r="339" spans="1:40" ht="12.75">
      <c r="A339" s="15"/>
      <c r="B339" s="15"/>
      <c r="C339" s="26"/>
      <c r="D339" s="15"/>
      <c r="E339" s="15"/>
      <c r="F339" s="3"/>
      <c r="G339" s="26"/>
      <c r="H339" s="15"/>
      <c r="I339" s="26"/>
      <c r="J339" s="15"/>
      <c r="K339" s="26"/>
      <c r="L339" s="15"/>
      <c r="M339" s="26"/>
      <c r="N339" s="26"/>
      <c r="O339" s="26"/>
      <c r="P339" s="26"/>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row>
    <row r="340" spans="1:40" ht="12.75">
      <c r="A340" s="15"/>
      <c r="B340" s="15"/>
      <c r="C340" s="26"/>
      <c r="D340" s="15"/>
      <c r="E340" s="15"/>
      <c r="F340" s="3"/>
      <c r="G340" s="26"/>
      <c r="H340" s="15"/>
      <c r="I340" s="26"/>
      <c r="J340" s="15"/>
      <c r="K340" s="26"/>
      <c r="L340" s="15"/>
      <c r="M340" s="26"/>
      <c r="N340" s="26"/>
      <c r="O340" s="26"/>
      <c r="P340" s="26"/>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row>
    <row r="341" spans="1:40" ht="12.75">
      <c r="A341" s="15"/>
      <c r="B341" s="15"/>
      <c r="C341" s="26"/>
      <c r="D341" s="15"/>
      <c r="E341" s="15"/>
      <c r="F341" s="3"/>
      <c r="G341" s="26"/>
      <c r="H341" s="15"/>
      <c r="I341" s="26"/>
      <c r="J341" s="15"/>
      <c r="K341" s="26"/>
      <c r="L341" s="15"/>
      <c r="M341" s="26"/>
      <c r="N341" s="26"/>
      <c r="O341" s="26"/>
      <c r="P341" s="26"/>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row>
    <row r="342" spans="1:40" ht="12.75">
      <c r="A342" s="15"/>
      <c r="B342" s="15"/>
      <c r="C342" s="26"/>
      <c r="D342" s="15"/>
      <c r="E342" s="15"/>
      <c r="F342" s="3"/>
      <c r="G342" s="26"/>
      <c r="H342" s="15"/>
      <c r="I342" s="26"/>
      <c r="J342" s="15"/>
      <c r="K342" s="26"/>
      <c r="L342" s="15"/>
      <c r="M342" s="26"/>
      <c r="N342" s="26"/>
      <c r="O342" s="26"/>
      <c r="P342" s="26"/>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row>
    <row r="343" spans="1:40" ht="12.75">
      <c r="A343" s="15"/>
      <c r="B343" s="15"/>
      <c r="C343" s="26"/>
      <c r="D343" s="15"/>
      <c r="E343" s="15"/>
      <c r="F343" s="3"/>
      <c r="G343" s="26"/>
      <c r="H343" s="15"/>
      <c r="I343" s="26"/>
      <c r="J343" s="15"/>
      <c r="K343" s="26"/>
      <c r="L343" s="15"/>
      <c r="M343" s="26"/>
      <c r="N343" s="26"/>
      <c r="O343" s="26"/>
      <c r="P343" s="26"/>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row>
    <row r="344" spans="1:40" ht="12.75">
      <c r="A344" s="15"/>
      <c r="B344" s="15"/>
      <c r="C344" s="26"/>
      <c r="D344" s="15"/>
      <c r="E344" s="15"/>
      <c r="F344" s="3"/>
      <c r="G344" s="26"/>
      <c r="H344" s="15"/>
      <c r="I344" s="26"/>
      <c r="J344" s="15"/>
      <c r="K344" s="26"/>
      <c r="L344" s="15"/>
      <c r="M344" s="26"/>
      <c r="N344" s="26"/>
      <c r="O344" s="26"/>
      <c r="P344" s="26"/>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row>
    <row r="345" spans="1:40" ht="12.75">
      <c r="A345" s="15"/>
      <c r="B345" s="15"/>
      <c r="C345" s="26"/>
      <c r="D345" s="15"/>
      <c r="E345" s="15"/>
      <c r="F345" s="3"/>
      <c r="G345" s="26"/>
      <c r="H345" s="15"/>
      <c r="I345" s="26"/>
      <c r="J345" s="15"/>
      <c r="K345" s="26"/>
      <c r="L345" s="15"/>
      <c r="M345" s="26"/>
      <c r="N345" s="26"/>
      <c r="O345" s="26"/>
      <c r="P345" s="26"/>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row>
    <row r="346" spans="1:40" ht="12.75">
      <c r="A346" s="15"/>
      <c r="B346" s="15"/>
      <c r="C346" s="26"/>
      <c r="D346" s="15"/>
      <c r="E346" s="15"/>
      <c r="F346" s="3"/>
      <c r="G346" s="26"/>
      <c r="H346" s="15"/>
      <c r="I346" s="26"/>
      <c r="J346" s="15"/>
      <c r="K346" s="26"/>
      <c r="L346" s="15"/>
      <c r="M346" s="26"/>
      <c r="N346" s="26"/>
      <c r="O346" s="26"/>
      <c r="P346" s="26"/>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row>
    <row r="347" spans="1:40" ht="12.75">
      <c r="A347" s="15"/>
      <c r="B347" s="15"/>
      <c r="C347" s="26"/>
      <c r="D347" s="15"/>
      <c r="E347" s="15"/>
      <c r="F347" s="3"/>
      <c r="G347" s="26"/>
      <c r="H347" s="15"/>
      <c r="I347" s="26"/>
      <c r="J347" s="15"/>
      <c r="K347" s="26"/>
      <c r="L347" s="15"/>
      <c r="M347" s="26"/>
      <c r="N347" s="26"/>
      <c r="O347" s="26"/>
      <c r="P347" s="26"/>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row>
    <row r="348" spans="1:40" ht="12.75">
      <c r="A348" s="15"/>
      <c r="B348" s="15"/>
      <c r="C348" s="26"/>
      <c r="D348" s="15"/>
      <c r="E348" s="15"/>
      <c r="F348" s="3"/>
      <c r="G348" s="26"/>
      <c r="H348" s="15"/>
      <c r="I348" s="26"/>
      <c r="J348" s="15"/>
      <c r="K348" s="26"/>
      <c r="L348" s="15"/>
      <c r="M348" s="26"/>
      <c r="N348" s="26"/>
      <c r="O348" s="26"/>
      <c r="P348" s="26"/>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row>
    <row r="349" spans="1:40" ht="12.75">
      <c r="A349" s="15"/>
      <c r="B349" s="15"/>
      <c r="C349" s="26"/>
      <c r="D349" s="15"/>
      <c r="E349" s="15"/>
      <c r="F349" s="3"/>
      <c r="G349" s="26"/>
      <c r="H349" s="15"/>
      <c r="I349" s="26"/>
      <c r="J349" s="15"/>
      <c r="K349" s="26"/>
      <c r="L349" s="15"/>
      <c r="M349" s="26"/>
      <c r="N349" s="26"/>
      <c r="O349" s="26"/>
      <c r="P349" s="26"/>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row>
    <row r="350" spans="1:40" ht="12.75">
      <c r="A350" s="15"/>
      <c r="B350" s="15"/>
      <c r="C350" s="26"/>
      <c r="D350" s="15"/>
      <c r="E350" s="15"/>
      <c r="F350" s="3"/>
      <c r="G350" s="26"/>
      <c r="H350" s="15"/>
      <c r="I350" s="26"/>
      <c r="J350" s="15"/>
      <c r="K350" s="26"/>
      <c r="L350" s="15"/>
      <c r="M350" s="26"/>
      <c r="N350" s="26"/>
      <c r="O350" s="26"/>
      <c r="P350" s="26"/>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row>
    <row r="351" spans="1:40" ht="12.75">
      <c r="A351" s="15"/>
      <c r="B351" s="15"/>
      <c r="C351" s="26"/>
      <c r="D351" s="15"/>
      <c r="E351" s="15"/>
      <c r="F351" s="3"/>
      <c r="G351" s="26"/>
      <c r="H351" s="15"/>
      <c r="I351" s="26"/>
      <c r="J351" s="15"/>
      <c r="K351" s="26"/>
      <c r="L351" s="15"/>
      <c r="M351" s="26"/>
      <c r="N351" s="26"/>
      <c r="O351" s="26"/>
      <c r="P351" s="26"/>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row>
    <row r="352" spans="1:40" ht="12.75">
      <c r="A352" s="15"/>
      <c r="B352" s="15"/>
      <c r="C352" s="26"/>
      <c r="D352" s="15"/>
      <c r="E352" s="15"/>
      <c r="F352" s="3"/>
      <c r="G352" s="26"/>
      <c r="H352" s="15"/>
      <c r="I352" s="26"/>
      <c r="J352" s="15"/>
      <c r="K352" s="26"/>
      <c r="L352" s="15"/>
      <c r="M352" s="26"/>
      <c r="N352" s="26"/>
      <c r="O352" s="26"/>
      <c r="P352" s="26"/>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row>
    <row r="353" spans="1:40" ht="12.75">
      <c r="A353" s="15"/>
      <c r="B353" s="15"/>
      <c r="C353" s="26"/>
      <c r="D353" s="15"/>
      <c r="E353" s="15"/>
      <c r="F353" s="3"/>
      <c r="G353" s="26"/>
      <c r="H353" s="15"/>
      <c r="I353" s="26"/>
      <c r="J353" s="15"/>
      <c r="K353" s="26"/>
      <c r="L353" s="15"/>
      <c r="M353" s="26"/>
      <c r="N353" s="26"/>
      <c r="O353" s="26"/>
      <c r="P353" s="26"/>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row>
    <row r="354" spans="1:40" ht="12.75">
      <c r="A354" s="15"/>
      <c r="B354" s="15"/>
      <c r="C354" s="26"/>
      <c r="D354" s="15"/>
      <c r="E354" s="15"/>
      <c r="F354" s="3"/>
      <c r="G354" s="26"/>
      <c r="H354" s="15"/>
      <c r="I354" s="26"/>
      <c r="J354" s="15"/>
      <c r="K354" s="26"/>
      <c r="L354" s="15"/>
      <c r="M354" s="26"/>
      <c r="N354" s="26"/>
      <c r="O354" s="26"/>
      <c r="P354" s="26"/>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row>
    <row r="355" spans="1:40" ht="12.75">
      <c r="A355" s="15"/>
      <c r="B355" s="15"/>
      <c r="C355" s="26"/>
      <c r="D355" s="15"/>
      <c r="E355" s="15"/>
      <c r="F355" s="3"/>
      <c r="G355" s="26"/>
      <c r="H355" s="15"/>
      <c r="I355" s="26"/>
      <c r="J355" s="15"/>
      <c r="K355" s="26"/>
      <c r="L355" s="15"/>
      <c r="M355" s="26"/>
      <c r="N355" s="26"/>
      <c r="O355" s="26"/>
      <c r="P355" s="26"/>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row>
    <row r="356" spans="1:40" ht="12.75">
      <c r="A356" s="15"/>
      <c r="B356" s="15"/>
      <c r="C356" s="26"/>
      <c r="D356" s="15"/>
      <c r="E356" s="15"/>
      <c r="F356" s="3"/>
      <c r="G356" s="26"/>
      <c r="H356" s="15"/>
      <c r="I356" s="26"/>
      <c r="J356" s="15"/>
      <c r="K356" s="26"/>
      <c r="L356" s="15"/>
      <c r="M356" s="26"/>
      <c r="N356" s="26"/>
      <c r="O356" s="26"/>
      <c r="P356" s="26"/>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row>
    <row r="357" spans="1:40" ht="12.75">
      <c r="A357" s="15"/>
      <c r="B357" s="15"/>
      <c r="C357" s="26"/>
      <c r="D357" s="15"/>
      <c r="E357" s="15"/>
      <c r="F357" s="3"/>
      <c r="G357" s="26"/>
      <c r="H357" s="15"/>
      <c r="I357" s="26"/>
      <c r="J357" s="15"/>
      <c r="K357" s="26"/>
      <c r="L357" s="15"/>
      <c r="M357" s="26"/>
      <c r="N357" s="26"/>
      <c r="O357" s="26"/>
      <c r="P357" s="26"/>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row>
    <row r="358" spans="1:40" ht="12.75">
      <c r="A358" s="15"/>
      <c r="B358" s="15"/>
      <c r="C358" s="26"/>
      <c r="D358" s="15"/>
      <c r="E358" s="15"/>
      <c r="F358" s="3"/>
      <c r="G358" s="26"/>
      <c r="H358" s="15"/>
      <c r="I358" s="26"/>
      <c r="J358" s="15"/>
      <c r="K358" s="26"/>
      <c r="L358" s="15"/>
      <c r="M358" s="26"/>
      <c r="N358" s="26"/>
      <c r="O358" s="26"/>
      <c r="P358" s="26"/>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row>
    <row r="359" spans="1:40" ht="12.75">
      <c r="A359" s="15"/>
      <c r="B359" s="15"/>
      <c r="C359" s="26"/>
      <c r="D359" s="15"/>
      <c r="E359" s="15"/>
      <c r="F359" s="3"/>
      <c r="G359" s="26"/>
      <c r="H359" s="15"/>
      <c r="I359" s="26"/>
      <c r="J359" s="15"/>
      <c r="K359" s="26"/>
      <c r="L359" s="15"/>
      <c r="M359" s="26"/>
      <c r="N359" s="26"/>
      <c r="O359" s="26"/>
      <c r="P359" s="26"/>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row>
    <row r="360" spans="1:40" ht="12.75">
      <c r="A360" s="15"/>
      <c r="B360" s="15"/>
      <c r="C360" s="26"/>
      <c r="D360" s="15"/>
      <c r="E360" s="15"/>
      <c r="F360" s="3"/>
      <c r="G360" s="26"/>
      <c r="H360" s="15"/>
      <c r="I360" s="26"/>
      <c r="J360" s="15"/>
      <c r="K360" s="26"/>
      <c r="L360" s="15"/>
      <c r="M360" s="26"/>
      <c r="N360" s="26"/>
      <c r="O360" s="26"/>
      <c r="P360" s="26"/>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row>
    <row r="361" spans="1:40" ht="12.75">
      <c r="A361" s="15"/>
      <c r="B361" s="15"/>
      <c r="C361" s="26"/>
      <c r="D361" s="15"/>
      <c r="E361" s="15"/>
      <c r="F361" s="3"/>
      <c r="G361" s="26"/>
      <c r="H361" s="15"/>
      <c r="I361" s="26"/>
      <c r="J361" s="15"/>
      <c r="K361" s="26"/>
      <c r="L361" s="15"/>
      <c r="M361" s="26"/>
      <c r="N361" s="26"/>
      <c r="O361" s="26"/>
      <c r="P361" s="26"/>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row>
    <row r="362" spans="1:40" ht="12.75">
      <c r="A362" s="15"/>
      <c r="B362" s="15"/>
      <c r="C362" s="26"/>
      <c r="D362" s="15"/>
      <c r="E362" s="15"/>
      <c r="F362" s="3"/>
      <c r="G362" s="26"/>
      <c r="H362" s="15"/>
      <c r="I362" s="26"/>
      <c r="J362" s="15"/>
      <c r="K362" s="26"/>
      <c r="L362" s="15"/>
      <c r="M362" s="26"/>
      <c r="N362" s="26"/>
      <c r="O362" s="26"/>
      <c r="P362" s="26"/>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row>
    <row r="363" spans="1:40" ht="12.75">
      <c r="A363" s="15"/>
      <c r="B363" s="15"/>
      <c r="C363" s="26"/>
      <c r="D363" s="15"/>
      <c r="E363" s="15"/>
      <c r="F363" s="3"/>
      <c r="G363" s="26"/>
      <c r="H363" s="15"/>
      <c r="I363" s="26"/>
      <c r="J363" s="15"/>
      <c r="K363" s="26"/>
      <c r="L363" s="15"/>
      <c r="M363" s="26"/>
      <c r="N363" s="26"/>
      <c r="O363" s="26"/>
      <c r="P363" s="26"/>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row>
    <row r="364" spans="1:40" ht="12.75">
      <c r="A364" s="15"/>
      <c r="B364" s="15"/>
      <c r="C364" s="26"/>
      <c r="D364" s="15"/>
      <c r="E364" s="15"/>
      <c r="F364" s="3"/>
      <c r="G364" s="26"/>
      <c r="H364" s="15"/>
      <c r="I364" s="26"/>
      <c r="J364" s="15"/>
      <c r="K364" s="26"/>
      <c r="L364" s="15"/>
      <c r="M364" s="26"/>
      <c r="N364" s="26"/>
      <c r="O364" s="26"/>
      <c r="P364" s="26"/>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row>
    <row r="365" spans="1:40" ht="12.75">
      <c r="A365" s="15"/>
      <c r="B365" s="15"/>
      <c r="C365" s="26"/>
      <c r="D365" s="15"/>
      <c r="E365" s="15"/>
      <c r="F365" s="3"/>
      <c r="G365" s="26"/>
      <c r="H365" s="15"/>
      <c r="I365" s="26"/>
      <c r="J365" s="15"/>
      <c r="K365" s="26"/>
      <c r="L365" s="15"/>
      <c r="M365" s="26"/>
      <c r="N365" s="26"/>
      <c r="O365" s="26"/>
      <c r="P365" s="26"/>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row>
    <row r="366" spans="1:40" ht="12.75">
      <c r="A366" s="15"/>
      <c r="B366" s="15"/>
      <c r="C366" s="26"/>
      <c r="D366" s="15"/>
      <c r="E366" s="15"/>
      <c r="F366" s="3"/>
      <c r="G366" s="26"/>
      <c r="H366" s="15"/>
      <c r="I366" s="26"/>
      <c r="J366" s="15"/>
      <c r="K366" s="26"/>
      <c r="L366" s="15"/>
      <c r="M366" s="26"/>
      <c r="N366" s="26"/>
      <c r="O366" s="26"/>
      <c r="P366" s="26"/>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row>
    <row r="367" spans="1:40" ht="12.75">
      <c r="A367" s="15"/>
      <c r="B367" s="15"/>
      <c r="C367" s="26"/>
      <c r="D367" s="15"/>
      <c r="E367" s="15"/>
      <c r="F367" s="3"/>
      <c r="G367" s="26"/>
      <c r="H367" s="15"/>
      <c r="I367" s="26"/>
      <c r="J367" s="15"/>
      <c r="K367" s="26"/>
      <c r="L367" s="15"/>
      <c r="M367" s="26"/>
      <c r="N367" s="26"/>
      <c r="O367" s="26"/>
      <c r="P367" s="26"/>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row>
    <row r="368" spans="1:40" ht="12.75">
      <c r="A368" s="15"/>
      <c r="B368" s="15"/>
      <c r="C368" s="26"/>
      <c r="D368" s="15"/>
      <c r="E368" s="15"/>
      <c r="F368" s="3"/>
      <c r="G368" s="26"/>
      <c r="H368" s="15"/>
      <c r="I368" s="26"/>
      <c r="J368" s="15"/>
      <c r="K368" s="26"/>
      <c r="L368" s="15"/>
      <c r="M368" s="26"/>
      <c r="N368" s="26"/>
      <c r="O368" s="26"/>
      <c r="P368" s="26"/>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row>
    <row r="369" spans="1:40" ht="12.75">
      <c r="A369" s="15"/>
      <c r="B369" s="15"/>
      <c r="C369" s="26"/>
      <c r="D369" s="15"/>
      <c r="E369" s="15"/>
      <c r="F369" s="3"/>
      <c r="G369" s="26"/>
      <c r="H369" s="15"/>
      <c r="I369" s="26"/>
      <c r="J369" s="15"/>
      <c r="K369" s="26"/>
      <c r="L369" s="15"/>
      <c r="M369" s="26"/>
      <c r="N369" s="26"/>
      <c r="O369" s="26"/>
      <c r="P369" s="26"/>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row>
    <row r="370" spans="1:40" ht="12.75">
      <c r="A370" s="15"/>
      <c r="B370" s="15"/>
      <c r="C370" s="26"/>
      <c r="D370" s="15"/>
      <c r="E370" s="15"/>
      <c r="F370" s="3"/>
      <c r="G370" s="26"/>
      <c r="H370" s="15"/>
      <c r="I370" s="26"/>
      <c r="J370" s="15"/>
      <c r="K370" s="26"/>
      <c r="L370" s="15"/>
      <c r="M370" s="26"/>
      <c r="N370" s="26"/>
      <c r="O370" s="26"/>
      <c r="P370" s="26"/>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row>
    <row r="371" spans="1:40" ht="12.75">
      <c r="A371" s="15"/>
      <c r="B371" s="15"/>
      <c r="C371" s="26"/>
      <c r="D371" s="15"/>
      <c r="E371" s="15"/>
      <c r="F371" s="3"/>
      <c r="G371" s="26"/>
      <c r="H371" s="15"/>
      <c r="I371" s="26"/>
      <c r="J371" s="15"/>
      <c r="K371" s="26"/>
      <c r="L371" s="15"/>
      <c r="M371" s="26"/>
      <c r="N371" s="26"/>
      <c r="O371" s="26"/>
      <c r="P371" s="26"/>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row>
    <row r="372" spans="1:40" ht="12.75">
      <c r="A372" s="15"/>
      <c r="B372" s="15"/>
      <c r="C372" s="26"/>
      <c r="D372" s="15"/>
      <c r="E372" s="15"/>
      <c r="F372" s="3"/>
      <c r="G372" s="26"/>
      <c r="H372" s="15"/>
      <c r="I372" s="26"/>
      <c r="J372" s="15"/>
      <c r="K372" s="26"/>
      <c r="L372" s="15"/>
      <c r="M372" s="26"/>
      <c r="N372" s="26"/>
      <c r="O372" s="26"/>
      <c r="P372" s="26"/>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row>
    <row r="373" spans="1:40" ht="12.75">
      <c r="A373" s="15"/>
      <c r="B373" s="15"/>
      <c r="C373" s="26"/>
      <c r="D373" s="15"/>
      <c r="E373" s="15"/>
      <c r="F373" s="3"/>
      <c r="G373" s="26"/>
      <c r="H373" s="15"/>
      <c r="I373" s="26"/>
      <c r="J373" s="15"/>
      <c r="K373" s="26"/>
      <c r="L373" s="15"/>
      <c r="M373" s="26"/>
      <c r="N373" s="26"/>
      <c r="O373" s="26"/>
      <c r="P373" s="26"/>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row>
    <row r="374" spans="1:40" ht="12.75">
      <c r="A374" s="15"/>
      <c r="B374" s="15"/>
      <c r="C374" s="26"/>
      <c r="D374" s="15"/>
      <c r="E374" s="15"/>
      <c r="F374" s="3"/>
      <c r="G374" s="26"/>
      <c r="H374" s="15"/>
      <c r="I374" s="26"/>
      <c r="J374" s="15"/>
      <c r="K374" s="26"/>
      <c r="L374" s="15"/>
      <c r="M374" s="26"/>
      <c r="N374" s="26"/>
      <c r="O374" s="26"/>
      <c r="P374" s="26"/>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row>
    <row r="375" spans="1:40" ht="12.75">
      <c r="A375" s="15"/>
      <c r="B375" s="15"/>
      <c r="C375" s="26"/>
      <c r="D375" s="15"/>
      <c r="E375" s="15"/>
      <c r="F375" s="3"/>
      <c r="G375" s="26"/>
      <c r="H375" s="15"/>
      <c r="I375" s="26"/>
      <c r="J375" s="15"/>
      <c r="K375" s="26"/>
      <c r="L375" s="15"/>
      <c r="M375" s="26"/>
      <c r="N375" s="26"/>
      <c r="O375" s="26"/>
      <c r="P375" s="26"/>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row>
    <row r="376" spans="1:40" ht="12.75">
      <c r="A376" s="15"/>
      <c r="B376" s="15"/>
      <c r="C376" s="26"/>
      <c r="D376" s="15"/>
      <c r="E376" s="15"/>
      <c r="F376" s="3"/>
      <c r="G376" s="26"/>
      <c r="H376" s="15"/>
      <c r="I376" s="26"/>
      <c r="J376" s="15"/>
      <c r="K376" s="26"/>
      <c r="L376" s="15"/>
      <c r="M376" s="26"/>
      <c r="N376" s="26"/>
      <c r="O376" s="26"/>
      <c r="P376" s="26"/>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row>
    <row r="377" spans="1:40" ht="12.75">
      <c r="A377" s="15"/>
      <c r="B377" s="15"/>
      <c r="C377" s="26"/>
      <c r="D377" s="15"/>
      <c r="E377" s="15"/>
      <c r="F377" s="3"/>
      <c r="G377" s="26"/>
      <c r="H377" s="15"/>
      <c r="I377" s="26"/>
      <c r="J377" s="15"/>
      <c r="K377" s="26"/>
      <c r="L377" s="15"/>
      <c r="M377" s="26"/>
      <c r="N377" s="26"/>
      <c r="O377" s="26"/>
      <c r="P377" s="26"/>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row>
    <row r="378" spans="1:40" ht="12.75">
      <c r="A378" s="15"/>
      <c r="B378" s="15"/>
      <c r="C378" s="26"/>
      <c r="D378" s="15"/>
      <c r="E378" s="15"/>
      <c r="F378" s="3"/>
      <c r="G378" s="26"/>
      <c r="H378" s="15"/>
      <c r="I378" s="26"/>
      <c r="J378" s="15"/>
      <c r="K378" s="26"/>
      <c r="L378" s="15"/>
      <c r="M378" s="26"/>
      <c r="N378" s="26"/>
      <c r="O378" s="26"/>
      <c r="P378" s="26"/>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row>
    <row r="379" spans="1:40" ht="12.75">
      <c r="A379" s="15"/>
      <c r="B379" s="15"/>
      <c r="C379" s="26"/>
      <c r="D379" s="15"/>
      <c r="E379" s="15"/>
      <c r="F379" s="3"/>
      <c r="G379" s="26"/>
      <c r="H379" s="15"/>
      <c r="I379" s="26"/>
      <c r="J379" s="15"/>
      <c r="K379" s="26"/>
      <c r="L379" s="15"/>
      <c r="M379" s="26"/>
      <c r="N379" s="26"/>
      <c r="O379" s="26"/>
      <c r="P379" s="26"/>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row>
    <row r="380" spans="1:40" ht="12.75">
      <c r="A380" s="15"/>
      <c r="B380" s="15"/>
      <c r="C380" s="26"/>
      <c r="D380" s="15"/>
      <c r="E380" s="15"/>
      <c r="F380" s="3"/>
      <c r="G380" s="26"/>
      <c r="H380" s="15"/>
      <c r="I380" s="26"/>
      <c r="J380" s="15"/>
      <c r="K380" s="26"/>
      <c r="L380" s="15"/>
      <c r="M380" s="26"/>
      <c r="N380" s="26"/>
      <c r="O380" s="26"/>
      <c r="P380" s="26"/>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row>
    <row r="381" spans="1:40" ht="12.75">
      <c r="A381" s="15"/>
      <c r="B381" s="15"/>
      <c r="C381" s="26"/>
      <c r="D381" s="15"/>
      <c r="E381" s="15"/>
      <c r="F381" s="3"/>
      <c r="G381" s="26"/>
      <c r="H381" s="15"/>
      <c r="I381" s="26"/>
      <c r="J381" s="15"/>
      <c r="K381" s="26"/>
      <c r="L381" s="15"/>
      <c r="M381" s="26"/>
      <c r="N381" s="26"/>
      <c r="O381" s="26"/>
      <c r="P381" s="26"/>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row>
    <row r="382" spans="1:40" ht="12.75">
      <c r="A382" s="15"/>
      <c r="B382" s="15"/>
      <c r="C382" s="26"/>
      <c r="D382" s="15"/>
      <c r="E382" s="15"/>
      <c r="F382" s="3"/>
      <c r="G382" s="26"/>
      <c r="H382" s="15"/>
      <c r="I382" s="26"/>
      <c r="J382" s="15"/>
      <c r="K382" s="26"/>
      <c r="L382" s="15"/>
      <c r="M382" s="26"/>
      <c r="N382" s="26"/>
      <c r="O382" s="26"/>
      <c r="P382" s="26"/>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row>
    <row r="383" spans="1:40" ht="12.75">
      <c r="A383" s="15"/>
      <c r="B383" s="15"/>
      <c r="C383" s="26"/>
      <c r="D383" s="15"/>
      <c r="E383" s="15"/>
      <c r="F383" s="3"/>
      <c r="G383" s="26"/>
      <c r="H383" s="15"/>
      <c r="I383" s="26"/>
      <c r="J383" s="15"/>
      <c r="K383" s="26"/>
      <c r="L383" s="15"/>
      <c r="M383" s="26"/>
      <c r="N383" s="26"/>
      <c r="O383" s="26"/>
      <c r="P383" s="26"/>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row>
    <row r="384" spans="1:40" ht="12.75">
      <c r="A384" s="15"/>
      <c r="B384" s="15"/>
      <c r="C384" s="26"/>
      <c r="D384" s="15"/>
      <c r="E384" s="15"/>
      <c r="F384" s="3"/>
      <c r="G384" s="26"/>
      <c r="H384" s="15"/>
      <c r="I384" s="26"/>
      <c r="J384" s="15"/>
      <c r="K384" s="26"/>
      <c r="L384" s="15"/>
      <c r="M384" s="26"/>
      <c r="N384" s="26"/>
      <c r="O384" s="26"/>
      <c r="P384" s="26"/>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row>
    <row r="385" spans="1:40" ht="12.75">
      <c r="A385" s="15"/>
      <c r="B385" s="15"/>
      <c r="C385" s="26"/>
      <c r="D385" s="15"/>
      <c r="E385" s="15"/>
      <c r="F385" s="3"/>
      <c r="G385" s="26"/>
      <c r="H385" s="15"/>
      <c r="I385" s="26"/>
      <c r="J385" s="15"/>
      <c r="K385" s="26"/>
      <c r="L385" s="15"/>
      <c r="M385" s="26"/>
      <c r="N385" s="26"/>
      <c r="O385" s="26"/>
      <c r="P385" s="26"/>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row>
    <row r="386" spans="1:40" ht="12.75">
      <c r="A386" s="15"/>
      <c r="B386" s="15"/>
      <c r="C386" s="26"/>
      <c r="D386" s="15"/>
      <c r="E386" s="15"/>
      <c r="F386" s="3"/>
      <c r="G386" s="26"/>
      <c r="H386" s="15"/>
      <c r="I386" s="26"/>
      <c r="J386" s="15"/>
      <c r="K386" s="26"/>
      <c r="L386" s="15"/>
      <c r="M386" s="26"/>
      <c r="N386" s="26"/>
      <c r="O386" s="26"/>
      <c r="P386" s="26"/>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row>
    <row r="387" spans="1:40" ht="12.75">
      <c r="A387" s="15"/>
      <c r="B387" s="15"/>
      <c r="C387" s="26"/>
      <c r="D387" s="15"/>
      <c r="E387" s="15"/>
      <c r="F387" s="3"/>
      <c r="G387" s="26"/>
      <c r="H387" s="15"/>
      <c r="I387" s="26"/>
      <c r="J387" s="15"/>
      <c r="K387" s="26"/>
      <c r="L387" s="15"/>
      <c r="M387" s="26"/>
      <c r="N387" s="26"/>
      <c r="O387" s="26"/>
      <c r="P387" s="26"/>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row>
    <row r="388" spans="1:40" ht="12.75">
      <c r="A388" s="15"/>
      <c r="B388" s="15"/>
      <c r="C388" s="26"/>
      <c r="D388" s="15"/>
      <c r="E388" s="15"/>
      <c r="F388" s="3"/>
      <c r="G388" s="26"/>
      <c r="H388" s="15"/>
      <c r="I388" s="26"/>
      <c r="J388" s="15"/>
      <c r="K388" s="26"/>
      <c r="L388" s="15"/>
      <c r="M388" s="26"/>
      <c r="N388" s="26"/>
      <c r="O388" s="26"/>
      <c r="P388" s="26"/>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row>
    <row r="389" spans="1:40" ht="12.75">
      <c r="A389" s="15"/>
      <c r="B389" s="15"/>
      <c r="C389" s="26"/>
      <c r="D389" s="15"/>
      <c r="E389" s="15"/>
      <c r="F389" s="3"/>
      <c r="G389" s="26"/>
      <c r="H389" s="15"/>
      <c r="I389" s="26"/>
      <c r="J389" s="15"/>
      <c r="K389" s="26"/>
      <c r="L389" s="15"/>
      <c r="M389" s="26"/>
      <c r="N389" s="26"/>
      <c r="O389" s="26"/>
      <c r="P389" s="26"/>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row>
    <row r="390" spans="1:40" ht="12.75">
      <c r="A390" s="15"/>
      <c r="B390" s="15"/>
      <c r="C390" s="26"/>
      <c r="D390" s="15"/>
      <c r="E390" s="15"/>
      <c r="F390" s="3"/>
      <c r="G390" s="26"/>
      <c r="H390" s="15"/>
      <c r="I390" s="26"/>
      <c r="J390" s="15"/>
      <c r="K390" s="26"/>
      <c r="L390" s="15"/>
      <c r="M390" s="26"/>
      <c r="N390" s="26"/>
      <c r="O390" s="26"/>
      <c r="P390" s="26"/>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row>
    <row r="391" spans="1:40" ht="12.75">
      <c r="A391" s="15"/>
      <c r="B391" s="15"/>
      <c r="C391" s="26"/>
      <c r="D391" s="15"/>
      <c r="E391" s="15"/>
      <c r="F391" s="3"/>
      <c r="G391" s="26"/>
      <c r="H391" s="15"/>
      <c r="I391" s="26"/>
      <c r="J391" s="15"/>
      <c r="K391" s="26"/>
      <c r="L391" s="15"/>
      <c r="M391" s="26"/>
      <c r="N391" s="26"/>
      <c r="O391" s="26"/>
      <c r="P391" s="26"/>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row>
    <row r="392" spans="1:40" ht="12.75">
      <c r="A392" s="15"/>
      <c r="B392" s="15"/>
      <c r="C392" s="26"/>
      <c r="D392" s="15"/>
      <c r="E392" s="15"/>
      <c r="F392" s="3"/>
      <c r="G392" s="26"/>
      <c r="H392" s="15"/>
      <c r="I392" s="26"/>
      <c r="J392" s="15"/>
      <c r="K392" s="26"/>
      <c r="L392" s="15"/>
      <c r="M392" s="26"/>
      <c r="N392" s="26"/>
      <c r="O392" s="26"/>
      <c r="P392" s="26"/>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row>
    <row r="393" spans="1:40" ht="12.75">
      <c r="A393" s="15"/>
      <c r="B393" s="15"/>
      <c r="C393" s="26"/>
      <c r="D393" s="15"/>
      <c r="E393" s="15"/>
      <c r="F393" s="3"/>
      <c r="G393" s="26"/>
      <c r="H393" s="15"/>
      <c r="I393" s="26"/>
      <c r="J393" s="15"/>
      <c r="K393" s="26"/>
      <c r="L393" s="15"/>
      <c r="M393" s="26"/>
      <c r="N393" s="26"/>
      <c r="O393" s="26"/>
      <c r="P393" s="26"/>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row>
    <row r="394" spans="1:40" ht="12.75">
      <c r="A394" s="15"/>
      <c r="B394" s="15"/>
      <c r="C394" s="26"/>
      <c r="D394" s="15"/>
      <c r="E394" s="15"/>
      <c r="F394" s="3"/>
      <c r="G394" s="26"/>
      <c r="H394" s="15"/>
      <c r="I394" s="26"/>
      <c r="J394" s="15"/>
      <c r="K394" s="26"/>
      <c r="L394" s="15"/>
      <c r="M394" s="26"/>
      <c r="N394" s="26"/>
      <c r="O394" s="26"/>
      <c r="P394" s="26"/>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row>
    <row r="395" spans="1:40" ht="12.75">
      <c r="A395" s="15"/>
      <c r="B395" s="15"/>
      <c r="C395" s="26"/>
      <c r="D395" s="15"/>
      <c r="E395" s="15"/>
      <c r="F395" s="3"/>
      <c r="G395" s="26"/>
      <c r="H395" s="15"/>
      <c r="I395" s="26"/>
      <c r="J395" s="15"/>
      <c r="K395" s="26"/>
      <c r="L395" s="15"/>
      <c r="M395" s="26"/>
      <c r="N395" s="26"/>
      <c r="O395" s="26"/>
      <c r="P395" s="26"/>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row>
    <row r="396" spans="1:40" ht="12.75">
      <c r="A396" s="15"/>
      <c r="B396" s="15"/>
      <c r="C396" s="26"/>
      <c r="D396" s="15"/>
      <c r="E396" s="15"/>
      <c r="F396" s="3"/>
      <c r="G396" s="26"/>
      <c r="H396" s="15"/>
      <c r="I396" s="26"/>
      <c r="J396" s="15"/>
      <c r="K396" s="26"/>
      <c r="L396" s="15"/>
      <c r="M396" s="26"/>
      <c r="N396" s="26"/>
      <c r="O396" s="26"/>
      <c r="P396" s="26"/>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row>
    <row r="397" spans="1:40" ht="12.75">
      <c r="A397" s="15"/>
      <c r="B397" s="15"/>
      <c r="C397" s="26"/>
      <c r="D397" s="15"/>
      <c r="E397" s="15"/>
      <c r="F397" s="3"/>
      <c r="G397" s="26"/>
      <c r="H397" s="15"/>
      <c r="I397" s="26"/>
      <c r="J397" s="15"/>
      <c r="K397" s="26"/>
      <c r="L397" s="15"/>
      <c r="M397" s="26"/>
      <c r="N397" s="26"/>
      <c r="O397" s="26"/>
      <c r="P397" s="26"/>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row>
    <row r="398" spans="1:40" ht="12.75">
      <c r="A398" s="15"/>
      <c r="B398" s="15"/>
      <c r="C398" s="26"/>
      <c r="D398" s="15"/>
      <c r="E398" s="15"/>
      <c r="F398" s="3"/>
      <c r="G398" s="26"/>
      <c r="H398" s="15"/>
      <c r="I398" s="26"/>
      <c r="J398" s="15"/>
      <c r="K398" s="26"/>
      <c r="L398" s="15"/>
      <c r="M398" s="26"/>
      <c r="N398" s="26"/>
      <c r="O398" s="26"/>
      <c r="P398" s="26"/>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row>
    <row r="399" spans="1:40" ht="12.75">
      <c r="A399" s="15"/>
      <c r="B399" s="15"/>
      <c r="C399" s="26"/>
      <c r="D399" s="15"/>
      <c r="E399" s="15"/>
      <c r="F399" s="3"/>
      <c r="G399" s="26"/>
      <c r="H399" s="15"/>
      <c r="I399" s="26"/>
      <c r="J399" s="15"/>
      <c r="K399" s="26"/>
      <c r="L399" s="15"/>
      <c r="M399" s="26"/>
      <c r="N399" s="26"/>
      <c r="O399" s="26"/>
      <c r="P399" s="26"/>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row>
    <row r="400" spans="1:40" ht="12.75">
      <c r="A400" s="15"/>
      <c r="B400" s="15"/>
      <c r="C400" s="26"/>
      <c r="D400" s="15"/>
      <c r="E400" s="15"/>
      <c r="F400" s="3"/>
      <c r="G400" s="26"/>
      <c r="H400" s="15"/>
      <c r="I400" s="26"/>
      <c r="J400" s="15"/>
      <c r="K400" s="26"/>
      <c r="L400" s="15"/>
      <c r="M400" s="26"/>
      <c r="N400" s="26"/>
      <c r="O400" s="26"/>
      <c r="P400" s="26"/>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row>
    <row r="401" spans="1:40" ht="12.75">
      <c r="A401" s="15"/>
      <c r="B401" s="15"/>
      <c r="C401" s="26"/>
      <c r="D401" s="15"/>
      <c r="E401" s="15"/>
      <c r="F401" s="3"/>
      <c r="G401" s="26"/>
      <c r="H401" s="15"/>
      <c r="I401" s="26"/>
      <c r="J401" s="15"/>
      <c r="K401" s="26"/>
      <c r="L401" s="15"/>
      <c r="M401" s="26"/>
      <c r="N401" s="26"/>
      <c r="O401" s="26"/>
      <c r="P401" s="26"/>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row>
    <row r="402" spans="1:40" ht="12.75">
      <c r="A402" s="15"/>
      <c r="B402" s="15"/>
      <c r="C402" s="26"/>
      <c r="D402" s="15"/>
      <c r="E402" s="15"/>
      <c r="F402" s="3"/>
      <c r="G402" s="26"/>
      <c r="H402" s="15"/>
      <c r="I402" s="26"/>
      <c r="J402" s="15"/>
      <c r="K402" s="26"/>
      <c r="L402" s="15"/>
      <c r="M402" s="26"/>
      <c r="N402" s="26"/>
      <c r="O402" s="26"/>
      <c r="P402" s="26"/>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row>
    <row r="403" spans="1:40" ht="12.75">
      <c r="A403" s="15"/>
      <c r="B403" s="15"/>
      <c r="C403" s="26"/>
      <c r="D403" s="15"/>
      <c r="E403" s="15"/>
      <c r="F403" s="3"/>
      <c r="G403" s="26"/>
      <c r="H403" s="15"/>
      <c r="I403" s="26"/>
      <c r="J403" s="15"/>
      <c r="K403" s="26"/>
      <c r="L403" s="15"/>
      <c r="M403" s="26"/>
      <c r="N403" s="26"/>
      <c r="O403" s="26"/>
      <c r="P403" s="26"/>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row>
    <row r="404" spans="1:40" ht="12.75">
      <c r="A404" s="15"/>
      <c r="B404" s="15"/>
      <c r="C404" s="26"/>
      <c r="D404" s="15"/>
      <c r="E404" s="15"/>
      <c r="F404" s="3"/>
      <c r="G404" s="26"/>
      <c r="H404" s="15"/>
      <c r="I404" s="26"/>
      <c r="J404" s="15"/>
      <c r="K404" s="26"/>
      <c r="L404" s="15"/>
      <c r="M404" s="26"/>
      <c r="N404" s="26"/>
      <c r="O404" s="26"/>
      <c r="P404" s="26"/>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row>
    <row r="405" spans="1:40" ht="12.75">
      <c r="A405" s="15"/>
      <c r="B405" s="15"/>
      <c r="C405" s="26"/>
      <c r="D405" s="15"/>
      <c r="E405" s="15"/>
      <c r="F405" s="3"/>
      <c r="G405" s="26"/>
      <c r="H405" s="15"/>
      <c r="I405" s="26"/>
      <c r="J405" s="15"/>
      <c r="K405" s="26"/>
      <c r="L405" s="15"/>
      <c r="M405" s="26"/>
      <c r="N405" s="26"/>
      <c r="O405" s="26"/>
      <c r="P405" s="26"/>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row>
    <row r="406" spans="1:40" ht="12.75">
      <c r="A406" s="15"/>
      <c r="B406" s="15"/>
      <c r="C406" s="26"/>
      <c r="D406" s="15"/>
      <c r="E406" s="15"/>
      <c r="F406" s="3"/>
      <c r="G406" s="26"/>
      <c r="H406" s="15"/>
      <c r="I406" s="26"/>
      <c r="J406" s="15"/>
      <c r="K406" s="26"/>
      <c r="L406" s="15"/>
      <c r="M406" s="26"/>
      <c r="N406" s="26"/>
      <c r="O406" s="26"/>
      <c r="P406" s="26"/>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row>
    <row r="407" spans="1:40" ht="12.75">
      <c r="A407" s="15"/>
      <c r="B407" s="15"/>
      <c r="C407" s="26"/>
      <c r="D407" s="15"/>
      <c r="E407" s="15"/>
      <c r="F407" s="3"/>
      <c r="G407" s="26"/>
      <c r="H407" s="15"/>
      <c r="I407" s="26"/>
      <c r="J407" s="15"/>
      <c r="K407" s="26"/>
      <c r="L407" s="15"/>
      <c r="M407" s="26"/>
      <c r="N407" s="26"/>
      <c r="O407" s="26"/>
      <c r="P407" s="26"/>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row>
    <row r="408" spans="1:40" ht="12.75">
      <c r="A408" s="15"/>
      <c r="B408" s="15"/>
      <c r="C408" s="26"/>
      <c r="D408" s="15"/>
      <c r="E408" s="15"/>
      <c r="F408" s="3"/>
      <c r="G408" s="26"/>
      <c r="H408" s="15"/>
      <c r="I408" s="26"/>
      <c r="J408" s="15"/>
      <c r="K408" s="26"/>
      <c r="L408" s="15"/>
      <c r="M408" s="26"/>
      <c r="N408" s="26"/>
      <c r="O408" s="26"/>
      <c r="P408" s="26"/>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row>
    <row r="409" spans="1:40" ht="12.75">
      <c r="A409" s="15"/>
      <c r="B409" s="15"/>
      <c r="C409" s="26"/>
      <c r="D409" s="15"/>
      <c r="E409" s="15"/>
      <c r="F409" s="3"/>
      <c r="G409" s="26"/>
      <c r="H409" s="15"/>
      <c r="I409" s="26"/>
      <c r="J409" s="15"/>
      <c r="K409" s="26"/>
      <c r="L409" s="15"/>
      <c r="M409" s="26"/>
      <c r="N409" s="26"/>
      <c r="O409" s="26"/>
      <c r="P409" s="26"/>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row>
    <row r="410" spans="1:40" ht="12.75">
      <c r="A410" s="15"/>
      <c r="B410" s="15"/>
      <c r="C410" s="26"/>
      <c r="D410" s="15"/>
      <c r="E410" s="15"/>
      <c r="F410" s="3"/>
      <c r="G410" s="26"/>
      <c r="H410" s="15"/>
      <c r="I410" s="26"/>
      <c r="J410" s="15"/>
      <c r="K410" s="26"/>
      <c r="L410" s="15"/>
      <c r="M410" s="26"/>
      <c r="N410" s="26"/>
      <c r="O410" s="26"/>
      <c r="P410" s="26"/>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row>
    <row r="411" spans="1:40" ht="12.75">
      <c r="A411" s="15"/>
      <c r="B411" s="15"/>
      <c r="C411" s="26"/>
      <c r="D411" s="15"/>
      <c r="E411" s="15"/>
      <c r="F411" s="3"/>
      <c r="G411" s="26"/>
      <c r="H411" s="15"/>
      <c r="I411" s="26"/>
      <c r="J411" s="15"/>
      <c r="K411" s="26"/>
      <c r="L411" s="15"/>
      <c r="M411" s="26"/>
      <c r="N411" s="26"/>
      <c r="O411" s="26"/>
      <c r="P411" s="26"/>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row>
    <row r="412" spans="1:40" ht="12.75">
      <c r="A412" s="15"/>
      <c r="B412" s="15"/>
      <c r="C412" s="26"/>
      <c r="D412" s="15"/>
      <c r="E412" s="15"/>
      <c r="F412" s="3"/>
      <c r="G412" s="26"/>
      <c r="H412" s="15"/>
      <c r="I412" s="26"/>
      <c r="J412" s="15"/>
      <c r="K412" s="26"/>
      <c r="L412" s="15"/>
      <c r="M412" s="26"/>
      <c r="N412" s="26"/>
      <c r="O412" s="26"/>
      <c r="P412" s="26"/>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row>
    <row r="413" spans="1:40" ht="12.75">
      <c r="A413" s="15"/>
      <c r="B413" s="15"/>
      <c r="C413" s="26"/>
      <c r="D413" s="15"/>
      <c r="E413" s="15"/>
      <c r="F413" s="3"/>
      <c r="G413" s="26"/>
      <c r="H413" s="15"/>
      <c r="I413" s="26"/>
      <c r="J413" s="15"/>
      <c r="K413" s="26"/>
      <c r="L413" s="15"/>
      <c r="M413" s="26"/>
      <c r="N413" s="26"/>
      <c r="O413" s="26"/>
      <c r="P413" s="26"/>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row>
    <row r="414" spans="1:40" ht="12.75">
      <c r="A414" s="15"/>
      <c r="B414" s="15"/>
      <c r="C414" s="26"/>
      <c r="D414" s="15"/>
      <c r="E414" s="15"/>
      <c r="F414" s="3"/>
      <c r="G414" s="26"/>
      <c r="H414" s="15"/>
      <c r="I414" s="26"/>
      <c r="J414" s="15"/>
      <c r="K414" s="26"/>
      <c r="L414" s="15"/>
      <c r="M414" s="26"/>
      <c r="N414" s="26"/>
      <c r="O414" s="26"/>
      <c r="P414" s="26"/>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row>
    <row r="415" spans="1:40" ht="12.75">
      <c r="A415" s="15"/>
      <c r="B415" s="15"/>
      <c r="C415" s="26"/>
      <c r="D415" s="15"/>
      <c r="E415" s="15"/>
      <c r="F415" s="3"/>
      <c r="G415" s="26"/>
      <c r="H415" s="15"/>
      <c r="I415" s="26"/>
      <c r="J415" s="15"/>
      <c r="K415" s="26"/>
      <c r="L415" s="15"/>
      <c r="M415" s="26"/>
      <c r="N415" s="26"/>
      <c r="O415" s="26"/>
      <c r="P415" s="26"/>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row>
    <row r="416" spans="1:40" ht="12.75">
      <c r="A416" s="15"/>
      <c r="B416" s="15"/>
      <c r="C416" s="26"/>
      <c r="D416" s="15"/>
      <c r="E416" s="15"/>
      <c r="F416" s="3"/>
      <c r="G416" s="26"/>
      <c r="H416" s="15"/>
      <c r="I416" s="26"/>
      <c r="J416" s="15"/>
      <c r="K416" s="26"/>
      <c r="L416" s="15"/>
      <c r="M416" s="26"/>
      <c r="N416" s="26"/>
      <c r="O416" s="26"/>
      <c r="P416" s="26"/>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row>
    <row r="417" spans="1:40" ht="12.75">
      <c r="A417" s="15"/>
      <c r="B417" s="15"/>
      <c r="C417" s="26"/>
      <c r="D417" s="15"/>
      <c r="E417" s="15"/>
      <c r="F417" s="3"/>
      <c r="G417" s="26"/>
      <c r="H417" s="15"/>
      <c r="I417" s="26"/>
      <c r="J417" s="15"/>
      <c r="K417" s="26"/>
      <c r="L417" s="15"/>
      <c r="M417" s="26"/>
      <c r="N417" s="26"/>
      <c r="O417" s="26"/>
      <c r="P417" s="26"/>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row>
    <row r="418" spans="1:40" ht="12.75">
      <c r="A418" s="15"/>
      <c r="B418" s="15"/>
      <c r="C418" s="26"/>
      <c r="D418" s="15"/>
      <c r="E418" s="15"/>
      <c r="F418" s="3"/>
      <c r="G418" s="26"/>
      <c r="H418" s="15"/>
      <c r="I418" s="26"/>
      <c r="J418" s="15"/>
      <c r="K418" s="26"/>
      <c r="L418" s="15"/>
      <c r="M418" s="26"/>
      <c r="N418" s="26"/>
      <c r="O418" s="26"/>
      <c r="P418" s="26"/>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row>
    <row r="419" spans="1:40" ht="12.75">
      <c r="A419" s="15"/>
      <c r="B419" s="15"/>
      <c r="C419" s="26"/>
      <c r="D419" s="15"/>
      <c r="E419" s="15"/>
      <c r="F419" s="3"/>
      <c r="G419" s="26"/>
      <c r="H419" s="15"/>
      <c r="I419" s="26"/>
      <c r="J419" s="15"/>
      <c r="K419" s="26"/>
      <c r="L419" s="15"/>
      <c r="M419" s="26"/>
      <c r="N419" s="26"/>
      <c r="O419" s="26"/>
      <c r="P419" s="26"/>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row>
    <row r="420" spans="1:40" ht="12.75">
      <c r="A420" s="15"/>
      <c r="B420" s="15"/>
      <c r="C420" s="26"/>
      <c r="D420" s="15"/>
      <c r="E420" s="15"/>
      <c r="F420" s="3"/>
      <c r="G420" s="26"/>
      <c r="H420" s="15"/>
      <c r="I420" s="26"/>
      <c r="J420" s="15"/>
      <c r="K420" s="26"/>
      <c r="L420" s="15"/>
      <c r="M420" s="26"/>
      <c r="N420" s="26"/>
      <c r="O420" s="26"/>
      <c r="P420" s="26"/>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row>
    <row r="421" spans="1:40" ht="12.75">
      <c r="A421" s="15"/>
      <c r="B421" s="15"/>
      <c r="C421" s="26"/>
      <c r="D421" s="15"/>
      <c r="E421" s="15"/>
      <c r="F421" s="3"/>
      <c r="G421" s="26"/>
      <c r="H421" s="15"/>
      <c r="I421" s="26"/>
      <c r="J421" s="15"/>
      <c r="K421" s="26"/>
      <c r="L421" s="15"/>
      <c r="M421" s="26"/>
      <c r="N421" s="26"/>
      <c r="O421" s="26"/>
      <c r="P421" s="26"/>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row>
    <row r="422" spans="1:40" ht="12.75">
      <c r="A422" s="15"/>
      <c r="B422" s="15"/>
      <c r="C422" s="26"/>
      <c r="D422" s="15"/>
      <c r="E422" s="15"/>
      <c r="F422" s="3"/>
      <c r="G422" s="26"/>
      <c r="H422" s="15"/>
      <c r="I422" s="26"/>
      <c r="J422" s="15"/>
      <c r="K422" s="26"/>
      <c r="L422" s="15"/>
      <c r="M422" s="26"/>
      <c r="N422" s="26"/>
      <c r="O422" s="26"/>
      <c r="P422" s="26"/>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row>
    <row r="423" spans="1:40" ht="12.75">
      <c r="A423" s="15"/>
      <c r="B423" s="15"/>
      <c r="C423" s="26"/>
      <c r="D423" s="15"/>
      <c r="E423" s="15"/>
      <c r="F423" s="3"/>
      <c r="G423" s="26"/>
      <c r="H423" s="15"/>
      <c r="I423" s="26"/>
      <c r="J423" s="15"/>
      <c r="K423" s="26"/>
      <c r="L423" s="15"/>
      <c r="M423" s="26"/>
      <c r="N423" s="26"/>
      <c r="O423" s="26"/>
      <c r="P423" s="26"/>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row>
    <row r="424" spans="1:40" ht="12.75">
      <c r="A424" s="15"/>
      <c r="B424" s="15"/>
      <c r="C424" s="26"/>
      <c r="D424" s="15"/>
      <c r="E424" s="15"/>
      <c r="F424" s="3"/>
      <c r="G424" s="26"/>
      <c r="H424" s="15"/>
      <c r="I424" s="26"/>
      <c r="J424" s="15"/>
      <c r="K424" s="26"/>
      <c r="L424" s="15"/>
      <c r="M424" s="26"/>
      <c r="N424" s="26"/>
      <c r="O424" s="26"/>
      <c r="P424" s="26"/>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row>
    <row r="425" spans="1:40" ht="12.75">
      <c r="A425" s="15"/>
      <c r="B425" s="15"/>
      <c r="C425" s="26"/>
      <c r="D425" s="15"/>
      <c r="E425" s="15"/>
      <c r="F425" s="3"/>
      <c r="G425" s="26"/>
      <c r="H425" s="15"/>
      <c r="I425" s="26"/>
      <c r="J425" s="15"/>
      <c r="K425" s="26"/>
      <c r="L425" s="15"/>
      <c r="M425" s="26"/>
      <c r="N425" s="26"/>
      <c r="O425" s="26"/>
      <c r="P425" s="26"/>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row>
    <row r="426" spans="1:40" ht="12.75">
      <c r="A426" s="15"/>
      <c r="B426" s="15"/>
      <c r="C426" s="26"/>
      <c r="D426" s="15"/>
      <c r="E426" s="15"/>
      <c r="F426" s="3"/>
      <c r="G426" s="26"/>
      <c r="H426" s="15"/>
      <c r="I426" s="26"/>
      <c r="J426" s="15"/>
      <c r="K426" s="26"/>
      <c r="L426" s="15"/>
      <c r="M426" s="26"/>
      <c r="N426" s="26"/>
      <c r="O426" s="26"/>
      <c r="P426" s="26"/>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row>
    <row r="427" spans="1:40" ht="12.75">
      <c r="A427" s="15"/>
      <c r="B427" s="15"/>
      <c r="C427" s="26"/>
      <c r="D427" s="15"/>
      <c r="E427" s="15"/>
      <c r="F427" s="3"/>
      <c r="G427" s="26"/>
      <c r="H427" s="15"/>
      <c r="I427" s="26"/>
      <c r="J427" s="15"/>
      <c r="K427" s="26"/>
      <c r="L427" s="15"/>
      <c r="M427" s="26"/>
      <c r="N427" s="26"/>
      <c r="O427" s="26"/>
      <c r="P427" s="26"/>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row>
    <row r="428" spans="1:40" ht="12.75">
      <c r="A428" s="15"/>
      <c r="B428" s="15"/>
      <c r="C428" s="26"/>
      <c r="D428" s="15"/>
      <c r="E428" s="15"/>
      <c r="F428" s="3"/>
      <c r="G428" s="26"/>
      <c r="H428" s="15"/>
      <c r="I428" s="26"/>
      <c r="J428" s="15"/>
      <c r="K428" s="26"/>
      <c r="L428" s="15"/>
      <c r="M428" s="26"/>
      <c r="N428" s="26"/>
      <c r="O428" s="26"/>
      <c r="P428" s="26"/>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row>
    <row r="429" spans="1:40" ht="12.75">
      <c r="A429" s="15"/>
      <c r="B429" s="15"/>
      <c r="C429" s="26"/>
      <c r="D429" s="15"/>
      <c r="E429" s="15"/>
      <c r="F429" s="3"/>
      <c r="G429" s="26"/>
      <c r="H429" s="15"/>
      <c r="I429" s="26"/>
      <c r="J429" s="15"/>
      <c r="K429" s="26"/>
      <c r="L429" s="15"/>
      <c r="M429" s="26"/>
      <c r="N429" s="26"/>
      <c r="O429" s="26"/>
      <c r="P429" s="26"/>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row>
    <row r="430" spans="1:40" ht="12.75">
      <c r="A430" s="15"/>
      <c r="B430" s="15"/>
      <c r="C430" s="26"/>
      <c r="D430" s="15"/>
      <c r="E430" s="15"/>
      <c r="F430" s="3"/>
      <c r="G430" s="26"/>
      <c r="H430" s="15"/>
      <c r="I430" s="26"/>
      <c r="J430" s="15"/>
      <c r="K430" s="26"/>
      <c r="L430" s="15"/>
      <c r="M430" s="26"/>
      <c r="N430" s="26"/>
      <c r="O430" s="26"/>
      <c r="P430" s="26"/>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row>
    <row r="431" spans="1:40" ht="12.75">
      <c r="A431" s="15"/>
      <c r="B431" s="15"/>
      <c r="C431" s="26"/>
      <c r="D431" s="15"/>
      <c r="E431" s="15"/>
      <c r="F431" s="3"/>
      <c r="G431" s="26"/>
      <c r="H431" s="15"/>
      <c r="I431" s="26"/>
      <c r="J431" s="15"/>
      <c r="K431" s="26"/>
      <c r="L431" s="15"/>
      <c r="M431" s="26"/>
      <c r="N431" s="26"/>
      <c r="O431" s="26"/>
      <c r="P431" s="26"/>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row>
    <row r="432" spans="1:40" ht="12.75">
      <c r="A432" s="15"/>
      <c r="B432" s="15"/>
      <c r="C432" s="26"/>
      <c r="D432" s="15"/>
      <c r="E432" s="15"/>
      <c r="F432" s="3"/>
      <c r="G432" s="26"/>
      <c r="H432" s="15"/>
      <c r="I432" s="26"/>
      <c r="J432" s="15"/>
      <c r="K432" s="26"/>
      <c r="L432" s="15"/>
      <c r="M432" s="26"/>
      <c r="N432" s="26"/>
      <c r="O432" s="26"/>
      <c r="P432" s="26"/>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row>
    <row r="433" spans="1:40" ht="12.75">
      <c r="A433" s="15"/>
      <c r="B433" s="15"/>
      <c r="C433" s="26"/>
      <c r="D433" s="15"/>
      <c r="E433" s="15"/>
      <c r="F433" s="3"/>
      <c r="G433" s="26"/>
      <c r="H433" s="15"/>
      <c r="I433" s="26"/>
      <c r="J433" s="15"/>
      <c r="K433" s="26"/>
      <c r="L433" s="15"/>
      <c r="M433" s="26"/>
      <c r="N433" s="26"/>
      <c r="O433" s="26"/>
      <c r="P433" s="26"/>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row>
    <row r="434" spans="1:40" ht="12.75">
      <c r="A434" s="15"/>
      <c r="B434" s="15"/>
      <c r="C434" s="26"/>
      <c r="D434" s="15"/>
      <c r="E434" s="15"/>
      <c r="F434" s="3"/>
      <c r="G434" s="26"/>
      <c r="H434" s="15"/>
      <c r="I434" s="26"/>
      <c r="J434" s="15"/>
      <c r="K434" s="26"/>
      <c r="L434" s="15"/>
      <c r="M434" s="26"/>
      <c r="N434" s="26"/>
      <c r="O434" s="26"/>
      <c r="P434" s="26"/>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row>
    <row r="435" spans="1:40" ht="12.75">
      <c r="A435" s="15"/>
      <c r="B435" s="15"/>
      <c r="C435" s="26"/>
      <c r="D435" s="15"/>
      <c r="E435" s="15"/>
      <c r="F435" s="3"/>
      <c r="G435" s="26"/>
      <c r="H435" s="15"/>
      <c r="I435" s="26"/>
      <c r="J435" s="15"/>
      <c r="K435" s="26"/>
      <c r="L435" s="15"/>
      <c r="M435" s="26"/>
      <c r="N435" s="26"/>
      <c r="O435" s="26"/>
      <c r="P435" s="26"/>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row>
    <row r="436" spans="1:40" ht="12.75">
      <c r="A436" s="15"/>
      <c r="B436" s="15"/>
      <c r="C436" s="26"/>
      <c r="D436" s="15"/>
      <c r="E436" s="15"/>
      <c r="F436" s="3"/>
      <c r="G436" s="26"/>
      <c r="H436" s="15"/>
      <c r="I436" s="26"/>
      <c r="J436" s="15"/>
      <c r="K436" s="26"/>
      <c r="L436" s="15"/>
      <c r="M436" s="26"/>
      <c r="N436" s="26"/>
      <c r="O436" s="26"/>
      <c r="P436" s="26"/>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row>
    <row r="437" spans="1:40" ht="12.75">
      <c r="A437" s="15"/>
      <c r="B437" s="15"/>
      <c r="C437" s="26"/>
      <c r="D437" s="15"/>
      <c r="E437" s="15"/>
      <c r="F437" s="3"/>
      <c r="G437" s="26"/>
      <c r="H437" s="15"/>
      <c r="I437" s="26"/>
      <c r="J437" s="15"/>
      <c r="K437" s="26"/>
      <c r="L437" s="15"/>
      <c r="M437" s="26"/>
      <c r="N437" s="26"/>
      <c r="O437" s="26"/>
      <c r="P437" s="26"/>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row>
    <row r="438" spans="1:40" ht="12.75">
      <c r="A438" s="15"/>
      <c r="B438" s="15"/>
      <c r="C438" s="26"/>
      <c r="D438" s="15"/>
      <c r="E438" s="15"/>
      <c r="F438" s="3"/>
      <c r="G438" s="26"/>
      <c r="H438" s="15"/>
      <c r="I438" s="26"/>
      <c r="J438" s="15"/>
      <c r="K438" s="26"/>
      <c r="L438" s="15"/>
      <c r="M438" s="26"/>
      <c r="N438" s="26"/>
      <c r="O438" s="26"/>
      <c r="P438" s="26"/>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row>
    <row r="439" spans="1:40" ht="12.75">
      <c r="A439" s="15"/>
      <c r="B439" s="15"/>
      <c r="C439" s="26"/>
      <c r="D439" s="15"/>
      <c r="E439" s="15"/>
      <c r="F439" s="3"/>
      <c r="G439" s="26"/>
      <c r="H439" s="15"/>
      <c r="I439" s="26"/>
      <c r="J439" s="15"/>
      <c r="K439" s="26"/>
      <c r="L439" s="15"/>
      <c r="M439" s="26"/>
      <c r="N439" s="26"/>
      <c r="O439" s="26"/>
      <c r="P439" s="26"/>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row>
    <row r="440" spans="1:40" ht="12.75">
      <c r="A440" s="15"/>
      <c r="B440" s="15"/>
      <c r="C440" s="26"/>
      <c r="D440" s="15"/>
      <c r="E440" s="15"/>
      <c r="F440" s="3"/>
      <c r="G440" s="26"/>
      <c r="H440" s="15"/>
      <c r="I440" s="26"/>
      <c r="J440" s="15"/>
      <c r="K440" s="26"/>
      <c r="L440" s="15"/>
      <c r="M440" s="26"/>
      <c r="N440" s="26"/>
      <c r="O440" s="26"/>
      <c r="P440" s="26"/>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row>
    <row r="441" spans="1:40" ht="12.75">
      <c r="A441" s="15"/>
      <c r="B441" s="15"/>
      <c r="C441" s="26"/>
      <c r="D441" s="15"/>
      <c r="E441" s="15"/>
      <c r="F441" s="3"/>
      <c r="G441" s="26"/>
      <c r="H441" s="15"/>
      <c r="I441" s="26"/>
      <c r="J441" s="15"/>
      <c r="K441" s="26"/>
      <c r="L441" s="15"/>
      <c r="M441" s="26"/>
      <c r="N441" s="26"/>
      <c r="O441" s="26"/>
      <c r="P441" s="26"/>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row>
    <row r="442" spans="1:40" ht="12.75">
      <c r="A442" s="15"/>
      <c r="B442" s="15"/>
      <c r="C442" s="26"/>
      <c r="D442" s="15"/>
      <c r="E442" s="15"/>
      <c r="F442" s="3"/>
      <c r="G442" s="26"/>
      <c r="H442" s="15"/>
      <c r="I442" s="26"/>
      <c r="J442" s="15"/>
      <c r="K442" s="26"/>
      <c r="L442" s="15"/>
      <c r="M442" s="26"/>
      <c r="N442" s="26"/>
      <c r="O442" s="26"/>
      <c r="P442" s="26"/>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row>
    <row r="443" spans="1:40" ht="12.75">
      <c r="A443" s="15"/>
      <c r="B443" s="15"/>
      <c r="C443" s="26"/>
      <c r="D443" s="15"/>
      <c r="E443" s="15"/>
      <c r="F443" s="3"/>
      <c r="G443" s="26"/>
      <c r="H443" s="15"/>
      <c r="I443" s="26"/>
      <c r="J443" s="15"/>
      <c r="K443" s="26"/>
      <c r="L443" s="15"/>
      <c r="M443" s="26"/>
      <c r="N443" s="26"/>
      <c r="O443" s="26"/>
      <c r="P443" s="26"/>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row>
    <row r="444" spans="1:40" ht="12.75">
      <c r="A444" s="15"/>
      <c r="B444" s="15"/>
      <c r="C444" s="26"/>
      <c r="D444" s="15"/>
      <c r="E444" s="15"/>
      <c r="F444" s="3"/>
      <c r="G444" s="26"/>
      <c r="H444" s="15"/>
      <c r="I444" s="26"/>
      <c r="J444" s="15"/>
      <c r="K444" s="26"/>
      <c r="L444" s="15"/>
      <c r="M444" s="26"/>
      <c r="N444" s="26"/>
      <c r="O444" s="26"/>
      <c r="P444" s="26"/>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row>
    <row r="445" spans="1:40" ht="12.75">
      <c r="A445" s="15"/>
      <c r="B445" s="15"/>
      <c r="C445" s="26"/>
      <c r="D445" s="15"/>
      <c r="E445" s="15"/>
      <c r="F445" s="3"/>
      <c r="G445" s="26"/>
      <c r="H445" s="15"/>
      <c r="I445" s="26"/>
      <c r="J445" s="15"/>
      <c r="K445" s="26"/>
      <c r="L445" s="15"/>
      <c r="M445" s="26"/>
      <c r="N445" s="26"/>
      <c r="O445" s="26"/>
      <c r="P445" s="26"/>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row>
    <row r="446" spans="1:40" ht="12.75">
      <c r="A446" s="15"/>
      <c r="B446" s="15"/>
      <c r="C446" s="26"/>
      <c r="D446" s="15"/>
      <c r="E446" s="15"/>
      <c r="F446" s="3"/>
      <c r="G446" s="26"/>
      <c r="H446" s="15"/>
      <c r="I446" s="26"/>
      <c r="J446" s="15"/>
      <c r="K446" s="26"/>
      <c r="L446" s="15"/>
      <c r="M446" s="26"/>
      <c r="N446" s="26"/>
      <c r="O446" s="26"/>
      <c r="P446" s="26"/>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row>
    <row r="447" spans="1:40" ht="12.75">
      <c r="A447" s="15"/>
      <c r="B447" s="15"/>
      <c r="C447" s="26"/>
      <c r="D447" s="15"/>
      <c r="E447" s="15"/>
      <c r="F447" s="3"/>
      <c r="G447" s="26"/>
      <c r="H447" s="15"/>
      <c r="I447" s="26"/>
      <c r="J447" s="15"/>
      <c r="K447" s="26"/>
      <c r="L447" s="15"/>
      <c r="M447" s="26"/>
      <c r="N447" s="26"/>
      <c r="O447" s="26"/>
      <c r="P447" s="26"/>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row>
    <row r="448" spans="1:40" ht="12.75">
      <c r="A448" s="15"/>
      <c r="B448" s="15"/>
      <c r="C448" s="26"/>
      <c r="D448" s="15"/>
      <c r="E448" s="15"/>
      <c r="F448" s="3"/>
      <c r="G448" s="26"/>
      <c r="H448" s="15"/>
      <c r="I448" s="26"/>
      <c r="J448" s="15"/>
      <c r="K448" s="26"/>
      <c r="L448" s="15"/>
      <c r="M448" s="26"/>
      <c r="N448" s="26"/>
      <c r="O448" s="26"/>
      <c r="P448" s="26"/>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row>
    <row r="449" spans="1:40" ht="12.75">
      <c r="A449" s="15"/>
      <c r="B449" s="15"/>
      <c r="C449" s="26"/>
      <c r="D449" s="15"/>
      <c r="E449" s="15"/>
      <c r="F449" s="3"/>
      <c r="G449" s="26"/>
      <c r="H449" s="15"/>
      <c r="I449" s="26"/>
      <c r="J449" s="15"/>
      <c r="K449" s="26"/>
      <c r="L449" s="15"/>
      <c r="M449" s="26"/>
      <c r="N449" s="26"/>
      <c r="O449" s="26"/>
      <c r="P449" s="26"/>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row>
    <row r="450" spans="1:40" ht="12.75">
      <c r="A450" s="15"/>
      <c r="B450" s="15"/>
      <c r="C450" s="26"/>
      <c r="D450" s="15"/>
      <c r="E450" s="15"/>
      <c r="F450" s="3"/>
      <c r="G450" s="26"/>
      <c r="H450" s="15"/>
      <c r="I450" s="26"/>
      <c r="J450" s="15"/>
      <c r="K450" s="26"/>
      <c r="L450" s="15"/>
      <c r="M450" s="26"/>
      <c r="N450" s="26"/>
      <c r="O450" s="26"/>
      <c r="P450" s="26"/>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row>
    <row r="451" spans="1:40" ht="12.75">
      <c r="A451" s="15"/>
      <c r="B451" s="15"/>
      <c r="C451" s="26"/>
      <c r="D451" s="15"/>
      <c r="E451" s="15"/>
      <c r="F451" s="3"/>
      <c r="G451" s="26"/>
      <c r="H451" s="15"/>
      <c r="I451" s="26"/>
      <c r="J451" s="15"/>
      <c r="K451" s="26"/>
      <c r="L451" s="15"/>
      <c r="M451" s="26"/>
      <c r="N451" s="26"/>
      <c r="O451" s="26"/>
      <c r="P451" s="26"/>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row>
    <row r="452" spans="1:40" ht="12.75">
      <c r="A452" s="15"/>
      <c r="B452" s="15"/>
      <c r="C452" s="26"/>
      <c r="D452" s="15"/>
      <c r="E452" s="15"/>
      <c r="F452" s="3"/>
      <c r="G452" s="26"/>
      <c r="H452" s="15"/>
      <c r="I452" s="26"/>
      <c r="J452" s="15"/>
      <c r="K452" s="26"/>
      <c r="L452" s="15"/>
      <c r="M452" s="26"/>
      <c r="N452" s="26"/>
      <c r="O452" s="26"/>
      <c r="P452" s="26"/>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row>
    <row r="453" spans="1:40" ht="12.75">
      <c r="A453" s="15"/>
      <c r="B453" s="15"/>
      <c r="C453" s="26"/>
      <c r="D453" s="15"/>
      <c r="E453" s="15"/>
      <c r="F453" s="3"/>
      <c r="G453" s="26"/>
      <c r="H453" s="15"/>
      <c r="I453" s="26"/>
      <c r="J453" s="15"/>
      <c r="K453" s="26"/>
      <c r="L453" s="15"/>
      <c r="M453" s="26"/>
      <c r="N453" s="26"/>
      <c r="O453" s="26"/>
      <c r="P453" s="26"/>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row>
    <row r="454" spans="1:40" ht="12.75">
      <c r="A454" s="15"/>
      <c r="B454" s="15"/>
      <c r="C454" s="26"/>
      <c r="D454" s="15"/>
      <c r="E454" s="15"/>
      <c r="F454" s="3"/>
      <c r="G454" s="26"/>
      <c r="H454" s="15"/>
      <c r="I454" s="26"/>
      <c r="J454" s="15"/>
      <c r="K454" s="26"/>
      <c r="L454" s="15"/>
      <c r="M454" s="26"/>
      <c r="N454" s="26"/>
      <c r="O454" s="26"/>
      <c r="P454" s="26"/>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row>
    <row r="455" spans="1:40" ht="12.75">
      <c r="A455" s="15"/>
      <c r="B455" s="15"/>
      <c r="C455" s="26"/>
      <c r="D455" s="15"/>
      <c r="E455" s="15"/>
      <c r="F455" s="3"/>
      <c r="G455" s="26"/>
      <c r="H455" s="15"/>
      <c r="I455" s="26"/>
      <c r="J455" s="15"/>
      <c r="K455" s="26"/>
      <c r="L455" s="15"/>
      <c r="M455" s="26"/>
      <c r="N455" s="26"/>
      <c r="O455" s="26"/>
      <c r="P455" s="26"/>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row>
    <row r="456" spans="1:40" ht="12.75">
      <c r="A456" s="15"/>
      <c r="B456" s="15"/>
      <c r="C456" s="26"/>
      <c r="D456" s="15"/>
      <c r="E456" s="15"/>
      <c r="F456" s="3"/>
      <c r="G456" s="26"/>
      <c r="H456" s="15"/>
      <c r="I456" s="26"/>
      <c r="J456" s="15"/>
      <c r="K456" s="26"/>
      <c r="L456" s="15"/>
      <c r="M456" s="26"/>
      <c r="N456" s="26"/>
      <c r="O456" s="26"/>
      <c r="P456" s="26"/>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row>
    <row r="457" spans="1:40" ht="12.75">
      <c r="A457" s="15"/>
      <c r="B457" s="15"/>
      <c r="C457" s="26"/>
      <c r="D457" s="15"/>
      <c r="E457" s="15"/>
      <c r="F457" s="3"/>
      <c r="G457" s="26"/>
      <c r="H457" s="15"/>
      <c r="I457" s="26"/>
      <c r="J457" s="15"/>
      <c r="K457" s="26"/>
      <c r="L457" s="15"/>
      <c r="M457" s="26"/>
      <c r="N457" s="26"/>
      <c r="O457" s="26"/>
      <c r="P457" s="26"/>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row>
    <row r="458" spans="1:40" ht="12.75">
      <c r="A458" s="15"/>
      <c r="B458" s="15"/>
      <c r="C458" s="26"/>
      <c r="D458" s="15"/>
      <c r="E458" s="15"/>
      <c r="F458" s="3"/>
      <c r="G458" s="26"/>
      <c r="H458" s="15"/>
      <c r="I458" s="26"/>
      <c r="J458" s="15"/>
      <c r="K458" s="26"/>
      <c r="L458" s="15"/>
      <c r="M458" s="26"/>
      <c r="N458" s="26"/>
      <c r="O458" s="26"/>
      <c r="P458" s="26"/>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row>
    <row r="459" spans="1:40" ht="12.75">
      <c r="A459" s="15"/>
      <c r="B459" s="15"/>
      <c r="C459" s="26"/>
      <c r="D459" s="15"/>
      <c r="E459" s="15"/>
      <c r="F459" s="3"/>
      <c r="G459" s="26"/>
      <c r="H459" s="15"/>
      <c r="I459" s="26"/>
      <c r="J459" s="15"/>
      <c r="K459" s="26"/>
      <c r="L459" s="15"/>
      <c r="M459" s="26"/>
      <c r="N459" s="26"/>
      <c r="O459" s="26"/>
      <c r="P459" s="26"/>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row>
    <row r="460" spans="1:40" ht="12.75">
      <c r="A460" s="15"/>
      <c r="B460" s="15"/>
      <c r="C460" s="26"/>
      <c r="D460" s="15"/>
      <c r="E460" s="15"/>
      <c r="F460" s="3"/>
      <c r="G460" s="26"/>
      <c r="H460" s="15"/>
      <c r="I460" s="26"/>
      <c r="J460" s="15"/>
      <c r="K460" s="26"/>
      <c r="L460" s="15"/>
      <c r="M460" s="26"/>
      <c r="N460" s="26"/>
      <c r="O460" s="26"/>
      <c r="P460" s="26"/>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row>
    <row r="461" spans="1:40" ht="12.75">
      <c r="A461" s="15"/>
      <c r="B461" s="15"/>
      <c r="C461" s="26"/>
      <c r="D461" s="15"/>
      <c r="E461" s="15"/>
      <c r="F461" s="3"/>
      <c r="G461" s="26"/>
      <c r="H461" s="15"/>
      <c r="I461" s="26"/>
      <c r="J461" s="15"/>
      <c r="K461" s="26"/>
      <c r="L461" s="15"/>
      <c r="M461" s="26"/>
      <c r="N461" s="26"/>
      <c r="O461" s="26"/>
      <c r="P461" s="26"/>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row>
    <row r="462" spans="1:40" ht="12.75">
      <c r="A462" s="15"/>
      <c r="B462" s="15"/>
      <c r="C462" s="26"/>
      <c r="D462" s="15"/>
      <c r="E462" s="15"/>
      <c r="F462" s="3"/>
      <c r="G462" s="26"/>
      <c r="H462" s="15"/>
      <c r="I462" s="26"/>
      <c r="J462" s="15"/>
      <c r="K462" s="26"/>
      <c r="L462" s="15"/>
      <c r="M462" s="26"/>
      <c r="N462" s="26"/>
      <c r="O462" s="26"/>
      <c r="P462" s="26"/>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row>
    <row r="463" spans="1:40" ht="12.75">
      <c r="A463" s="15"/>
      <c r="B463" s="15"/>
      <c r="C463" s="26"/>
      <c r="D463" s="15"/>
      <c r="E463" s="15"/>
      <c r="F463" s="3"/>
      <c r="G463" s="26"/>
      <c r="H463" s="15"/>
      <c r="I463" s="26"/>
      <c r="J463" s="15"/>
      <c r="K463" s="26"/>
      <c r="L463" s="15"/>
      <c r="M463" s="26"/>
      <c r="N463" s="26"/>
      <c r="O463" s="26"/>
      <c r="P463" s="26"/>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row>
    <row r="464" spans="1:40" ht="12.75">
      <c r="A464" s="15"/>
      <c r="B464" s="15"/>
      <c r="C464" s="26"/>
      <c r="D464" s="15"/>
      <c r="E464" s="15"/>
      <c r="F464" s="3"/>
      <c r="G464" s="26"/>
      <c r="H464" s="15"/>
      <c r="I464" s="26"/>
      <c r="J464" s="15"/>
      <c r="K464" s="26"/>
      <c r="L464" s="15"/>
      <c r="M464" s="26"/>
      <c r="N464" s="26"/>
      <c r="O464" s="26"/>
      <c r="P464" s="26"/>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row>
    <row r="465" spans="1:40" ht="12.75">
      <c r="A465" s="15"/>
      <c r="B465" s="15"/>
      <c r="C465" s="26"/>
      <c r="D465" s="15"/>
      <c r="E465" s="15"/>
      <c r="F465" s="3"/>
      <c r="G465" s="26"/>
      <c r="H465" s="15"/>
      <c r="I465" s="26"/>
      <c r="J465" s="15"/>
      <c r="K465" s="26"/>
      <c r="L465" s="15"/>
      <c r="M465" s="26"/>
      <c r="N465" s="26"/>
      <c r="O465" s="26"/>
      <c r="P465" s="26"/>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row>
    <row r="466" spans="1:40" ht="12.75">
      <c r="A466" s="15"/>
      <c r="B466" s="15"/>
      <c r="C466" s="26"/>
      <c r="D466" s="15"/>
      <c r="E466" s="15"/>
      <c r="F466" s="3"/>
      <c r="G466" s="26"/>
      <c r="H466" s="15"/>
      <c r="I466" s="26"/>
      <c r="J466" s="15"/>
      <c r="K466" s="26"/>
      <c r="L466" s="15"/>
      <c r="M466" s="26"/>
      <c r="N466" s="26"/>
      <c r="O466" s="26"/>
      <c r="P466" s="26"/>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row>
    <row r="467" spans="1:40" ht="12.75">
      <c r="A467" s="15"/>
      <c r="B467" s="15"/>
      <c r="C467" s="26"/>
      <c r="D467" s="15"/>
      <c r="E467" s="15"/>
      <c r="F467" s="3"/>
      <c r="G467" s="26"/>
      <c r="H467" s="15"/>
      <c r="I467" s="26"/>
      <c r="J467" s="15"/>
      <c r="K467" s="26"/>
      <c r="L467" s="15"/>
      <c r="M467" s="26"/>
      <c r="N467" s="26"/>
      <c r="O467" s="26"/>
      <c r="P467" s="26"/>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row>
    <row r="468" spans="1:40" ht="12.75">
      <c r="A468" s="15"/>
      <c r="B468" s="15"/>
      <c r="C468" s="26"/>
      <c r="D468" s="15"/>
      <c r="E468" s="15"/>
      <c r="F468" s="3"/>
      <c r="G468" s="26"/>
      <c r="H468" s="15"/>
      <c r="I468" s="26"/>
      <c r="J468" s="15"/>
      <c r="K468" s="26"/>
      <c r="L468" s="15"/>
      <c r="M468" s="26"/>
      <c r="N468" s="26"/>
      <c r="O468" s="26"/>
      <c r="P468" s="26"/>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row>
    <row r="469" spans="1:40" ht="12.75">
      <c r="A469" s="15"/>
      <c r="B469" s="15"/>
      <c r="C469" s="26"/>
      <c r="D469" s="15"/>
      <c r="E469" s="15"/>
      <c r="F469" s="3"/>
      <c r="G469" s="26"/>
      <c r="H469" s="15"/>
      <c r="I469" s="26"/>
      <c r="J469" s="15"/>
      <c r="K469" s="26"/>
      <c r="L469" s="15"/>
      <c r="M469" s="26"/>
      <c r="N469" s="26"/>
      <c r="O469" s="26"/>
      <c r="P469" s="26"/>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row>
    <row r="470" spans="1:40" ht="12.75">
      <c r="A470" s="15"/>
      <c r="B470" s="15"/>
      <c r="C470" s="26"/>
      <c r="D470" s="15"/>
      <c r="E470" s="15"/>
      <c r="F470" s="3"/>
      <c r="G470" s="26"/>
      <c r="H470" s="15"/>
      <c r="I470" s="26"/>
      <c r="J470" s="15"/>
      <c r="K470" s="26"/>
      <c r="L470" s="15"/>
      <c r="M470" s="26"/>
      <c r="N470" s="26"/>
      <c r="O470" s="26"/>
      <c r="P470" s="26"/>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row>
    <row r="471" spans="1:40" ht="12.75">
      <c r="A471" s="15"/>
      <c r="B471" s="15"/>
      <c r="C471" s="26"/>
      <c r="D471" s="15"/>
      <c r="E471" s="15"/>
      <c r="F471" s="3"/>
      <c r="G471" s="26"/>
      <c r="H471" s="15"/>
      <c r="I471" s="26"/>
      <c r="J471" s="15"/>
      <c r="K471" s="26"/>
      <c r="L471" s="15"/>
      <c r="M471" s="26"/>
      <c r="N471" s="26"/>
      <c r="O471" s="26"/>
      <c r="P471" s="26"/>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row>
    <row r="472" spans="1:40" ht="12.75">
      <c r="A472" s="15"/>
      <c r="B472" s="15"/>
      <c r="C472" s="26"/>
      <c r="D472" s="15"/>
      <c r="E472" s="15"/>
      <c r="F472" s="3"/>
      <c r="G472" s="26"/>
      <c r="H472" s="15"/>
      <c r="I472" s="26"/>
      <c r="J472" s="15"/>
      <c r="K472" s="26"/>
      <c r="L472" s="15"/>
      <c r="M472" s="26"/>
      <c r="N472" s="26"/>
      <c r="O472" s="26"/>
      <c r="P472" s="26"/>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row>
    <row r="473" spans="1:40" ht="12.75">
      <c r="A473" s="15"/>
      <c r="B473" s="15"/>
      <c r="C473" s="26"/>
      <c r="D473" s="15"/>
      <c r="E473" s="15"/>
      <c r="F473" s="3"/>
      <c r="G473" s="26"/>
      <c r="H473" s="15"/>
      <c r="I473" s="26"/>
      <c r="J473" s="15"/>
      <c r="K473" s="26"/>
      <c r="L473" s="15"/>
      <c r="M473" s="26"/>
      <c r="N473" s="26"/>
      <c r="O473" s="26"/>
      <c r="P473" s="26"/>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row>
    <row r="474" spans="1:40" ht="12.75">
      <c r="A474" s="15"/>
      <c r="B474" s="15"/>
      <c r="C474" s="26"/>
      <c r="D474" s="15"/>
      <c r="E474" s="15"/>
      <c r="F474" s="3"/>
      <c r="G474" s="26"/>
      <c r="H474" s="15"/>
      <c r="I474" s="26"/>
      <c r="J474" s="15"/>
      <c r="K474" s="26"/>
      <c r="L474" s="15"/>
      <c r="M474" s="26"/>
      <c r="N474" s="26"/>
      <c r="O474" s="26"/>
      <c r="P474" s="26"/>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row>
    <row r="475" spans="1:40" ht="12.75">
      <c r="A475" s="15"/>
      <c r="B475" s="15"/>
      <c r="C475" s="26"/>
      <c r="D475" s="15"/>
      <c r="E475" s="15"/>
      <c r="F475" s="3"/>
      <c r="G475" s="26"/>
      <c r="H475" s="15"/>
      <c r="I475" s="26"/>
      <c r="J475" s="15"/>
      <c r="K475" s="26"/>
      <c r="L475" s="15"/>
      <c r="M475" s="26"/>
      <c r="N475" s="26"/>
      <c r="O475" s="26"/>
      <c r="P475" s="26"/>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row>
    <row r="476" spans="1:40" ht="12.75">
      <c r="A476" s="15"/>
      <c r="B476" s="15"/>
      <c r="C476" s="26"/>
      <c r="D476" s="15"/>
      <c r="E476" s="15"/>
      <c r="F476" s="3"/>
      <c r="G476" s="26"/>
      <c r="H476" s="15"/>
      <c r="I476" s="26"/>
      <c r="J476" s="15"/>
      <c r="K476" s="26"/>
      <c r="L476" s="15"/>
      <c r="M476" s="26"/>
      <c r="N476" s="26"/>
      <c r="O476" s="26"/>
      <c r="P476" s="26"/>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row>
    <row r="477" spans="1:40" ht="12.75">
      <c r="A477" s="15"/>
      <c r="B477" s="15"/>
      <c r="C477" s="26"/>
      <c r="D477" s="15"/>
      <c r="E477" s="15"/>
      <c r="F477" s="3"/>
      <c r="G477" s="26"/>
      <c r="H477" s="15"/>
      <c r="I477" s="26"/>
      <c r="J477" s="15"/>
      <c r="K477" s="26"/>
      <c r="L477" s="15"/>
      <c r="M477" s="26"/>
      <c r="N477" s="26"/>
      <c r="O477" s="26"/>
      <c r="P477" s="26"/>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row>
    <row r="478" spans="1:40" ht="12.75">
      <c r="A478" s="15"/>
      <c r="B478" s="15"/>
      <c r="C478" s="26"/>
      <c r="D478" s="15"/>
      <c r="E478" s="15"/>
      <c r="F478" s="3"/>
      <c r="G478" s="26"/>
      <c r="H478" s="15"/>
      <c r="I478" s="26"/>
      <c r="J478" s="15"/>
      <c r="K478" s="26"/>
      <c r="L478" s="15"/>
      <c r="M478" s="26"/>
      <c r="N478" s="26"/>
      <c r="O478" s="26"/>
      <c r="P478" s="26"/>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row>
    <row r="479" spans="1:40" ht="12.75">
      <c r="A479" s="15"/>
      <c r="B479" s="15"/>
      <c r="C479" s="26"/>
      <c r="D479" s="15"/>
      <c r="E479" s="15"/>
      <c r="F479" s="3"/>
      <c r="G479" s="26"/>
      <c r="H479" s="15"/>
      <c r="I479" s="26"/>
      <c r="J479" s="15"/>
      <c r="K479" s="26"/>
      <c r="L479" s="15"/>
      <c r="M479" s="26"/>
      <c r="N479" s="26"/>
      <c r="O479" s="26"/>
      <c r="P479" s="26"/>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row>
    <row r="480" spans="1:40" ht="12.75">
      <c r="A480" s="15"/>
      <c r="B480" s="15"/>
      <c r="C480" s="26"/>
      <c r="D480" s="15"/>
      <c r="E480" s="15"/>
      <c r="F480" s="3"/>
      <c r="G480" s="26"/>
      <c r="H480" s="15"/>
      <c r="I480" s="26"/>
      <c r="J480" s="15"/>
      <c r="K480" s="26"/>
      <c r="L480" s="15"/>
      <c r="M480" s="26"/>
      <c r="N480" s="26"/>
      <c r="O480" s="26"/>
      <c r="P480" s="26"/>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row>
    <row r="481" spans="1:40" ht="12.75">
      <c r="A481" s="15"/>
      <c r="B481" s="15"/>
      <c r="C481" s="26"/>
      <c r="D481" s="15"/>
      <c r="E481" s="15"/>
      <c r="F481" s="3"/>
      <c r="G481" s="26"/>
      <c r="H481" s="15"/>
      <c r="I481" s="26"/>
      <c r="J481" s="15"/>
      <c r="K481" s="26"/>
      <c r="L481" s="15"/>
      <c r="M481" s="26"/>
      <c r="N481" s="26"/>
      <c r="O481" s="26"/>
      <c r="P481" s="26"/>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row>
    <row r="482" spans="1:40" ht="12.75">
      <c r="A482" s="15"/>
      <c r="B482" s="15"/>
      <c r="C482" s="26"/>
      <c r="D482" s="15"/>
      <c r="E482" s="15"/>
      <c r="F482" s="3"/>
      <c r="G482" s="26"/>
      <c r="H482" s="15"/>
      <c r="I482" s="26"/>
      <c r="J482" s="15"/>
      <c r="K482" s="26"/>
      <c r="L482" s="15"/>
      <c r="M482" s="26"/>
      <c r="N482" s="26"/>
      <c r="O482" s="26"/>
      <c r="P482" s="26"/>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row>
    <row r="483" spans="1:40" ht="12.75">
      <c r="A483" s="15"/>
      <c r="B483" s="15"/>
      <c r="C483" s="26"/>
      <c r="D483" s="15"/>
      <c r="E483" s="15"/>
      <c r="F483" s="3"/>
      <c r="G483" s="26"/>
      <c r="H483" s="15"/>
      <c r="I483" s="26"/>
      <c r="J483" s="15"/>
      <c r="K483" s="26"/>
      <c r="L483" s="15"/>
      <c r="M483" s="26"/>
      <c r="N483" s="26"/>
      <c r="O483" s="26"/>
      <c r="P483" s="26"/>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row>
    <row r="484" spans="1:40" ht="12.75">
      <c r="A484" s="15"/>
      <c r="B484" s="15"/>
      <c r="C484" s="26"/>
      <c r="D484" s="15"/>
      <c r="E484" s="15"/>
      <c r="F484" s="3"/>
      <c r="G484" s="26"/>
      <c r="H484" s="15"/>
      <c r="I484" s="26"/>
      <c r="J484" s="15"/>
      <c r="K484" s="26"/>
      <c r="L484" s="15"/>
      <c r="M484" s="26"/>
      <c r="N484" s="26"/>
      <c r="O484" s="26"/>
      <c r="P484" s="26"/>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row>
    <row r="485" spans="1:40" ht="12.75">
      <c r="A485" s="15"/>
      <c r="B485" s="15"/>
      <c r="C485" s="26"/>
      <c r="D485" s="15"/>
      <c r="E485" s="15"/>
      <c r="F485" s="3"/>
      <c r="G485" s="26"/>
      <c r="H485" s="15"/>
      <c r="I485" s="26"/>
      <c r="J485" s="15"/>
      <c r="K485" s="26"/>
      <c r="L485" s="15"/>
      <c r="M485" s="26"/>
      <c r="N485" s="26"/>
      <c r="O485" s="26"/>
      <c r="P485" s="26"/>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row>
    <row r="486" spans="1:40" ht="12.75">
      <c r="A486" s="15"/>
      <c r="B486" s="15"/>
      <c r="C486" s="26"/>
      <c r="D486" s="15"/>
      <c r="E486" s="15"/>
      <c r="F486" s="3"/>
      <c r="G486" s="26"/>
      <c r="H486" s="15"/>
      <c r="I486" s="26"/>
      <c r="J486" s="15"/>
      <c r="K486" s="26"/>
      <c r="L486" s="15"/>
      <c r="M486" s="26"/>
      <c r="N486" s="26"/>
      <c r="O486" s="26"/>
      <c r="P486" s="26"/>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row>
    <row r="487" spans="1:40" ht="12.75">
      <c r="A487" s="15"/>
      <c r="B487" s="15"/>
      <c r="C487" s="26"/>
      <c r="D487" s="15"/>
      <c r="E487" s="15"/>
      <c r="F487" s="3"/>
      <c r="G487" s="26"/>
      <c r="H487" s="15"/>
      <c r="I487" s="26"/>
      <c r="J487" s="15"/>
      <c r="K487" s="26"/>
      <c r="L487" s="15"/>
      <c r="M487" s="26"/>
      <c r="N487" s="26"/>
      <c r="O487" s="26"/>
      <c r="P487" s="26"/>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row>
    <row r="488" spans="1:40" ht="12.75">
      <c r="A488" s="15"/>
      <c r="B488" s="15"/>
      <c r="C488" s="26"/>
      <c r="D488" s="15"/>
      <c r="E488" s="15"/>
      <c r="F488" s="3"/>
      <c r="G488" s="26"/>
      <c r="H488" s="15"/>
      <c r="I488" s="26"/>
      <c r="J488" s="15"/>
      <c r="K488" s="26"/>
      <c r="L488" s="15"/>
      <c r="M488" s="26"/>
      <c r="N488" s="26"/>
      <c r="O488" s="26"/>
      <c r="P488" s="26"/>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row>
    <row r="489" spans="1:40" ht="12.75">
      <c r="A489" s="15"/>
      <c r="B489" s="15"/>
      <c r="C489" s="26"/>
      <c r="D489" s="15"/>
      <c r="E489" s="15"/>
      <c r="F489" s="3"/>
      <c r="G489" s="26"/>
      <c r="H489" s="15"/>
      <c r="I489" s="26"/>
      <c r="J489" s="15"/>
      <c r="K489" s="26"/>
      <c r="L489" s="15"/>
      <c r="M489" s="26"/>
      <c r="N489" s="26"/>
      <c r="O489" s="26"/>
      <c r="P489" s="26"/>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row>
    <row r="490" spans="1:40" ht="12.75">
      <c r="A490" s="15"/>
      <c r="B490" s="15"/>
      <c r="C490" s="26"/>
      <c r="D490" s="15"/>
      <c r="E490" s="15"/>
      <c r="F490" s="3"/>
      <c r="G490" s="26"/>
      <c r="H490" s="15"/>
      <c r="I490" s="26"/>
      <c r="J490" s="15"/>
      <c r="K490" s="26"/>
      <c r="L490" s="15"/>
      <c r="M490" s="26"/>
      <c r="N490" s="26"/>
      <c r="O490" s="26"/>
      <c r="P490" s="26"/>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row>
    <row r="491" spans="1:40" ht="12.75">
      <c r="A491" s="15"/>
      <c r="B491" s="15"/>
      <c r="C491" s="26"/>
      <c r="D491" s="15"/>
      <c r="E491" s="15"/>
      <c r="F491" s="3"/>
      <c r="G491" s="26"/>
      <c r="H491" s="15"/>
      <c r="I491" s="26"/>
      <c r="J491" s="15"/>
      <c r="K491" s="26"/>
      <c r="L491" s="15"/>
      <c r="M491" s="26"/>
      <c r="N491" s="26"/>
      <c r="O491" s="26"/>
      <c r="P491" s="26"/>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row>
    <row r="492" spans="1:40" ht="12.75">
      <c r="A492" s="15"/>
      <c r="B492" s="15"/>
      <c r="C492" s="26"/>
      <c r="D492" s="15"/>
      <c r="E492" s="15"/>
      <c r="F492" s="3"/>
      <c r="G492" s="26"/>
      <c r="H492" s="15"/>
      <c r="I492" s="26"/>
      <c r="J492" s="15"/>
      <c r="K492" s="26"/>
      <c r="L492" s="15"/>
      <c r="M492" s="26"/>
      <c r="N492" s="26"/>
      <c r="O492" s="26"/>
      <c r="P492" s="26"/>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row>
    <row r="493" spans="1:40" ht="12.75">
      <c r="A493" s="15"/>
      <c r="B493" s="15"/>
      <c r="C493" s="26"/>
      <c r="D493" s="15"/>
      <c r="E493" s="15"/>
      <c r="F493" s="3"/>
      <c r="G493" s="26"/>
      <c r="H493" s="15"/>
      <c r="I493" s="26"/>
      <c r="J493" s="15"/>
      <c r="K493" s="26"/>
      <c r="L493" s="15"/>
      <c r="M493" s="26"/>
      <c r="N493" s="26"/>
      <c r="O493" s="26"/>
      <c r="P493" s="26"/>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row>
    <row r="494" spans="1:40" ht="12.75">
      <c r="A494" s="15"/>
      <c r="B494" s="15"/>
      <c r="C494" s="26"/>
      <c r="D494" s="15"/>
      <c r="E494" s="15"/>
      <c r="F494" s="3"/>
      <c r="G494" s="26"/>
      <c r="H494" s="15"/>
      <c r="I494" s="26"/>
      <c r="J494" s="15"/>
      <c r="K494" s="26"/>
      <c r="L494" s="15"/>
      <c r="M494" s="26"/>
      <c r="N494" s="26"/>
      <c r="O494" s="26"/>
      <c r="P494" s="26"/>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row>
    <row r="495" spans="1:40" ht="12.75">
      <c r="A495" s="15"/>
      <c r="B495" s="15"/>
      <c r="C495" s="26"/>
      <c r="D495" s="15"/>
      <c r="E495" s="15"/>
      <c r="F495" s="3"/>
      <c r="G495" s="26"/>
      <c r="H495" s="15"/>
      <c r="I495" s="26"/>
      <c r="J495" s="15"/>
      <c r="K495" s="26"/>
      <c r="L495" s="15"/>
      <c r="M495" s="26"/>
      <c r="N495" s="26"/>
      <c r="O495" s="26"/>
      <c r="P495" s="26"/>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row>
    <row r="496" spans="1:40" ht="12.75">
      <c r="A496" s="15"/>
      <c r="B496" s="15"/>
      <c r="C496" s="26"/>
      <c r="D496" s="15"/>
      <c r="E496" s="15"/>
      <c r="F496" s="3"/>
      <c r="G496" s="26"/>
      <c r="H496" s="15"/>
      <c r="I496" s="26"/>
      <c r="J496" s="15"/>
      <c r="K496" s="26"/>
      <c r="L496" s="15"/>
      <c r="M496" s="26"/>
      <c r="N496" s="26"/>
      <c r="O496" s="26"/>
      <c r="P496" s="26"/>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row>
    <row r="497" spans="1:40" ht="12.75">
      <c r="A497" s="15"/>
      <c r="B497" s="15"/>
      <c r="C497" s="26"/>
      <c r="D497" s="15"/>
      <c r="E497" s="15"/>
      <c r="F497" s="3"/>
      <c r="G497" s="26"/>
      <c r="H497" s="15"/>
      <c r="I497" s="26"/>
      <c r="J497" s="15"/>
      <c r="K497" s="26"/>
      <c r="L497" s="15"/>
      <c r="M497" s="26"/>
      <c r="N497" s="26"/>
      <c r="O497" s="26"/>
      <c r="P497" s="26"/>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row>
    <row r="498" spans="1:40" ht="12.75">
      <c r="A498" s="15"/>
      <c r="B498" s="15"/>
      <c r="C498" s="26"/>
      <c r="D498" s="15"/>
      <c r="E498" s="15"/>
      <c r="F498" s="3"/>
      <c r="G498" s="26"/>
      <c r="H498" s="15"/>
      <c r="I498" s="26"/>
      <c r="J498" s="15"/>
      <c r="K498" s="26"/>
      <c r="L498" s="15"/>
      <c r="M498" s="26"/>
      <c r="N498" s="26"/>
      <c r="O498" s="26"/>
      <c r="P498" s="26"/>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row>
    <row r="499" spans="1:40" ht="12.75">
      <c r="A499" s="15"/>
      <c r="B499" s="15"/>
      <c r="C499" s="26"/>
      <c r="D499" s="15"/>
      <c r="E499" s="15"/>
      <c r="F499" s="3"/>
      <c r="G499" s="26"/>
      <c r="H499" s="15"/>
      <c r="I499" s="26"/>
      <c r="J499" s="15"/>
      <c r="K499" s="26"/>
      <c r="L499" s="15"/>
      <c r="M499" s="26"/>
      <c r="N499" s="26"/>
      <c r="O499" s="26"/>
      <c r="P499" s="26"/>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row>
    <row r="500" spans="1:40" ht="12.75">
      <c r="A500" s="15"/>
      <c r="B500" s="15"/>
      <c r="C500" s="26"/>
      <c r="D500" s="15"/>
      <c r="E500" s="15"/>
      <c r="F500" s="3"/>
      <c r="G500" s="26"/>
      <c r="H500" s="15"/>
      <c r="I500" s="26"/>
      <c r="J500" s="15"/>
      <c r="K500" s="26"/>
      <c r="L500" s="15"/>
      <c r="M500" s="26"/>
      <c r="N500" s="26"/>
      <c r="O500" s="26"/>
      <c r="P500" s="26"/>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row>
    <row r="501" spans="1:40" ht="12.75">
      <c r="A501" s="15"/>
      <c r="B501" s="15"/>
      <c r="C501" s="26"/>
      <c r="D501" s="15"/>
      <c r="E501" s="15"/>
      <c r="F501" s="3"/>
      <c r="G501" s="26"/>
      <c r="H501" s="15"/>
      <c r="I501" s="26"/>
      <c r="J501" s="15"/>
      <c r="K501" s="26"/>
      <c r="L501" s="15"/>
      <c r="M501" s="26"/>
      <c r="N501" s="26"/>
      <c r="O501" s="26"/>
      <c r="P501" s="26"/>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row>
    <row r="502" spans="1:40" ht="12.75">
      <c r="A502" s="15"/>
      <c r="B502" s="15"/>
      <c r="C502" s="26"/>
      <c r="D502" s="15"/>
      <c r="E502" s="15"/>
      <c r="F502" s="3"/>
      <c r="G502" s="26"/>
      <c r="H502" s="15"/>
      <c r="I502" s="26"/>
      <c r="J502" s="15"/>
      <c r="K502" s="26"/>
      <c r="L502" s="15"/>
      <c r="M502" s="26"/>
      <c r="N502" s="26"/>
      <c r="O502" s="26"/>
      <c r="P502" s="26"/>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row>
    <row r="503" spans="1:40" ht="12.75">
      <c r="A503" s="15"/>
      <c r="B503" s="15"/>
      <c r="C503" s="26"/>
      <c r="D503" s="15"/>
      <c r="E503" s="15"/>
      <c r="F503" s="3"/>
      <c r="G503" s="26"/>
      <c r="H503" s="15"/>
      <c r="I503" s="26"/>
      <c r="J503" s="15"/>
      <c r="K503" s="26"/>
      <c r="L503" s="15"/>
      <c r="M503" s="26"/>
      <c r="N503" s="26"/>
      <c r="O503" s="26"/>
      <c r="P503" s="26"/>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row>
    <row r="504" spans="1:40" ht="12.75">
      <c r="A504" s="15"/>
      <c r="B504" s="15"/>
      <c r="C504" s="26"/>
      <c r="D504" s="15"/>
      <c r="E504" s="15"/>
      <c r="F504" s="3"/>
      <c r="G504" s="26"/>
      <c r="H504" s="15"/>
      <c r="I504" s="26"/>
      <c r="J504" s="15"/>
      <c r="K504" s="26"/>
      <c r="L504" s="15"/>
      <c r="M504" s="26"/>
      <c r="N504" s="26"/>
      <c r="O504" s="26"/>
      <c r="P504" s="26"/>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row>
    <row r="505" spans="1:40" ht="12.75">
      <c r="A505" s="15"/>
      <c r="B505" s="15"/>
      <c r="C505" s="26"/>
      <c r="D505" s="15"/>
      <c r="E505" s="15"/>
      <c r="F505" s="3"/>
      <c r="G505" s="26"/>
      <c r="H505" s="15"/>
      <c r="I505" s="26"/>
      <c r="J505" s="15"/>
      <c r="K505" s="26"/>
      <c r="L505" s="15"/>
      <c r="M505" s="26"/>
      <c r="N505" s="26"/>
      <c r="O505" s="26"/>
      <c r="P505" s="26"/>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row>
    <row r="506" spans="1:40" ht="12.75">
      <c r="A506" s="15"/>
      <c r="B506" s="15"/>
      <c r="C506" s="26"/>
      <c r="D506" s="15"/>
      <c r="E506" s="15"/>
      <c r="F506" s="3"/>
      <c r="G506" s="26"/>
      <c r="H506" s="15"/>
      <c r="I506" s="26"/>
      <c r="J506" s="15"/>
      <c r="K506" s="26"/>
      <c r="L506" s="15"/>
      <c r="M506" s="26"/>
      <c r="N506" s="26"/>
      <c r="O506" s="26"/>
      <c r="P506" s="26"/>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row>
    <row r="507" spans="1:40" ht="12.75">
      <c r="A507" s="15"/>
      <c r="B507" s="15"/>
      <c r="C507" s="26"/>
      <c r="D507" s="15"/>
      <c r="E507" s="15"/>
      <c r="F507" s="3"/>
      <c r="G507" s="26"/>
      <c r="H507" s="15"/>
      <c r="I507" s="26"/>
      <c r="J507" s="15"/>
      <c r="K507" s="26"/>
      <c r="L507" s="15"/>
      <c r="M507" s="26"/>
      <c r="N507" s="26"/>
      <c r="O507" s="26"/>
      <c r="P507" s="26"/>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row>
    <row r="508" spans="1:40" ht="12.75">
      <c r="A508" s="15"/>
      <c r="B508" s="15"/>
      <c r="C508" s="26"/>
      <c r="D508" s="15"/>
      <c r="E508" s="15"/>
      <c r="F508" s="3"/>
      <c r="G508" s="26"/>
      <c r="H508" s="15"/>
      <c r="I508" s="26"/>
      <c r="J508" s="15"/>
      <c r="K508" s="26"/>
      <c r="L508" s="15"/>
      <c r="M508" s="26"/>
      <c r="N508" s="26"/>
      <c r="O508" s="26"/>
      <c r="P508" s="26"/>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row>
    <row r="509" spans="1:40" ht="12.75">
      <c r="A509" s="15"/>
      <c r="B509" s="15"/>
      <c r="C509" s="26"/>
      <c r="D509" s="15"/>
      <c r="E509" s="15"/>
      <c r="F509" s="3"/>
      <c r="G509" s="26"/>
      <c r="H509" s="15"/>
      <c r="I509" s="26"/>
      <c r="J509" s="15"/>
      <c r="K509" s="26"/>
      <c r="L509" s="15"/>
      <c r="M509" s="26"/>
      <c r="N509" s="26"/>
      <c r="O509" s="26"/>
      <c r="P509" s="26"/>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row>
    <row r="510" spans="1:40" ht="12.75">
      <c r="A510" s="15"/>
      <c r="B510" s="15"/>
      <c r="C510" s="26"/>
      <c r="D510" s="15"/>
      <c r="E510" s="15"/>
      <c r="F510" s="3"/>
      <c r="G510" s="26"/>
      <c r="H510" s="15"/>
      <c r="I510" s="26"/>
      <c r="J510" s="15"/>
      <c r="K510" s="26"/>
      <c r="L510" s="15"/>
      <c r="M510" s="26"/>
      <c r="N510" s="26"/>
      <c r="O510" s="26"/>
      <c r="P510" s="26"/>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row>
    <row r="511" spans="1:40" ht="12.75">
      <c r="A511" s="15"/>
      <c r="B511" s="15"/>
      <c r="C511" s="26"/>
      <c r="D511" s="15"/>
      <c r="E511" s="15"/>
      <c r="F511" s="3"/>
      <c r="G511" s="26"/>
      <c r="H511" s="15"/>
      <c r="I511" s="26"/>
      <c r="J511" s="15"/>
      <c r="K511" s="26"/>
      <c r="L511" s="15"/>
      <c r="M511" s="26"/>
      <c r="N511" s="26"/>
      <c r="O511" s="26"/>
      <c r="P511" s="26"/>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row>
    <row r="512" spans="1:40" ht="12.75">
      <c r="A512" s="15"/>
      <c r="B512" s="15"/>
      <c r="C512" s="26"/>
      <c r="D512" s="15"/>
      <c r="E512" s="15"/>
      <c r="F512" s="3"/>
      <c r="G512" s="26"/>
      <c r="H512" s="15"/>
      <c r="I512" s="26"/>
      <c r="J512" s="15"/>
      <c r="K512" s="26"/>
      <c r="L512" s="15"/>
      <c r="M512" s="26"/>
      <c r="N512" s="26"/>
      <c r="O512" s="26"/>
      <c r="P512" s="26"/>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row>
    <row r="513" spans="1:40" ht="12.75">
      <c r="A513" s="15"/>
      <c r="B513" s="15"/>
      <c r="C513" s="26"/>
      <c r="D513" s="15"/>
      <c r="E513" s="15"/>
      <c r="F513" s="3"/>
      <c r="G513" s="26"/>
      <c r="H513" s="15"/>
      <c r="I513" s="26"/>
      <c r="J513" s="15"/>
      <c r="K513" s="26"/>
      <c r="L513" s="15"/>
      <c r="M513" s="26"/>
      <c r="N513" s="26"/>
      <c r="O513" s="26"/>
      <c r="P513" s="26"/>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row>
    <row r="514" spans="1:40" ht="12.75">
      <c r="A514" s="15"/>
      <c r="B514" s="15"/>
      <c r="C514" s="26"/>
      <c r="D514" s="15"/>
      <c r="E514" s="15"/>
      <c r="F514" s="3"/>
      <c r="G514" s="26"/>
      <c r="H514" s="15"/>
      <c r="I514" s="26"/>
      <c r="J514" s="15"/>
      <c r="K514" s="26"/>
      <c r="L514" s="15"/>
      <c r="M514" s="26"/>
      <c r="N514" s="26"/>
      <c r="O514" s="26"/>
      <c r="P514" s="26"/>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row>
    <row r="515" spans="1:40" ht="12.75">
      <c r="A515" s="15"/>
      <c r="B515" s="15"/>
      <c r="C515" s="26"/>
      <c r="D515" s="15"/>
      <c r="E515" s="15"/>
      <c r="F515" s="3"/>
      <c r="G515" s="26"/>
      <c r="H515" s="15"/>
      <c r="I515" s="26"/>
      <c r="J515" s="15"/>
      <c r="K515" s="26"/>
      <c r="L515" s="15"/>
      <c r="M515" s="26"/>
      <c r="N515" s="26"/>
      <c r="O515" s="26"/>
      <c r="P515" s="26"/>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row>
    <row r="516" spans="1:40" ht="12.75">
      <c r="A516" s="15"/>
      <c r="B516" s="15"/>
      <c r="C516" s="26"/>
      <c r="D516" s="15"/>
      <c r="E516" s="15"/>
      <c r="F516" s="3"/>
      <c r="G516" s="26"/>
      <c r="H516" s="15"/>
      <c r="I516" s="26"/>
      <c r="J516" s="15"/>
      <c r="K516" s="26"/>
      <c r="L516" s="15"/>
      <c r="M516" s="26"/>
      <c r="N516" s="26"/>
      <c r="O516" s="26"/>
      <c r="P516" s="26"/>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row>
    <row r="517" spans="1:40" ht="12.75">
      <c r="A517" s="15"/>
      <c r="B517" s="15"/>
      <c r="C517" s="26"/>
      <c r="D517" s="15"/>
      <c r="E517" s="15"/>
      <c r="F517" s="3"/>
      <c r="G517" s="26"/>
      <c r="H517" s="15"/>
      <c r="I517" s="26"/>
      <c r="J517" s="15"/>
      <c r="K517" s="26"/>
      <c r="L517" s="15"/>
      <c r="M517" s="26"/>
      <c r="N517" s="26"/>
      <c r="O517" s="26"/>
      <c r="P517" s="26"/>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row>
    <row r="518" spans="1:40" ht="12.75">
      <c r="A518" s="15"/>
      <c r="B518" s="15"/>
      <c r="C518" s="26"/>
      <c r="D518" s="15"/>
      <c r="E518" s="15"/>
      <c r="F518" s="3"/>
      <c r="G518" s="26"/>
      <c r="H518" s="15"/>
      <c r="I518" s="26"/>
      <c r="J518" s="15"/>
      <c r="K518" s="26"/>
      <c r="L518" s="15"/>
      <c r="M518" s="26"/>
      <c r="N518" s="26"/>
      <c r="O518" s="26"/>
      <c r="P518" s="26"/>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row>
    <row r="519" spans="1:40" ht="12.75">
      <c r="A519" s="15"/>
      <c r="B519" s="15"/>
      <c r="C519" s="26"/>
      <c r="D519" s="15"/>
      <c r="E519" s="15"/>
      <c r="F519" s="3"/>
      <c r="G519" s="26"/>
      <c r="H519" s="15"/>
      <c r="I519" s="26"/>
      <c r="J519" s="15"/>
      <c r="K519" s="26"/>
      <c r="L519" s="15"/>
      <c r="M519" s="26"/>
      <c r="N519" s="26"/>
      <c r="O519" s="26"/>
      <c r="P519" s="26"/>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row>
    <row r="520" spans="1:40" ht="12.75">
      <c r="A520" s="15"/>
      <c r="B520" s="15"/>
      <c r="C520" s="26"/>
      <c r="D520" s="15"/>
      <c r="E520" s="15"/>
      <c r="F520" s="3"/>
      <c r="G520" s="26"/>
      <c r="H520" s="15"/>
      <c r="I520" s="26"/>
      <c r="J520" s="15"/>
      <c r="K520" s="26"/>
      <c r="L520" s="15"/>
      <c r="M520" s="26"/>
      <c r="N520" s="26"/>
      <c r="O520" s="26"/>
      <c r="P520" s="26"/>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row>
    <row r="521" spans="1:40" ht="12.75">
      <c r="A521" s="15"/>
      <c r="B521" s="15"/>
      <c r="C521" s="26"/>
      <c r="D521" s="15"/>
      <c r="E521" s="15"/>
      <c r="F521" s="3"/>
      <c r="G521" s="26"/>
      <c r="H521" s="15"/>
      <c r="I521" s="26"/>
      <c r="J521" s="15"/>
      <c r="K521" s="26"/>
      <c r="L521" s="15"/>
      <c r="M521" s="26"/>
      <c r="N521" s="26"/>
      <c r="O521" s="26"/>
      <c r="P521" s="26"/>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row>
    <row r="522" spans="1:40" ht="12.75">
      <c r="A522" s="15"/>
      <c r="B522" s="15"/>
      <c r="C522" s="26"/>
      <c r="D522" s="15"/>
      <c r="E522" s="15"/>
      <c r="F522" s="3"/>
      <c r="G522" s="26"/>
      <c r="H522" s="15"/>
      <c r="I522" s="26"/>
      <c r="J522" s="15"/>
      <c r="K522" s="26"/>
      <c r="L522" s="15"/>
      <c r="M522" s="26"/>
      <c r="N522" s="26"/>
      <c r="O522" s="26"/>
      <c r="P522" s="26"/>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row>
    <row r="523" spans="1:40" ht="12.75">
      <c r="A523" s="15"/>
      <c r="B523" s="15"/>
      <c r="C523" s="26"/>
      <c r="D523" s="15"/>
      <c r="E523" s="15"/>
      <c r="F523" s="3"/>
      <c r="G523" s="26"/>
      <c r="H523" s="15"/>
      <c r="I523" s="26"/>
      <c r="J523" s="15"/>
      <c r="K523" s="26"/>
      <c r="L523" s="15"/>
      <c r="M523" s="26"/>
      <c r="N523" s="26"/>
      <c r="O523" s="26"/>
      <c r="P523" s="26"/>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row>
    <row r="524" spans="1:40" ht="12.75">
      <c r="A524" s="15"/>
      <c r="B524" s="15"/>
      <c r="C524" s="26"/>
      <c r="D524" s="15"/>
      <c r="E524" s="15"/>
      <c r="F524" s="3"/>
      <c r="G524" s="26"/>
      <c r="H524" s="15"/>
      <c r="I524" s="26"/>
      <c r="J524" s="15"/>
      <c r="K524" s="26"/>
      <c r="L524" s="15"/>
      <c r="M524" s="26"/>
      <c r="N524" s="26"/>
      <c r="O524" s="26"/>
      <c r="P524" s="26"/>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row>
    <row r="525" spans="1:40" ht="12.75">
      <c r="A525" s="15"/>
      <c r="B525" s="15"/>
      <c r="C525" s="26"/>
      <c r="D525" s="15"/>
      <c r="E525" s="15"/>
      <c r="F525" s="3"/>
      <c r="G525" s="26"/>
      <c r="H525" s="15"/>
      <c r="I525" s="26"/>
      <c r="J525" s="15"/>
      <c r="K525" s="26"/>
      <c r="L525" s="15"/>
      <c r="M525" s="26"/>
      <c r="N525" s="26"/>
      <c r="O525" s="26"/>
      <c r="P525" s="26"/>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row>
    <row r="526" spans="1:40" ht="12.75">
      <c r="A526" s="15"/>
      <c r="B526" s="15"/>
      <c r="C526" s="26"/>
      <c r="D526" s="15"/>
      <c r="E526" s="15"/>
      <c r="F526" s="3"/>
      <c r="G526" s="26"/>
      <c r="H526" s="15"/>
      <c r="I526" s="26"/>
      <c r="J526" s="15"/>
      <c r="K526" s="26"/>
      <c r="L526" s="15"/>
      <c r="M526" s="26"/>
      <c r="N526" s="26"/>
      <c r="O526" s="26"/>
      <c r="P526" s="26"/>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row>
    <row r="527" spans="1:40" ht="12.75">
      <c r="A527" s="15"/>
      <c r="B527" s="15"/>
      <c r="C527" s="26"/>
      <c r="D527" s="15"/>
      <c r="E527" s="15"/>
      <c r="F527" s="3"/>
      <c r="G527" s="26"/>
      <c r="H527" s="15"/>
      <c r="I527" s="26"/>
      <c r="J527" s="15"/>
      <c r="K527" s="26"/>
      <c r="L527" s="15"/>
      <c r="M527" s="26"/>
      <c r="N527" s="26"/>
      <c r="O527" s="26"/>
      <c r="P527" s="26"/>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row>
    <row r="528" spans="1:40" ht="12.75">
      <c r="A528" s="15"/>
      <c r="B528" s="15"/>
      <c r="C528" s="26"/>
      <c r="D528" s="15"/>
      <c r="E528" s="15"/>
      <c r="F528" s="3"/>
      <c r="G528" s="26"/>
      <c r="H528" s="15"/>
      <c r="I528" s="26"/>
      <c r="J528" s="15"/>
      <c r="K528" s="26"/>
      <c r="L528" s="15"/>
      <c r="M528" s="26"/>
      <c r="N528" s="26"/>
      <c r="O528" s="26"/>
      <c r="P528" s="26"/>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row>
    <row r="529" spans="1:40" ht="12.75">
      <c r="A529" s="15"/>
      <c r="B529" s="15"/>
      <c r="C529" s="26"/>
      <c r="D529" s="15"/>
      <c r="E529" s="15"/>
      <c r="F529" s="3"/>
      <c r="G529" s="26"/>
      <c r="H529" s="15"/>
      <c r="I529" s="26"/>
      <c r="J529" s="15"/>
      <c r="K529" s="26"/>
      <c r="L529" s="15"/>
      <c r="M529" s="26"/>
      <c r="N529" s="26"/>
      <c r="O529" s="26"/>
      <c r="P529" s="26"/>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row>
    <row r="530" spans="1:40" ht="12.75">
      <c r="A530" s="15"/>
      <c r="B530" s="15"/>
      <c r="C530" s="26"/>
      <c r="D530" s="15"/>
      <c r="E530" s="15"/>
      <c r="F530" s="3"/>
      <c r="G530" s="26"/>
      <c r="H530" s="15"/>
      <c r="I530" s="26"/>
      <c r="J530" s="15"/>
      <c r="K530" s="26"/>
      <c r="L530" s="15"/>
      <c r="M530" s="26"/>
      <c r="N530" s="26"/>
      <c r="O530" s="26"/>
      <c r="P530" s="26"/>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row>
    <row r="531" spans="1:40" ht="12.75">
      <c r="A531" s="15"/>
      <c r="B531" s="15"/>
      <c r="C531" s="26"/>
      <c r="D531" s="15"/>
      <c r="E531" s="15"/>
      <c r="F531" s="3"/>
      <c r="G531" s="26"/>
      <c r="H531" s="15"/>
      <c r="I531" s="26"/>
      <c r="J531" s="15"/>
      <c r="K531" s="26"/>
      <c r="L531" s="15"/>
      <c r="M531" s="26"/>
      <c r="N531" s="26"/>
      <c r="O531" s="26"/>
      <c r="P531" s="26"/>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row>
    <row r="532" spans="1:40" ht="12.75">
      <c r="A532" s="15"/>
      <c r="B532" s="15"/>
      <c r="C532" s="26"/>
      <c r="D532" s="15"/>
      <c r="E532" s="15"/>
      <c r="F532" s="3"/>
      <c r="G532" s="26"/>
      <c r="H532" s="15"/>
      <c r="I532" s="26"/>
      <c r="J532" s="15"/>
      <c r="K532" s="26"/>
      <c r="L532" s="15"/>
      <c r="M532" s="26"/>
      <c r="N532" s="26"/>
      <c r="O532" s="26"/>
      <c r="P532" s="26"/>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row>
    <row r="533" spans="1:40" ht="12.75">
      <c r="A533" s="15"/>
      <c r="B533" s="15"/>
      <c r="C533" s="26"/>
      <c r="D533" s="15"/>
      <c r="E533" s="15"/>
      <c r="F533" s="3"/>
      <c r="G533" s="26"/>
      <c r="H533" s="15"/>
      <c r="I533" s="26"/>
      <c r="J533" s="15"/>
      <c r="K533" s="26"/>
      <c r="L533" s="15"/>
      <c r="M533" s="26"/>
      <c r="N533" s="26"/>
      <c r="O533" s="26"/>
      <c r="P533" s="26"/>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row>
    <row r="534" spans="1:40" ht="12.75">
      <c r="A534" s="15"/>
      <c r="B534" s="15"/>
      <c r="C534" s="26"/>
      <c r="D534" s="15"/>
      <c r="E534" s="15"/>
      <c r="F534" s="3"/>
      <c r="G534" s="26"/>
      <c r="H534" s="15"/>
      <c r="I534" s="26"/>
      <c r="J534" s="15"/>
      <c r="K534" s="26"/>
      <c r="L534" s="15"/>
      <c r="M534" s="26"/>
      <c r="N534" s="26"/>
      <c r="O534" s="26"/>
      <c r="P534" s="26"/>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row>
    <row r="535" spans="1:40" ht="12.75">
      <c r="A535" s="15"/>
      <c r="B535" s="15"/>
      <c r="C535" s="26"/>
      <c r="D535" s="15"/>
      <c r="E535" s="15"/>
      <c r="F535" s="3"/>
      <c r="G535" s="26"/>
      <c r="H535" s="15"/>
      <c r="I535" s="26"/>
      <c r="J535" s="15"/>
      <c r="K535" s="26"/>
      <c r="L535" s="15"/>
      <c r="M535" s="26"/>
      <c r="N535" s="26"/>
      <c r="O535" s="26"/>
      <c r="P535" s="26"/>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row>
    <row r="536" spans="1:40" ht="12.75">
      <c r="A536" s="15"/>
      <c r="B536" s="15"/>
      <c r="C536" s="26"/>
      <c r="D536" s="15"/>
      <c r="E536" s="15"/>
      <c r="F536" s="3"/>
      <c r="G536" s="26"/>
      <c r="H536" s="15"/>
      <c r="I536" s="26"/>
      <c r="J536" s="15"/>
      <c r="K536" s="26"/>
      <c r="L536" s="15"/>
      <c r="M536" s="26"/>
      <c r="N536" s="26"/>
      <c r="O536" s="26"/>
      <c r="P536" s="26"/>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row>
    <row r="537" spans="1:40" ht="12.75">
      <c r="A537" s="15"/>
      <c r="B537" s="15"/>
      <c r="C537" s="26"/>
      <c r="D537" s="15"/>
      <c r="E537" s="15"/>
      <c r="F537" s="3"/>
      <c r="G537" s="26"/>
      <c r="H537" s="15"/>
      <c r="I537" s="26"/>
      <c r="J537" s="15"/>
      <c r="K537" s="26"/>
      <c r="L537" s="15"/>
      <c r="M537" s="26"/>
      <c r="N537" s="26"/>
      <c r="O537" s="26"/>
      <c r="P537" s="26"/>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row>
    <row r="538" spans="1:40" ht="12.75">
      <c r="A538" s="15"/>
      <c r="B538" s="15"/>
      <c r="C538" s="26"/>
      <c r="D538" s="15"/>
      <c r="E538" s="15"/>
      <c r="F538" s="3"/>
      <c r="G538" s="26"/>
      <c r="H538" s="15"/>
      <c r="I538" s="26"/>
      <c r="J538" s="15"/>
      <c r="K538" s="26"/>
      <c r="L538" s="15"/>
      <c r="M538" s="26"/>
      <c r="N538" s="26"/>
      <c r="O538" s="26"/>
      <c r="P538" s="26"/>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row>
    <row r="539" spans="1:40" ht="12.75">
      <c r="A539" s="15"/>
      <c r="B539" s="15"/>
      <c r="C539" s="26"/>
      <c r="D539" s="15"/>
      <c r="E539" s="15"/>
      <c r="F539" s="3"/>
      <c r="G539" s="26"/>
      <c r="H539" s="15"/>
      <c r="I539" s="26"/>
      <c r="J539" s="15"/>
      <c r="K539" s="26"/>
      <c r="L539" s="15"/>
      <c r="M539" s="26"/>
      <c r="N539" s="26"/>
      <c r="O539" s="26"/>
      <c r="P539" s="26"/>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row>
    <row r="540" spans="1:40" ht="12.75">
      <c r="A540" s="15"/>
      <c r="B540" s="15"/>
      <c r="C540" s="26"/>
      <c r="D540" s="15"/>
      <c r="E540" s="15"/>
      <c r="F540" s="3"/>
      <c r="G540" s="26"/>
      <c r="H540" s="15"/>
      <c r="I540" s="26"/>
      <c r="J540" s="15"/>
      <c r="K540" s="26"/>
      <c r="L540" s="15"/>
      <c r="M540" s="26"/>
      <c r="N540" s="26"/>
      <c r="O540" s="26"/>
      <c r="P540" s="26"/>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row>
    <row r="541" spans="1:40" ht="12.75">
      <c r="A541" s="15"/>
      <c r="B541" s="15"/>
      <c r="C541" s="26"/>
      <c r="D541" s="15"/>
      <c r="E541" s="15"/>
      <c r="F541" s="3"/>
      <c r="G541" s="26"/>
      <c r="H541" s="15"/>
      <c r="I541" s="26"/>
      <c r="J541" s="15"/>
      <c r="K541" s="26"/>
      <c r="L541" s="15"/>
      <c r="M541" s="26"/>
      <c r="N541" s="26"/>
      <c r="O541" s="26"/>
      <c r="P541" s="26"/>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row>
    <row r="542" spans="1:40" ht="12.75">
      <c r="A542" s="15"/>
      <c r="B542" s="15"/>
      <c r="C542" s="26"/>
      <c r="D542" s="15"/>
      <c r="E542" s="15"/>
      <c r="F542" s="3"/>
      <c r="G542" s="26"/>
      <c r="H542" s="15"/>
      <c r="I542" s="26"/>
      <c r="J542" s="15"/>
      <c r="K542" s="26"/>
      <c r="L542" s="15"/>
      <c r="M542" s="26"/>
      <c r="N542" s="26"/>
      <c r="O542" s="26"/>
      <c r="P542" s="26"/>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row>
    <row r="543" spans="1:40" ht="12.75">
      <c r="A543" s="15"/>
      <c r="B543" s="15"/>
      <c r="C543" s="26"/>
      <c r="D543" s="15"/>
      <c r="E543" s="15"/>
      <c r="F543" s="3"/>
      <c r="G543" s="26"/>
      <c r="H543" s="15"/>
      <c r="I543" s="26"/>
      <c r="J543" s="15"/>
      <c r="K543" s="26"/>
      <c r="L543" s="15"/>
      <c r="M543" s="26"/>
      <c r="N543" s="26"/>
      <c r="O543" s="26"/>
      <c r="P543" s="26"/>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row>
    <row r="544" spans="1:40" ht="12.75">
      <c r="A544" s="15"/>
      <c r="B544" s="15"/>
      <c r="C544" s="26"/>
      <c r="D544" s="15"/>
      <c r="E544" s="15"/>
      <c r="F544" s="3"/>
      <c r="G544" s="26"/>
      <c r="H544" s="15"/>
      <c r="I544" s="26"/>
      <c r="J544" s="15"/>
      <c r="K544" s="26"/>
      <c r="L544" s="15"/>
      <c r="M544" s="26"/>
      <c r="N544" s="26"/>
      <c r="O544" s="26"/>
      <c r="P544" s="26"/>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row>
    <row r="545" spans="1:40" ht="12.75">
      <c r="A545" s="15"/>
      <c r="B545" s="15"/>
      <c r="C545" s="26"/>
      <c r="D545" s="15"/>
      <c r="E545" s="15"/>
      <c r="F545" s="3"/>
      <c r="G545" s="26"/>
      <c r="H545" s="15"/>
      <c r="I545" s="26"/>
      <c r="J545" s="15"/>
      <c r="K545" s="26"/>
      <c r="L545" s="15"/>
      <c r="M545" s="26"/>
      <c r="N545" s="26"/>
      <c r="O545" s="26"/>
      <c r="P545" s="26"/>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row>
    <row r="546" spans="1:40" ht="12.75">
      <c r="A546" s="15"/>
      <c r="B546" s="15"/>
      <c r="C546" s="26"/>
      <c r="D546" s="15"/>
      <c r="E546" s="15"/>
      <c r="F546" s="3"/>
      <c r="G546" s="26"/>
      <c r="H546" s="15"/>
      <c r="I546" s="26"/>
      <c r="J546" s="15"/>
      <c r="K546" s="26"/>
      <c r="L546" s="15"/>
      <c r="M546" s="26"/>
      <c r="N546" s="26"/>
      <c r="O546" s="26"/>
      <c r="P546" s="26"/>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row>
    <row r="547" spans="1:40" ht="12.75">
      <c r="A547" s="15"/>
      <c r="B547" s="15"/>
      <c r="C547" s="26"/>
      <c r="D547" s="15"/>
      <c r="E547" s="15"/>
      <c r="F547" s="3"/>
      <c r="G547" s="26"/>
      <c r="H547" s="15"/>
      <c r="I547" s="26"/>
      <c r="J547" s="15"/>
      <c r="K547" s="26"/>
      <c r="L547" s="15"/>
      <c r="M547" s="26"/>
      <c r="N547" s="26"/>
      <c r="O547" s="26"/>
      <c r="P547" s="26"/>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row>
    <row r="548" spans="1:40" ht="12.75">
      <c r="A548" s="15"/>
      <c r="B548" s="15"/>
      <c r="C548" s="26"/>
      <c r="D548" s="15"/>
      <c r="E548" s="15"/>
      <c r="F548" s="3"/>
      <c r="G548" s="26"/>
      <c r="H548" s="15"/>
      <c r="I548" s="26"/>
      <c r="J548" s="15"/>
      <c r="K548" s="26"/>
      <c r="L548" s="15"/>
      <c r="M548" s="26"/>
      <c r="N548" s="26"/>
      <c r="O548" s="26"/>
      <c r="P548" s="26"/>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row>
    <row r="549" spans="1:40" ht="12.75">
      <c r="A549" s="15"/>
      <c r="B549" s="15"/>
      <c r="C549" s="26"/>
      <c r="D549" s="15"/>
      <c r="E549" s="15"/>
      <c r="F549" s="3"/>
      <c r="G549" s="26"/>
      <c r="H549" s="15"/>
      <c r="I549" s="26"/>
      <c r="J549" s="15"/>
      <c r="K549" s="26"/>
      <c r="L549" s="15"/>
      <c r="M549" s="26"/>
      <c r="N549" s="26"/>
      <c r="O549" s="26"/>
      <c r="P549" s="26"/>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row>
    <row r="550" spans="1:40" ht="12.75">
      <c r="A550" s="15"/>
      <c r="B550" s="15"/>
      <c r="C550" s="26"/>
      <c r="D550" s="15"/>
      <c r="E550" s="15"/>
      <c r="F550" s="3"/>
      <c r="G550" s="26"/>
      <c r="H550" s="15"/>
      <c r="I550" s="26"/>
      <c r="J550" s="15"/>
      <c r="K550" s="26"/>
      <c r="L550" s="15"/>
      <c r="M550" s="26"/>
      <c r="N550" s="26"/>
      <c r="O550" s="26"/>
      <c r="P550" s="26"/>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row>
    <row r="551" spans="1:40" ht="12.75">
      <c r="A551" s="15"/>
      <c r="B551" s="15"/>
      <c r="C551" s="26"/>
      <c r="D551" s="15"/>
      <c r="E551" s="15"/>
      <c r="F551" s="3"/>
      <c r="G551" s="26"/>
      <c r="H551" s="15"/>
      <c r="I551" s="26"/>
      <c r="J551" s="15"/>
      <c r="K551" s="26"/>
      <c r="L551" s="15"/>
      <c r="M551" s="26"/>
      <c r="N551" s="26"/>
      <c r="O551" s="26"/>
      <c r="P551" s="26"/>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row>
    <row r="552" spans="1:40" ht="12.75">
      <c r="A552" s="15"/>
      <c r="B552" s="15"/>
      <c r="C552" s="26"/>
      <c r="D552" s="15"/>
      <c r="E552" s="15"/>
      <c r="F552" s="3"/>
      <c r="G552" s="26"/>
      <c r="H552" s="15"/>
      <c r="I552" s="26"/>
      <c r="J552" s="15"/>
      <c r="K552" s="26"/>
      <c r="L552" s="15"/>
      <c r="M552" s="26"/>
      <c r="N552" s="26"/>
      <c r="O552" s="26"/>
      <c r="P552" s="26"/>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row>
    <row r="553" spans="1:40" ht="12.75">
      <c r="A553" s="15"/>
      <c r="B553" s="15"/>
      <c r="C553" s="26"/>
      <c r="D553" s="15"/>
      <c r="E553" s="15"/>
      <c r="F553" s="3"/>
      <c r="G553" s="26"/>
      <c r="H553" s="15"/>
      <c r="I553" s="26"/>
      <c r="J553" s="15"/>
      <c r="K553" s="26"/>
      <c r="L553" s="15"/>
      <c r="M553" s="26"/>
      <c r="N553" s="26"/>
      <c r="O553" s="26"/>
      <c r="P553" s="26"/>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row>
    <row r="554" spans="1:40" ht="12.75">
      <c r="A554" s="15"/>
      <c r="B554" s="15"/>
      <c r="C554" s="26"/>
      <c r="D554" s="15"/>
      <c r="E554" s="15"/>
      <c r="F554" s="3"/>
      <c r="G554" s="26"/>
      <c r="H554" s="15"/>
      <c r="I554" s="26"/>
      <c r="J554" s="15"/>
      <c r="K554" s="26"/>
      <c r="L554" s="15"/>
      <c r="M554" s="26"/>
      <c r="N554" s="26"/>
      <c r="O554" s="26"/>
      <c r="P554" s="26"/>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row>
    <row r="555" spans="1:40" ht="12.75">
      <c r="A555" s="15"/>
      <c r="B555" s="15"/>
      <c r="C555" s="26"/>
      <c r="D555" s="15"/>
      <c r="E555" s="15"/>
      <c r="F555" s="3"/>
      <c r="G555" s="26"/>
      <c r="H555" s="15"/>
      <c r="I555" s="26"/>
      <c r="J555" s="15"/>
      <c r="K555" s="26"/>
      <c r="L555" s="15"/>
      <c r="M555" s="26"/>
      <c r="N555" s="26"/>
      <c r="O555" s="26"/>
      <c r="P555" s="26"/>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row>
    <row r="556" spans="1:40" ht="12.75">
      <c r="A556" s="15"/>
      <c r="B556" s="15"/>
      <c r="C556" s="26"/>
      <c r="D556" s="15"/>
      <c r="E556" s="15"/>
      <c r="F556" s="3"/>
      <c r="G556" s="26"/>
      <c r="H556" s="15"/>
      <c r="I556" s="26"/>
      <c r="J556" s="15"/>
      <c r="K556" s="26"/>
      <c r="L556" s="15"/>
      <c r="M556" s="26"/>
      <c r="N556" s="26"/>
      <c r="O556" s="26"/>
      <c r="P556" s="26"/>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row>
    <row r="557" spans="1:40" ht="12.75">
      <c r="A557" s="15"/>
      <c r="B557" s="15"/>
      <c r="C557" s="26"/>
      <c r="D557" s="15"/>
      <c r="E557" s="15"/>
      <c r="F557" s="3"/>
      <c r="G557" s="26"/>
      <c r="H557" s="15"/>
      <c r="I557" s="26"/>
      <c r="J557" s="15"/>
      <c r="K557" s="26"/>
      <c r="L557" s="15"/>
      <c r="M557" s="26"/>
      <c r="N557" s="26"/>
      <c r="O557" s="26"/>
      <c r="P557" s="26"/>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row>
    <row r="558" spans="1:40" ht="12.75">
      <c r="A558" s="15"/>
      <c r="B558" s="15"/>
      <c r="C558" s="26"/>
      <c r="D558" s="15"/>
      <c r="E558" s="15"/>
      <c r="F558" s="3"/>
      <c r="G558" s="26"/>
      <c r="H558" s="15"/>
      <c r="I558" s="26"/>
      <c r="J558" s="15"/>
      <c r="K558" s="26"/>
      <c r="L558" s="15"/>
      <c r="M558" s="26"/>
      <c r="N558" s="26"/>
      <c r="O558" s="26"/>
      <c r="P558" s="26"/>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row>
    <row r="559" spans="1:40" ht="12.75">
      <c r="A559" s="15"/>
      <c r="B559" s="15"/>
      <c r="C559" s="26"/>
      <c r="D559" s="15"/>
      <c r="E559" s="15"/>
      <c r="F559" s="3"/>
      <c r="G559" s="26"/>
      <c r="H559" s="15"/>
      <c r="I559" s="26"/>
      <c r="J559" s="15"/>
      <c r="K559" s="26"/>
      <c r="L559" s="15"/>
      <c r="M559" s="26"/>
      <c r="N559" s="26"/>
      <c r="O559" s="26"/>
      <c r="P559" s="26"/>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row>
    <row r="560" spans="1:40" ht="12.75">
      <c r="A560" s="15"/>
      <c r="B560" s="15"/>
      <c r="C560" s="26"/>
      <c r="D560" s="15"/>
      <c r="E560" s="15"/>
      <c r="F560" s="3"/>
      <c r="G560" s="26"/>
      <c r="H560" s="15"/>
      <c r="I560" s="26"/>
      <c r="J560" s="15"/>
      <c r="K560" s="26"/>
      <c r="L560" s="15"/>
      <c r="M560" s="26"/>
      <c r="N560" s="26"/>
      <c r="O560" s="26"/>
      <c r="P560" s="26"/>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row>
    <row r="561" spans="1:40" ht="12.75">
      <c r="A561" s="15"/>
      <c r="B561" s="15"/>
      <c r="C561" s="26"/>
      <c r="D561" s="15"/>
      <c r="E561" s="15"/>
      <c r="F561" s="3"/>
      <c r="G561" s="26"/>
      <c r="H561" s="15"/>
      <c r="I561" s="26"/>
      <c r="J561" s="15"/>
      <c r="K561" s="26"/>
      <c r="L561" s="15"/>
      <c r="M561" s="26"/>
      <c r="N561" s="26"/>
      <c r="O561" s="26"/>
      <c r="P561" s="26"/>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row>
    <row r="562" spans="1:40" ht="12.75">
      <c r="A562" s="15"/>
      <c r="B562" s="15"/>
      <c r="C562" s="26"/>
      <c r="D562" s="15"/>
      <c r="E562" s="15"/>
      <c r="F562" s="3"/>
      <c r="G562" s="26"/>
      <c r="H562" s="15"/>
      <c r="I562" s="26"/>
      <c r="J562" s="15"/>
      <c r="K562" s="26"/>
      <c r="L562" s="15"/>
      <c r="M562" s="26"/>
      <c r="N562" s="26"/>
      <c r="O562" s="26"/>
      <c r="P562" s="26"/>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row>
    <row r="563" spans="1:40" ht="12.75">
      <c r="A563" s="15"/>
      <c r="B563" s="15"/>
      <c r="C563" s="26"/>
      <c r="D563" s="15"/>
      <c r="E563" s="15"/>
      <c r="F563" s="3"/>
      <c r="G563" s="26"/>
      <c r="H563" s="15"/>
      <c r="I563" s="26"/>
      <c r="J563" s="15"/>
      <c r="K563" s="26"/>
      <c r="L563" s="15"/>
      <c r="M563" s="26"/>
      <c r="N563" s="26"/>
      <c r="O563" s="26"/>
      <c r="P563" s="26"/>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row>
    <row r="564" spans="1:40" ht="12.75">
      <c r="A564" s="15"/>
      <c r="B564" s="15"/>
      <c r="C564" s="26"/>
      <c r="D564" s="15"/>
      <c r="E564" s="15"/>
      <c r="F564" s="3"/>
      <c r="G564" s="26"/>
      <c r="H564" s="15"/>
      <c r="I564" s="26"/>
      <c r="J564" s="15"/>
      <c r="K564" s="26"/>
      <c r="L564" s="15"/>
      <c r="M564" s="26"/>
      <c r="N564" s="26"/>
      <c r="O564" s="26"/>
      <c r="P564" s="26"/>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row>
    <row r="565" spans="1:40" ht="12.75">
      <c r="A565" s="15"/>
      <c r="B565" s="15"/>
      <c r="C565" s="26"/>
      <c r="D565" s="15"/>
      <c r="E565" s="15"/>
      <c r="F565" s="3"/>
      <c r="G565" s="26"/>
      <c r="H565" s="15"/>
      <c r="I565" s="26"/>
      <c r="J565" s="15"/>
      <c r="K565" s="26"/>
      <c r="L565" s="15"/>
      <c r="M565" s="26"/>
      <c r="N565" s="26"/>
      <c r="O565" s="26"/>
      <c r="P565" s="26"/>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row>
    <row r="566" spans="1:40" ht="12.75">
      <c r="A566" s="15"/>
      <c r="B566" s="15"/>
      <c r="C566" s="26"/>
      <c r="D566" s="15"/>
      <c r="E566" s="15"/>
      <c r="F566" s="3"/>
      <c r="G566" s="26"/>
      <c r="H566" s="15"/>
      <c r="I566" s="26"/>
      <c r="J566" s="15"/>
      <c r="K566" s="26"/>
      <c r="L566" s="15"/>
      <c r="M566" s="26"/>
      <c r="N566" s="26"/>
      <c r="O566" s="26"/>
      <c r="P566" s="26"/>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row>
    <row r="567" spans="1:40" ht="12.75">
      <c r="A567" s="15"/>
      <c r="B567" s="15"/>
      <c r="C567" s="26"/>
      <c r="D567" s="15"/>
      <c r="E567" s="15"/>
      <c r="F567" s="3"/>
      <c r="G567" s="26"/>
      <c r="H567" s="15"/>
      <c r="I567" s="26"/>
      <c r="J567" s="15"/>
      <c r="K567" s="26"/>
      <c r="L567" s="15"/>
      <c r="M567" s="26"/>
      <c r="N567" s="26"/>
      <c r="O567" s="26"/>
      <c r="P567" s="26"/>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row>
    <row r="568" spans="1:40" ht="12.75">
      <c r="A568" s="15"/>
      <c r="B568" s="15"/>
      <c r="C568" s="26"/>
      <c r="D568" s="15"/>
      <c r="E568" s="15"/>
      <c r="F568" s="3"/>
      <c r="G568" s="26"/>
      <c r="H568" s="15"/>
      <c r="I568" s="26"/>
      <c r="J568" s="15"/>
      <c r="K568" s="26"/>
      <c r="L568" s="15"/>
      <c r="M568" s="26"/>
      <c r="N568" s="26"/>
      <c r="O568" s="26"/>
      <c r="P568" s="26"/>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row>
    <row r="569" spans="1:40" ht="12.75">
      <c r="A569" s="15"/>
      <c r="B569" s="15"/>
      <c r="C569" s="26"/>
      <c r="D569" s="15"/>
      <c r="E569" s="15"/>
      <c r="F569" s="3"/>
      <c r="G569" s="26"/>
      <c r="H569" s="15"/>
      <c r="I569" s="26"/>
      <c r="J569" s="15"/>
      <c r="K569" s="26"/>
      <c r="L569" s="15"/>
      <c r="M569" s="26"/>
      <c r="N569" s="26"/>
      <c r="O569" s="26"/>
      <c r="P569" s="26"/>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row>
    <row r="570" spans="1:40" ht="12.75">
      <c r="A570" s="15"/>
      <c r="B570" s="15"/>
      <c r="C570" s="26"/>
      <c r="D570" s="15"/>
      <c r="E570" s="15"/>
      <c r="F570" s="3"/>
      <c r="G570" s="26"/>
      <c r="H570" s="15"/>
      <c r="I570" s="26"/>
      <c r="J570" s="15"/>
      <c r="K570" s="26"/>
      <c r="L570" s="15"/>
      <c r="M570" s="26"/>
      <c r="N570" s="26"/>
      <c r="O570" s="26"/>
      <c r="P570" s="26"/>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row>
    <row r="571" spans="1:40" ht="12.75">
      <c r="A571" s="15"/>
      <c r="B571" s="15"/>
      <c r="C571" s="26"/>
      <c r="D571" s="15"/>
      <c r="E571" s="15"/>
      <c r="F571" s="3"/>
      <c r="G571" s="26"/>
      <c r="H571" s="15"/>
      <c r="I571" s="26"/>
      <c r="J571" s="15"/>
      <c r="K571" s="26"/>
      <c r="L571" s="15"/>
      <c r="M571" s="26"/>
      <c r="N571" s="26"/>
      <c r="O571" s="26"/>
      <c r="P571" s="26"/>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row>
    <row r="572" spans="1:40" ht="12.75">
      <c r="A572" s="15"/>
      <c r="B572" s="15"/>
      <c r="C572" s="26"/>
      <c r="D572" s="15"/>
      <c r="E572" s="15"/>
      <c r="F572" s="3"/>
      <c r="G572" s="26"/>
      <c r="H572" s="15"/>
      <c r="I572" s="26"/>
      <c r="J572" s="15"/>
      <c r="K572" s="26"/>
      <c r="L572" s="15"/>
      <c r="M572" s="26"/>
      <c r="N572" s="26"/>
      <c r="O572" s="26"/>
      <c r="P572" s="26"/>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row>
    <row r="573" spans="1:40" ht="12.75">
      <c r="A573" s="15"/>
      <c r="B573" s="15"/>
      <c r="C573" s="26"/>
      <c r="D573" s="15"/>
      <c r="E573" s="15"/>
      <c r="F573" s="3"/>
      <c r="G573" s="26"/>
      <c r="H573" s="15"/>
      <c r="I573" s="26"/>
      <c r="J573" s="15"/>
      <c r="K573" s="26"/>
      <c r="L573" s="15"/>
      <c r="M573" s="26"/>
      <c r="N573" s="26"/>
      <c r="O573" s="26"/>
      <c r="P573" s="26"/>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row>
    <row r="574" spans="1:40" ht="12.75">
      <c r="A574" s="15"/>
      <c r="B574" s="15"/>
      <c r="C574" s="26"/>
      <c r="D574" s="15"/>
      <c r="E574" s="15"/>
      <c r="F574" s="3"/>
      <c r="G574" s="26"/>
      <c r="H574" s="15"/>
      <c r="I574" s="26"/>
      <c r="J574" s="15"/>
      <c r="K574" s="26"/>
      <c r="L574" s="15"/>
      <c r="M574" s="26"/>
      <c r="N574" s="26"/>
      <c r="O574" s="26"/>
      <c r="P574" s="26"/>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row>
    <row r="575" spans="1:40" ht="12.75">
      <c r="A575" s="15"/>
      <c r="B575" s="15"/>
      <c r="C575" s="26"/>
      <c r="D575" s="15"/>
      <c r="E575" s="15"/>
      <c r="F575" s="3"/>
      <c r="G575" s="26"/>
      <c r="H575" s="15"/>
      <c r="I575" s="26"/>
      <c r="J575" s="15"/>
      <c r="K575" s="26"/>
      <c r="L575" s="15"/>
      <c r="M575" s="26"/>
      <c r="N575" s="26"/>
      <c r="O575" s="26"/>
      <c r="P575" s="26"/>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row>
    <row r="576" spans="1:40" ht="12.75">
      <c r="A576" s="15"/>
      <c r="B576" s="15"/>
      <c r="C576" s="26"/>
      <c r="D576" s="15"/>
      <c r="E576" s="15"/>
      <c r="F576" s="3"/>
      <c r="G576" s="26"/>
      <c r="H576" s="15"/>
      <c r="I576" s="26"/>
      <c r="J576" s="15"/>
      <c r="K576" s="26"/>
      <c r="L576" s="15"/>
      <c r="M576" s="26"/>
      <c r="N576" s="26"/>
      <c r="O576" s="26"/>
      <c r="P576" s="26"/>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row>
    <row r="577" spans="1:40" ht="12.75">
      <c r="A577" s="15"/>
      <c r="B577" s="15"/>
      <c r="C577" s="26"/>
      <c r="D577" s="15"/>
      <c r="E577" s="15"/>
      <c r="F577" s="3"/>
      <c r="G577" s="26"/>
      <c r="H577" s="15"/>
      <c r="I577" s="26"/>
      <c r="J577" s="15"/>
      <c r="K577" s="26"/>
      <c r="L577" s="15"/>
      <c r="M577" s="26"/>
      <c r="N577" s="26"/>
      <c r="O577" s="26"/>
      <c r="P577" s="26"/>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row>
    <row r="578" spans="1:40" ht="12.75">
      <c r="A578" s="15"/>
      <c r="B578" s="15"/>
      <c r="C578" s="26"/>
      <c r="D578" s="15"/>
      <c r="E578" s="15"/>
      <c r="F578" s="3"/>
      <c r="G578" s="26"/>
      <c r="H578" s="15"/>
      <c r="I578" s="26"/>
      <c r="J578" s="15"/>
      <c r="K578" s="26"/>
      <c r="L578" s="15"/>
      <c r="M578" s="26"/>
      <c r="N578" s="26"/>
      <c r="O578" s="26"/>
      <c r="P578" s="26"/>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row>
    <row r="579" spans="1:40" ht="12.75">
      <c r="A579" s="15"/>
      <c r="B579" s="15"/>
      <c r="C579" s="26"/>
      <c r="D579" s="15"/>
      <c r="E579" s="15"/>
      <c r="F579" s="3"/>
      <c r="G579" s="26"/>
      <c r="H579" s="15"/>
      <c r="I579" s="26"/>
      <c r="J579" s="15"/>
      <c r="K579" s="26"/>
      <c r="L579" s="15"/>
      <c r="M579" s="26"/>
      <c r="N579" s="26"/>
      <c r="O579" s="26"/>
      <c r="P579" s="26"/>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row>
    <row r="580" spans="1:40" ht="12.75">
      <c r="A580" s="15"/>
      <c r="B580" s="15"/>
      <c r="C580" s="26"/>
      <c r="D580" s="15"/>
      <c r="E580" s="15"/>
      <c r="F580" s="3"/>
      <c r="G580" s="26"/>
      <c r="H580" s="15"/>
      <c r="I580" s="26"/>
      <c r="J580" s="15"/>
      <c r="K580" s="26"/>
      <c r="L580" s="15"/>
      <c r="M580" s="26"/>
      <c r="N580" s="26"/>
      <c r="O580" s="26"/>
      <c r="P580" s="26"/>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row>
    <row r="581" spans="1:40" ht="12.75">
      <c r="A581" s="15"/>
      <c r="B581" s="15"/>
      <c r="C581" s="26"/>
      <c r="D581" s="15"/>
      <c r="E581" s="15"/>
      <c r="F581" s="3"/>
      <c r="G581" s="26"/>
      <c r="H581" s="15"/>
      <c r="I581" s="26"/>
      <c r="J581" s="15"/>
      <c r="K581" s="26"/>
      <c r="L581" s="15"/>
      <c r="M581" s="26"/>
      <c r="N581" s="26"/>
      <c r="O581" s="26"/>
      <c r="P581" s="26"/>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row>
    <row r="582" spans="1:40" ht="12.75">
      <c r="A582" s="15"/>
      <c r="B582" s="15"/>
      <c r="C582" s="26"/>
      <c r="D582" s="15"/>
      <c r="E582" s="15"/>
      <c r="F582" s="3"/>
      <c r="G582" s="26"/>
      <c r="H582" s="15"/>
      <c r="I582" s="26"/>
      <c r="J582" s="15"/>
      <c r="K582" s="26"/>
      <c r="L582" s="15"/>
      <c r="M582" s="26"/>
      <c r="N582" s="26"/>
      <c r="O582" s="26"/>
      <c r="P582" s="26"/>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row>
    <row r="583" spans="1:40" ht="12.75">
      <c r="A583" s="15"/>
      <c r="B583" s="15"/>
      <c r="C583" s="26"/>
      <c r="D583" s="15"/>
      <c r="E583" s="15"/>
      <c r="F583" s="3"/>
      <c r="G583" s="26"/>
      <c r="H583" s="15"/>
      <c r="I583" s="26"/>
      <c r="J583" s="15"/>
      <c r="K583" s="26"/>
      <c r="L583" s="15"/>
      <c r="M583" s="26"/>
      <c r="N583" s="26"/>
      <c r="O583" s="26"/>
      <c r="P583" s="26"/>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row>
    <row r="584" spans="1:40" ht="12.75">
      <c r="A584" s="15"/>
      <c r="B584" s="15"/>
      <c r="C584" s="26"/>
      <c r="D584" s="15"/>
      <c r="E584" s="15"/>
      <c r="F584" s="3"/>
      <c r="G584" s="26"/>
      <c r="H584" s="15"/>
      <c r="I584" s="26"/>
      <c r="J584" s="15"/>
      <c r="K584" s="26"/>
      <c r="L584" s="15"/>
      <c r="M584" s="26"/>
      <c r="N584" s="26"/>
      <c r="O584" s="26"/>
      <c r="P584" s="26"/>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row>
    <row r="585" spans="1:40" ht="12.75">
      <c r="A585" s="15"/>
      <c r="B585" s="15"/>
      <c r="C585" s="26"/>
      <c r="D585" s="15"/>
      <c r="E585" s="15"/>
      <c r="F585" s="3"/>
      <c r="G585" s="26"/>
      <c r="H585" s="15"/>
      <c r="I585" s="26"/>
      <c r="J585" s="15"/>
      <c r="K585" s="26"/>
      <c r="L585" s="15"/>
      <c r="M585" s="26"/>
      <c r="N585" s="26"/>
      <c r="O585" s="26"/>
      <c r="P585" s="26"/>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row>
    <row r="586" spans="1:40" ht="12.75">
      <c r="A586" s="15"/>
      <c r="B586" s="15"/>
      <c r="C586" s="26"/>
      <c r="D586" s="15"/>
      <c r="E586" s="15"/>
      <c r="F586" s="3"/>
      <c r="G586" s="26"/>
      <c r="H586" s="15"/>
      <c r="I586" s="26"/>
      <c r="J586" s="15"/>
      <c r="K586" s="26"/>
      <c r="L586" s="15"/>
      <c r="M586" s="26"/>
      <c r="N586" s="26"/>
      <c r="O586" s="26"/>
      <c r="P586" s="26"/>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row>
    <row r="587" spans="1:40" ht="12.75">
      <c r="A587" s="15"/>
      <c r="B587" s="15"/>
      <c r="C587" s="26"/>
      <c r="D587" s="15"/>
      <c r="E587" s="15"/>
      <c r="F587" s="3"/>
      <c r="G587" s="26"/>
      <c r="H587" s="15"/>
      <c r="I587" s="26"/>
      <c r="J587" s="15"/>
      <c r="K587" s="26"/>
      <c r="L587" s="15"/>
      <c r="M587" s="26"/>
      <c r="N587" s="26"/>
      <c r="O587" s="26"/>
      <c r="P587" s="26"/>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row>
    <row r="588" spans="1:40" ht="12.75">
      <c r="A588" s="15"/>
      <c r="B588" s="15"/>
      <c r="C588" s="26"/>
      <c r="D588" s="15"/>
      <c r="E588" s="15"/>
      <c r="F588" s="3"/>
      <c r="G588" s="26"/>
      <c r="H588" s="15"/>
      <c r="I588" s="26"/>
      <c r="J588" s="15"/>
      <c r="K588" s="26"/>
      <c r="L588" s="15"/>
      <c r="M588" s="26"/>
      <c r="N588" s="26"/>
      <c r="O588" s="26"/>
      <c r="P588" s="26"/>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row>
    <row r="589" spans="1:40" ht="12.75">
      <c r="A589" s="15"/>
      <c r="B589" s="15"/>
      <c r="C589" s="26"/>
      <c r="D589" s="15"/>
      <c r="E589" s="15"/>
      <c r="F589" s="3"/>
      <c r="G589" s="26"/>
      <c r="H589" s="15"/>
      <c r="I589" s="26"/>
      <c r="J589" s="15"/>
      <c r="K589" s="26"/>
      <c r="L589" s="15"/>
      <c r="M589" s="26"/>
      <c r="N589" s="26"/>
      <c r="O589" s="26"/>
      <c r="P589" s="26"/>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row>
    <row r="590" spans="1:40" ht="12.75">
      <c r="A590" s="15"/>
      <c r="B590" s="15"/>
      <c r="C590" s="26"/>
      <c r="D590" s="15"/>
      <c r="E590" s="15"/>
      <c r="F590" s="3"/>
      <c r="G590" s="26"/>
      <c r="H590" s="15"/>
      <c r="I590" s="26"/>
      <c r="J590" s="15"/>
      <c r="K590" s="26"/>
      <c r="L590" s="15"/>
      <c r="M590" s="26"/>
      <c r="N590" s="26"/>
      <c r="O590" s="26"/>
      <c r="P590" s="26"/>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row>
    <row r="591" spans="1:40" ht="12.75">
      <c r="A591" s="15"/>
      <c r="B591" s="15"/>
      <c r="C591" s="26"/>
      <c r="D591" s="15"/>
      <c r="E591" s="15"/>
      <c r="F591" s="3"/>
      <c r="G591" s="26"/>
      <c r="H591" s="15"/>
      <c r="I591" s="26"/>
      <c r="J591" s="15"/>
      <c r="K591" s="26"/>
      <c r="L591" s="15"/>
      <c r="M591" s="26"/>
      <c r="N591" s="26"/>
      <c r="O591" s="26"/>
      <c r="P591" s="26"/>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row>
    <row r="592" spans="1:40" ht="12.75">
      <c r="A592" s="15"/>
      <c r="B592" s="15"/>
      <c r="C592" s="26"/>
      <c r="D592" s="15"/>
      <c r="E592" s="15"/>
      <c r="F592" s="3"/>
      <c r="G592" s="26"/>
      <c r="H592" s="15"/>
      <c r="I592" s="26"/>
      <c r="J592" s="15"/>
      <c r="K592" s="26"/>
      <c r="L592" s="15"/>
      <c r="M592" s="26"/>
      <c r="N592" s="26"/>
      <c r="O592" s="26"/>
      <c r="P592" s="26"/>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row>
    <row r="593" spans="1:40" ht="12.75">
      <c r="A593" s="15"/>
      <c r="B593" s="15"/>
      <c r="C593" s="26"/>
      <c r="D593" s="15"/>
      <c r="E593" s="15"/>
      <c r="F593" s="3"/>
      <c r="G593" s="26"/>
      <c r="H593" s="15"/>
      <c r="I593" s="26"/>
      <c r="J593" s="15"/>
      <c r="K593" s="26"/>
      <c r="L593" s="15"/>
      <c r="M593" s="26"/>
      <c r="N593" s="26"/>
      <c r="O593" s="26"/>
      <c r="P593" s="26"/>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row>
    <row r="594" spans="1:40" ht="12.75">
      <c r="A594" s="15"/>
      <c r="B594" s="15"/>
      <c r="C594" s="26"/>
      <c r="D594" s="15"/>
      <c r="E594" s="15"/>
      <c r="F594" s="3"/>
      <c r="G594" s="26"/>
      <c r="H594" s="15"/>
      <c r="I594" s="26"/>
      <c r="J594" s="15"/>
      <c r="K594" s="26"/>
      <c r="L594" s="15"/>
      <c r="M594" s="26"/>
      <c r="N594" s="26"/>
      <c r="O594" s="26"/>
      <c r="P594" s="26"/>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row>
    <row r="595" spans="1:40" ht="12.75">
      <c r="A595" s="15"/>
      <c r="B595" s="15"/>
      <c r="C595" s="26"/>
      <c r="D595" s="15"/>
      <c r="E595" s="15"/>
      <c r="F595" s="3"/>
      <c r="G595" s="26"/>
      <c r="H595" s="15"/>
      <c r="I595" s="26"/>
      <c r="J595" s="15"/>
      <c r="K595" s="26"/>
      <c r="L595" s="15"/>
      <c r="M595" s="26"/>
      <c r="N595" s="26"/>
      <c r="O595" s="26"/>
      <c r="P595" s="26"/>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row>
    <row r="596" spans="1:40" ht="12.75">
      <c r="A596" s="15"/>
      <c r="B596" s="15"/>
      <c r="C596" s="26"/>
      <c r="D596" s="15"/>
      <c r="E596" s="15"/>
      <c r="F596" s="3"/>
      <c r="G596" s="26"/>
      <c r="H596" s="15"/>
      <c r="I596" s="26"/>
      <c r="J596" s="15"/>
      <c r="K596" s="26"/>
      <c r="L596" s="15"/>
      <c r="M596" s="26"/>
      <c r="N596" s="26"/>
      <c r="O596" s="26"/>
      <c r="P596" s="26"/>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row>
    <row r="597" spans="1:40" ht="12.75">
      <c r="A597" s="15"/>
      <c r="B597" s="15"/>
      <c r="C597" s="26"/>
      <c r="D597" s="15"/>
      <c r="E597" s="15"/>
      <c r="F597" s="3"/>
      <c r="G597" s="26"/>
      <c r="H597" s="15"/>
      <c r="I597" s="26"/>
      <c r="J597" s="15"/>
      <c r="K597" s="26"/>
      <c r="L597" s="15"/>
      <c r="M597" s="26"/>
      <c r="N597" s="26"/>
      <c r="O597" s="26"/>
      <c r="P597" s="26"/>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row>
    <row r="598" spans="1:40" ht="12.75">
      <c r="A598" s="15"/>
      <c r="B598" s="15"/>
      <c r="C598" s="26"/>
      <c r="D598" s="15"/>
      <c r="E598" s="15"/>
      <c r="F598" s="3"/>
      <c r="G598" s="26"/>
      <c r="H598" s="15"/>
      <c r="I598" s="26"/>
      <c r="J598" s="15"/>
      <c r="K598" s="26"/>
      <c r="L598" s="15"/>
      <c r="M598" s="26"/>
      <c r="N598" s="26"/>
      <c r="O598" s="26"/>
      <c r="P598" s="26"/>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row>
    <row r="599" spans="1:40" ht="12.75">
      <c r="A599" s="15"/>
      <c r="B599" s="15"/>
      <c r="C599" s="26"/>
      <c r="D599" s="15"/>
      <c r="E599" s="15"/>
      <c r="F599" s="3"/>
      <c r="G599" s="26"/>
      <c r="H599" s="15"/>
      <c r="I599" s="26"/>
      <c r="J599" s="15"/>
      <c r="K599" s="26"/>
      <c r="L599" s="15"/>
      <c r="M599" s="26"/>
      <c r="N599" s="26"/>
      <c r="O599" s="26"/>
      <c r="P599" s="26"/>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row>
    <row r="600" spans="1:40" ht="12.75">
      <c r="A600" s="15"/>
      <c r="B600" s="15"/>
      <c r="C600" s="26"/>
      <c r="D600" s="15"/>
      <c r="E600" s="15"/>
      <c r="F600" s="3"/>
      <c r="G600" s="26"/>
      <c r="H600" s="15"/>
      <c r="I600" s="26"/>
      <c r="J600" s="15"/>
      <c r="K600" s="26"/>
      <c r="L600" s="15"/>
      <c r="M600" s="26"/>
      <c r="N600" s="26"/>
      <c r="O600" s="26"/>
      <c r="P600" s="26"/>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row>
    <row r="601" spans="1:40" ht="12.75">
      <c r="A601" s="15"/>
      <c r="B601" s="15"/>
      <c r="C601" s="26"/>
      <c r="D601" s="15"/>
      <c r="E601" s="15"/>
      <c r="F601" s="3"/>
      <c r="G601" s="26"/>
      <c r="H601" s="15"/>
      <c r="I601" s="26"/>
      <c r="J601" s="15"/>
      <c r="K601" s="26"/>
      <c r="L601" s="15"/>
      <c r="M601" s="26"/>
      <c r="N601" s="26"/>
      <c r="O601" s="26"/>
      <c r="P601" s="26"/>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row>
    <row r="602" spans="1:40" ht="12.75">
      <c r="A602" s="15"/>
      <c r="B602" s="15"/>
      <c r="C602" s="26"/>
      <c r="D602" s="15"/>
      <c r="E602" s="15"/>
      <c r="F602" s="3"/>
      <c r="G602" s="26"/>
      <c r="H602" s="15"/>
      <c r="I602" s="26"/>
      <c r="J602" s="15"/>
      <c r="K602" s="26"/>
      <c r="L602" s="15"/>
      <c r="M602" s="26"/>
      <c r="N602" s="26"/>
      <c r="O602" s="26"/>
      <c r="P602" s="26"/>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row>
    <row r="603" spans="1:40" ht="12.75">
      <c r="A603" s="15"/>
      <c r="B603" s="15"/>
      <c r="C603" s="26"/>
      <c r="D603" s="15"/>
      <c r="E603" s="15"/>
      <c r="F603" s="3"/>
      <c r="G603" s="26"/>
      <c r="H603" s="15"/>
      <c r="I603" s="26"/>
      <c r="J603" s="15"/>
      <c r="K603" s="26"/>
      <c r="L603" s="15"/>
      <c r="M603" s="26"/>
      <c r="N603" s="26"/>
      <c r="O603" s="26"/>
      <c r="P603" s="26"/>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row>
    <row r="604" spans="1:40" ht="12.75">
      <c r="A604" s="15"/>
      <c r="B604" s="15"/>
      <c r="C604" s="26"/>
      <c r="D604" s="15"/>
      <c r="E604" s="15"/>
      <c r="F604" s="3"/>
      <c r="G604" s="26"/>
      <c r="H604" s="15"/>
      <c r="I604" s="26"/>
      <c r="J604" s="15"/>
      <c r="K604" s="26"/>
      <c r="L604" s="15"/>
      <c r="M604" s="26"/>
      <c r="N604" s="26"/>
      <c r="O604" s="26"/>
      <c r="P604" s="26"/>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row>
    <row r="605" spans="1:40" ht="12.75">
      <c r="A605" s="15"/>
      <c r="B605" s="15"/>
      <c r="C605" s="26"/>
      <c r="D605" s="15"/>
      <c r="E605" s="15"/>
      <c r="F605" s="3"/>
      <c r="G605" s="26"/>
      <c r="H605" s="15"/>
      <c r="I605" s="26"/>
      <c r="J605" s="15"/>
      <c r="K605" s="26"/>
      <c r="L605" s="15"/>
      <c r="M605" s="26"/>
      <c r="N605" s="26"/>
      <c r="O605" s="26"/>
      <c r="P605" s="26"/>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row>
    <row r="606" spans="1:40" ht="12.75">
      <c r="A606" s="15"/>
      <c r="B606" s="15"/>
      <c r="C606" s="26"/>
      <c r="D606" s="15"/>
      <c r="E606" s="15"/>
      <c r="F606" s="3"/>
      <c r="G606" s="26"/>
      <c r="H606" s="15"/>
      <c r="I606" s="26"/>
      <c r="J606" s="15"/>
      <c r="K606" s="26"/>
      <c r="L606" s="15"/>
      <c r="M606" s="26"/>
      <c r="N606" s="26"/>
      <c r="O606" s="26"/>
      <c r="P606" s="26"/>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row>
    <row r="607" spans="1:40" ht="12.75">
      <c r="A607" s="15"/>
      <c r="B607" s="15"/>
      <c r="C607" s="26"/>
      <c r="D607" s="15"/>
      <c r="E607" s="15"/>
      <c r="F607" s="3"/>
      <c r="G607" s="26"/>
      <c r="H607" s="15"/>
      <c r="I607" s="26"/>
      <c r="J607" s="15"/>
      <c r="K607" s="26"/>
      <c r="L607" s="15"/>
      <c r="M607" s="26"/>
      <c r="N607" s="26"/>
      <c r="O607" s="26"/>
      <c r="P607" s="26"/>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row>
    <row r="608" spans="1:40" ht="12.75">
      <c r="A608" s="15"/>
      <c r="B608" s="15"/>
      <c r="C608" s="26"/>
      <c r="D608" s="15"/>
      <c r="E608" s="15"/>
      <c r="F608" s="3"/>
      <c r="G608" s="26"/>
      <c r="H608" s="15"/>
      <c r="I608" s="26"/>
      <c r="J608" s="15"/>
      <c r="K608" s="26"/>
      <c r="L608" s="15"/>
      <c r="M608" s="26"/>
      <c r="N608" s="26"/>
      <c r="O608" s="26"/>
      <c r="P608" s="26"/>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row>
    <row r="609" spans="1:40" ht="12.75">
      <c r="A609" s="15"/>
      <c r="B609" s="15"/>
      <c r="C609" s="26"/>
      <c r="D609" s="15"/>
      <c r="E609" s="15"/>
      <c r="F609" s="3"/>
      <c r="G609" s="26"/>
      <c r="H609" s="15"/>
      <c r="I609" s="26"/>
      <c r="J609" s="15"/>
      <c r="K609" s="26"/>
      <c r="L609" s="15"/>
      <c r="M609" s="26"/>
      <c r="N609" s="26"/>
      <c r="O609" s="26"/>
      <c r="P609" s="26"/>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row>
    <row r="610" spans="1:40" ht="12.75">
      <c r="A610" s="15"/>
      <c r="B610" s="15"/>
      <c r="C610" s="26"/>
      <c r="D610" s="15"/>
      <c r="E610" s="15"/>
      <c r="F610" s="3"/>
      <c r="G610" s="26"/>
      <c r="H610" s="15"/>
      <c r="I610" s="26"/>
      <c r="J610" s="15"/>
      <c r="K610" s="26"/>
      <c r="L610" s="15"/>
      <c r="M610" s="26"/>
      <c r="N610" s="26"/>
      <c r="O610" s="26"/>
      <c r="P610" s="26"/>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row>
    <row r="611" spans="1:40" ht="12.75">
      <c r="A611" s="15"/>
      <c r="B611" s="15"/>
      <c r="C611" s="26"/>
      <c r="D611" s="15"/>
      <c r="E611" s="15"/>
      <c r="F611" s="3"/>
      <c r="G611" s="26"/>
      <c r="H611" s="15"/>
      <c r="I611" s="26"/>
      <c r="J611" s="15"/>
      <c r="K611" s="26"/>
      <c r="L611" s="15"/>
      <c r="M611" s="26"/>
      <c r="N611" s="26"/>
      <c r="O611" s="26"/>
      <c r="P611" s="26"/>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row>
    <row r="612" spans="1:40" ht="12.75">
      <c r="A612" s="15"/>
      <c r="B612" s="15"/>
      <c r="C612" s="26"/>
      <c r="D612" s="15"/>
      <c r="E612" s="15"/>
      <c r="F612" s="3"/>
      <c r="G612" s="26"/>
      <c r="H612" s="15"/>
      <c r="I612" s="26"/>
      <c r="J612" s="15"/>
      <c r="K612" s="26"/>
      <c r="L612" s="15"/>
      <c r="M612" s="26"/>
      <c r="N612" s="26"/>
      <c r="O612" s="26"/>
      <c r="P612" s="26"/>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row>
    <row r="613" spans="1:40" ht="12.75">
      <c r="A613" s="15"/>
      <c r="B613" s="15"/>
      <c r="C613" s="26"/>
      <c r="D613" s="15"/>
      <c r="E613" s="15"/>
      <c r="F613" s="3"/>
      <c r="G613" s="26"/>
      <c r="H613" s="15"/>
      <c r="I613" s="26"/>
      <c r="J613" s="15"/>
      <c r="K613" s="26"/>
      <c r="L613" s="15"/>
      <c r="M613" s="26"/>
      <c r="N613" s="26"/>
      <c r="O613" s="26"/>
      <c r="P613" s="26"/>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row>
    <row r="614" spans="1:40" ht="12.75">
      <c r="A614" s="15"/>
      <c r="B614" s="15"/>
      <c r="C614" s="26"/>
      <c r="D614" s="15"/>
      <c r="E614" s="15"/>
      <c r="F614" s="3"/>
      <c r="G614" s="26"/>
      <c r="H614" s="15"/>
      <c r="I614" s="26"/>
      <c r="J614" s="15"/>
      <c r="K614" s="26"/>
      <c r="L614" s="15"/>
      <c r="M614" s="26"/>
      <c r="N614" s="26"/>
      <c r="O614" s="26"/>
      <c r="P614" s="26"/>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row>
    <row r="615" spans="1:40" ht="12.75">
      <c r="A615" s="15"/>
      <c r="B615" s="15"/>
      <c r="C615" s="26"/>
      <c r="D615" s="15"/>
      <c r="E615" s="15"/>
      <c r="F615" s="3"/>
      <c r="G615" s="26"/>
      <c r="H615" s="15"/>
      <c r="I615" s="26"/>
      <c r="J615" s="15"/>
      <c r="K615" s="26"/>
      <c r="L615" s="15"/>
      <c r="M615" s="26"/>
      <c r="N615" s="26"/>
      <c r="O615" s="26"/>
      <c r="P615" s="26"/>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row>
    <row r="616" spans="1:40" ht="12.75">
      <c r="A616" s="15"/>
      <c r="B616" s="15"/>
      <c r="C616" s="26"/>
      <c r="D616" s="15"/>
      <c r="E616" s="15"/>
      <c r="F616" s="3"/>
      <c r="G616" s="26"/>
      <c r="H616" s="15"/>
      <c r="I616" s="26"/>
      <c r="J616" s="15"/>
      <c r="K616" s="26"/>
      <c r="L616" s="15"/>
      <c r="M616" s="26"/>
      <c r="N616" s="26"/>
      <c r="O616" s="26"/>
      <c r="P616" s="26"/>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row>
    <row r="617" spans="1:40" ht="12.75">
      <c r="A617" s="15"/>
      <c r="B617" s="15"/>
      <c r="C617" s="26"/>
      <c r="D617" s="15"/>
      <c r="E617" s="15"/>
      <c r="F617" s="3"/>
      <c r="G617" s="26"/>
      <c r="H617" s="15"/>
      <c r="I617" s="26"/>
      <c r="J617" s="15"/>
      <c r="K617" s="26"/>
      <c r="L617" s="15"/>
      <c r="M617" s="26"/>
      <c r="N617" s="26"/>
      <c r="O617" s="26"/>
      <c r="P617" s="26"/>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row>
    <row r="618" spans="1:40" ht="12.75">
      <c r="A618" s="15"/>
      <c r="B618" s="15"/>
      <c r="C618" s="26"/>
      <c r="D618" s="15"/>
      <c r="E618" s="15"/>
      <c r="F618" s="3"/>
      <c r="G618" s="26"/>
      <c r="H618" s="15"/>
      <c r="I618" s="26"/>
      <c r="J618" s="15"/>
      <c r="K618" s="26"/>
      <c r="L618" s="15"/>
      <c r="M618" s="26"/>
      <c r="N618" s="26"/>
      <c r="O618" s="26"/>
      <c r="P618" s="26"/>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row>
    <row r="619" spans="1:40" ht="12.75">
      <c r="A619" s="15"/>
      <c r="B619" s="15"/>
      <c r="C619" s="26"/>
      <c r="D619" s="15"/>
      <c r="E619" s="15"/>
      <c r="F619" s="3"/>
      <c r="G619" s="26"/>
      <c r="H619" s="15"/>
      <c r="I619" s="26"/>
      <c r="J619" s="15"/>
      <c r="K619" s="26"/>
      <c r="L619" s="15"/>
      <c r="M619" s="26"/>
      <c r="N619" s="26"/>
      <c r="O619" s="26"/>
      <c r="P619" s="26"/>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row>
    <row r="620" spans="1:40" ht="12.75">
      <c r="A620" s="15"/>
      <c r="B620" s="15"/>
      <c r="C620" s="26"/>
      <c r="D620" s="15"/>
      <c r="E620" s="15"/>
      <c r="F620" s="3"/>
      <c r="G620" s="26"/>
      <c r="H620" s="15"/>
      <c r="I620" s="26"/>
      <c r="J620" s="15"/>
      <c r="K620" s="26"/>
      <c r="L620" s="15"/>
      <c r="M620" s="26"/>
      <c r="N620" s="26"/>
      <c r="O620" s="26"/>
      <c r="P620" s="26"/>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row>
    <row r="621" spans="1:40" ht="12.75">
      <c r="A621" s="15"/>
      <c r="B621" s="15"/>
      <c r="C621" s="26"/>
      <c r="D621" s="15"/>
      <c r="E621" s="15"/>
      <c r="F621" s="3"/>
      <c r="G621" s="26"/>
      <c r="H621" s="15"/>
      <c r="I621" s="26"/>
      <c r="J621" s="15"/>
      <c r="K621" s="26"/>
      <c r="L621" s="15"/>
      <c r="M621" s="26"/>
      <c r="N621" s="26"/>
      <c r="O621" s="26"/>
      <c r="P621" s="26"/>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row>
    <row r="622" spans="1:40" ht="12.75">
      <c r="A622" s="15"/>
      <c r="B622" s="15"/>
      <c r="C622" s="26"/>
      <c r="D622" s="15"/>
      <c r="E622" s="15"/>
      <c r="F622" s="3"/>
      <c r="G622" s="26"/>
      <c r="H622" s="15"/>
      <c r="I622" s="26"/>
      <c r="J622" s="15"/>
      <c r="K622" s="26"/>
      <c r="L622" s="15"/>
      <c r="M622" s="26"/>
      <c r="N622" s="26"/>
      <c r="O622" s="26"/>
      <c r="P622" s="26"/>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row>
    <row r="623" spans="1:40" ht="12.75">
      <c r="A623" s="15"/>
      <c r="B623" s="15"/>
      <c r="C623" s="26"/>
      <c r="D623" s="15"/>
      <c r="E623" s="15"/>
      <c r="F623" s="3"/>
      <c r="G623" s="26"/>
      <c r="H623" s="15"/>
      <c r="I623" s="26"/>
      <c r="J623" s="15"/>
      <c r="K623" s="26"/>
      <c r="L623" s="15"/>
      <c r="M623" s="26"/>
      <c r="N623" s="26"/>
      <c r="O623" s="26"/>
      <c r="P623" s="26"/>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row>
    <row r="624" spans="1:40" ht="12.75">
      <c r="A624" s="15"/>
      <c r="B624" s="15"/>
      <c r="C624" s="26"/>
      <c r="D624" s="15"/>
      <c r="E624" s="15"/>
      <c r="F624" s="3"/>
      <c r="G624" s="26"/>
      <c r="H624" s="15"/>
      <c r="I624" s="26"/>
      <c r="J624" s="15"/>
      <c r="K624" s="26"/>
      <c r="L624" s="15"/>
      <c r="M624" s="26"/>
      <c r="N624" s="26"/>
      <c r="O624" s="26"/>
      <c r="P624" s="26"/>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row>
    <row r="625" spans="1:40" ht="12.75">
      <c r="A625" s="15"/>
      <c r="B625" s="15"/>
      <c r="C625" s="26"/>
      <c r="D625" s="15"/>
      <c r="E625" s="15"/>
      <c r="F625" s="3"/>
      <c r="G625" s="26"/>
      <c r="H625" s="15"/>
      <c r="I625" s="26"/>
      <c r="J625" s="15"/>
      <c r="K625" s="26"/>
      <c r="L625" s="15"/>
      <c r="M625" s="26"/>
      <c r="N625" s="26"/>
      <c r="O625" s="26"/>
      <c r="P625" s="26"/>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row>
    <row r="626" spans="1:40" ht="12.75">
      <c r="A626" s="15"/>
      <c r="B626" s="15"/>
      <c r="C626" s="26"/>
      <c r="D626" s="15"/>
      <c r="E626" s="15"/>
      <c r="F626" s="3"/>
      <c r="G626" s="26"/>
      <c r="H626" s="15"/>
      <c r="I626" s="26"/>
      <c r="J626" s="15"/>
      <c r="K626" s="26"/>
      <c r="L626" s="15"/>
      <c r="M626" s="26"/>
      <c r="N626" s="26"/>
      <c r="O626" s="26"/>
      <c r="P626" s="26"/>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row>
    <row r="627" spans="1:40" ht="12.75">
      <c r="A627" s="15"/>
      <c r="B627" s="15"/>
      <c r="C627" s="26"/>
      <c r="D627" s="15"/>
      <c r="E627" s="15"/>
      <c r="F627" s="3"/>
      <c r="G627" s="26"/>
      <c r="H627" s="15"/>
      <c r="I627" s="26"/>
      <c r="J627" s="15"/>
      <c r="K627" s="26"/>
      <c r="L627" s="15"/>
      <c r="M627" s="26"/>
      <c r="N627" s="26"/>
      <c r="O627" s="26"/>
      <c r="P627" s="26"/>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row>
    <row r="628" spans="1:40" ht="12.75">
      <c r="A628" s="15"/>
      <c r="B628" s="15"/>
      <c r="C628" s="26"/>
      <c r="D628" s="15"/>
      <c r="E628" s="15"/>
      <c r="F628" s="3"/>
      <c r="G628" s="26"/>
      <c r="H628" s="15"/>
      <c r="I628" s="26"/>
      <c r="J628" s="15"/>
      <c r="K628" s="26"/>
      <c r="L628" s="15"/>
      <c r="M628" s="26"/>
      <c r="N628" s="26"/>
      <c r="O628" s="26"/>
      <c r="P628" s="26"/>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row>
    <row r="629" spans="1:40" ht="12.75">
      <c r="A629" s="15"/>
      <c r="B629" s="15"/>
      <c r="C629" s="26"/>
      <c r="D629" s="15"/>
      <c r="E629" s="15"/>
      <c r="F629" s="3"/>
      <c r="G629" s="26"/>
      <c r="H629" s="15"/>
      <c r="I629" s="26"/>
      <c r="J629" s="15"/>
      <c r="K629" s="26"/>
      <c r="L629" s="15"/>
      <c r="M629" s="26"/>
      <c r="N629" s="26"/>
      <c r="O629" s="26"/>
      <c r="P629" s="26"/>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row>
    <row r="630" spans="1:40" ht="12.75">
      <c r="A630" s="15"/>
      <c r="B630" s="15"/>
      <c r="C630" s="26"/>
      <c r="D630" s="15"/>
      <c r="E630" s="15"/>
      <c r="F630" s="3"/>
      <c r="G630" s="26"/>
      <c r="H630" s="15"/>
      <c r="I630" s="26"/>
      <c r="J630" s="15"/>
      <c r="K630" s="26"/>
      <c r="L630" s="15"/>
      <c r="M630" s="26"/>
      <c r="N630" s="26"/>
      <c r="O630" s="26"/>
      <c r="P630" s="26"/>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row>
    <row r="631" spans="1:40" ht="12.75">
      <c r="A631" s="15"/>
      <c r="B631" s="15"/>
      <c r="C631" s="26"/>
      <c r="D631" s="15"/>
      <c r="E631" s="15"/>
      <c r="F631" s="3"/>
      <c r="G631" s="26"/>
      <c r="H631" s="15"/>
      <c r="I631" s="26"/>
      <c r="J631" s="15"/>
      <c r="K631" s="26"/>
      <c r="L631" s="15"/>
      <c r="M631" s="26"/>
      <c r="N631" s="26"/>
      <c r="O631" s="26"/>
      <c r="P631" s="26"/>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row>
    <row r="632" spans="1:40" ht="12.75">
      <c r="A632" s="15"/>
      <c r="B632" s="15"/>
      <c r="C632" s="26"/>
      <c r="D632" s="15"/>
      <c r="E632" s="15"/>
      <c r="F632" s="3"/>
      <c r="G632" s="26"/>
      <c r="H632" s="15"/>
      <c r="I632" s="26"/>
      <c r="J632" s="15"/>
      <c r="K632" s="26"/>
      <c r="L632" s="15"/>
      <c r="M632" s="26"/>
      <c r="N632" s="26"/>
      <c r="O632" s="26"/>
      <c r="P632" s="26"/>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row>
    <row r="633" spans="1:40" ht="12.75">
      <c r="A633" s="15"/>
      <c r="B633" s="15"/>
      <c r="C633" s="26"/>
      <c r="D633" s="15"/>
      <c r="E633" s="15"/>
      <c r="F633" s="3"/>
      <c r="G633" s="26"/>
      <c r="H633" s="15"/>
      <c r="I633" s="26"/>
      <c r="J633" s="15"/>
      <c r="K633" s="26"/>
      <c r="L633" s="15"/>
      <c r="M633" s="26"/>
      <c r="N633" s="26"/>
      <c r="O633" s="26"/>
      <c r="P633" s="26"/>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row>
    <row r="634" spans="1:40" ht="12.75">
      <c r="A634" s="15"/>
      <c r="B634" s="15"/>
      <c r="C634" s="26"/>
      <c r="D634" s="15"/>
      <c r="E634" s="15"/>
      <c r="F634" s="3"/>
      <c r="G634" s="26"/>
      <c r="H634" s="15"/>
      <c r="I634" s="26"/>
      <c r="J634" s="15"/>
      <c r="K634" s="26"/>
      <c r="L634" s="15"/>
      <c r="M634" s="26"/>
      <c r="N634" s="26"/>
      <c r="O634" s="26"/>
      <c r="P634" s="26"/>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row>
    <row r="635" spans="1:40" ht="12.75">
      <c r="A635" s="15"/>
      <c r="B635" s="15"/>
      <c r="C635" s="26"/>
      <c r="D635" s="15"/>
      <c r="E635" s="15"/>
      <c r="F635" s="3"/>
      <c r="G635" s="26"/>
      <c r="H635" s="15"/>
      <c r="I635" s="26"/>
      <c r="J635" s="15"/>
      <c r="K635" s="26"/>
      <c r="L635" s="15"/>
      <c r="M635" s="26"/>
      <c r="N635" s="26"/>
      <c r="O635" s="26"/>
      <c r="P635" s="26"/>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row>
    <row r="636" spans="1:40" ht="12.75">
      <c r="A636" s="15"/>
      <c r="B636" s="15"/>
      <c r="C636" s="26"/>
      <c r="D636" s="15"/>
      <c r="E636" s="15"/>
      <c r="F636" s="3"/>
      <c r="G636" s="26"/>
      <c r="H636" s="15"/>
      <c r="I636" s="26"/>
      <c r="J636" s="15"/>
      <c r="K636" s="26"/>
      <c r="L636" s="15"/>
      <c r="M636" s="26"/>
      <c r="N636" s="26"/>
      <c r="O636" s="26"/>
      <c r="P636" s="26"/>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row>
    <row r="637" spans="1:40" ht="12.75">
      <c r="A637" s="15"/>
      <c r="B637" s="15"/>
      <c r="C637" s="26"/>
      <c r="D637" s="15"/>
      <c r="E637" s="15"/>
      <c r="F637" s="3"/>
      <c r="G637" s="26"/>
      <c r="H637" s="15"/>
      <c r="I637" s="26"/>
      <c r="J637" s="15"/>
      <c r="K637" s="26"/>
      <c r="L637" s="15"/>
      <c r="M637" s="26"/>
      <c r="N637" s="26"/>
      <c r="O637" s="26"/>
      <c r="P637" s="26"/>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row>
    <row r="638" spans="1:40" ht="12.75">
      <c r="A638" s="15"/>
      <c r="B638" s="15"/>
      <c r="C638" s="26"/>
      <c r="D638" s="15"/>
      <c r="E638" s="15"/>
      <c r="F638" s="3"/>
      <c r="G638" s="26"/>
      <c r="H638" s="15"/>
      <c r="I638" s="26"/>
      <c r="J638" s="15"/>
      <c r="K638" s="26"/>
      <c r="L638" s="15"/>
      <c r="M638" s="26"/>
      <c r="N638" s="26"/>
      <c r="O638" s="26"/>
      <c r="P638" s="26"/>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row>
    <row r="639" spans="1:40" ht="12.75">
      <c r="A639" s="15"/>
      <c r="B639" s="15"/>
      <c r="C639" s="26"/>
      <c r="D639" s="15"/>
      <c r="E639" s="15"/>
      <c r="F639" s="3"/>
      <c r="G639" s="26"/>
      <c r="H639" s="15"/>
      <c r="I639" s="26"/>
      <c r="J639" s="15"/>
      <c r="K639" s="26"/>
      <c r="L639" s="15"/>
      <c r="M639" s="26"/>
      <c r="N639" s="26"/>
      <c r="O639" s="26"/>
      <c r="P639" s="26"/>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row>
    <row r="640" spans="1:40" ht="12.75">
      <c r="A640" s="15"/>
      <c r="B640" s="15"/>
      <c r="C640" s="26"/>
      <c r="D640" s="15"/>
      <c r="E640" s="15"/>
      <c r="F640" s="3"/>
      <c r="G640" s="26"/>
      <c r="H640" s="15"/>
      <c r="I640" s="26"/>
      <c r="J640" s="15"/>
      <c r="K640" s="26"/>
      <c r="L640" s="15"/>
      <c r="M640" s="26"/>
      <c r="N640" s="26"/>
      <c r="O640" s="26"/>
      <c r="P640" s="26"/>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row>
    <row r="641" spans="1:40" ht="12.75">
      <c r="A641" s="15"/>
      <c r="B641" s="15"/>
      <c r="C641" s="26"/>
      <c r="D641" s="15"/>
      <c r="E641" s="15"/>
      <c r="F641" s="3"/>
      <c r="G641" s="26"/>
      <c r="H641" s="15"/>
      <c r="I641" s="26"/>
      <c r="J641" s="15"/>
      <c r="K641" s="26"/>
      <c r="L641" s="15"/>
      <c r="M641" s="26"/>
      <c r="N641" s="26"/>
      <c r="O641" s="26"/>
      <c r="P641" s="26"/>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row>
    <row r="642" spans="1:40" ht="12.75">
      <c r="A642" s="15"/>
      <c r="B642" s="15"/>
      <c r="C642" s="26"/>
      <c r="D642" s="15"/>
      <c r="E642" s="15"/>
      <c r="F642" s="3"/>
      <c r="G642" s="26"/>
      <c r="H642" s="15"/>
      <c r="I642" s="26"/>
      <c r="J642" s="15"/>
      <c r="K642" s="26"/>
      <c r="L642" s="15"/>
      <c r="M642" s="26"/>
      <c r="N642" s="26"/>
      <c r="O642" s="26"/>
      <c r="P642" s="26"/>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row>
    <row r="643" spans="1:40" ht="12.75">
      <c r="A643" s="15"/>
      <c r="B643" s="15"/>
      <c r="C643" s="26"/>
      <c r="D643" s="15"/>
      <c r="E643" s="15"/>
      <c r="F643" s="3"/>
      <c r="G643" s="26"/>
      <c r="H643" s="15"/>
      <c r="I643" s="26"/>
      <c r="J643" s="15"/>
      <c r="K643" s="26"/>
      <c r="L643" s="15"/>
      <c r="M643" s="26"/>
      <c r="N643" s="26"/>
      <c r="O643" s="26"/>
      <c r="P643" s="26"/>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row>
    <row r="644" spans="1:40" ht="12.75">
      <c r="A644" s="15"/>
      <c r="B644" s="15"/>
      <c r="C644" s="26"/>
      <c r="D644" s="15"/>
      <c r="E644" s="15"/>
      <c r="F644" s="3"/>
      <c r="G644" s="26"/>
      <c r="H644" s="15"/>
      <c r="I644" s="26"/>
      <c r="J644" s="15"/>
      <c r="K644" s="26"/>
      <c r="L644" s="15"/>
      <c r="M644" s="26"/>
      <c r="N644" s="26"/>
      <c r="O644" s="26"/>
      <c r="P644" s="26"/>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row>
    <row r="645" spans="1:40" ht="12.75">
      <c r="A645" s="15"/>
      <c r="B645" s="15"/>
      <c r="C645" s="26"/>
      <c r="D645" s="15"/>
      <c r="E645" s="15"/>
      <c r="F645" s="3"/>
      <c r="G645" s="26"/>
      <c r="H645" s="15"/>
      <c r="I645" s="26"/>
      <c r="J645" s="15"/>
      <c r="K645" s="26"/>
      <c r="L645" s="15"/>
      <c r="M645" s="26"/>
      <c r="N645" s="26"/>
      <c r="O645" s="26"/>
      <c r="P645" s="26"/>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row>
    <row r="646" spans="1:40" ht="12.75">
      <c r="A646" s="15"/>
      <c r="B646" s="15"/>
      <c r="C646" s="26"/>
      <c r="D646" s="15"/>
      <c r="E646" s="15"/>
      <c r="F646" s="3"/>
      <c r="G646" s="26"/>
      <c r="H646" s="15"/>
      <c r="I646" s="26"/>
      <c r="J646" s="15"/>
      <c r="K646" s="26"/>
      <c r="L646" s="15"/>
      <c r="M646" s="26"/>
      <c r="N646" s="26"/>
      <c r="O646" s="26"/>
      <c r="P646" s="26"/>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row>
    <row r="647" spans="1:40" ht="12.75">
      <c r="A647" s="15"/>
      <c r="B647" s="15"/>
      <c r="C647" s="26"/>
      <c r="D647" s="15"/>
      <c r="E647" s="15"/>
      <c r="F647" s="3"/>
      <c r="G647" s="26"/>
      <c r="H647" s="15"/>
      <c r="I647" s="26"/>
      <c r="J647" s="15"/>
      <c r="K647" s="26"/>
      <c r="L647" s="15"/>
      <c r="M647" s="26"/>
      <c r="N647" s="26"/>
      <c r="O647" s="26"/>
      <c r="P647" s="26"/>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row>
    <row r="648" spans="1:40" ht="12.75">
      <c r="A648" s="15"/>
      <c r="B648" s="15"/>
      <c r="C648" s="26"/>
      <c r="D648" s="15"/>
      <c r="E648" s="15"/>
      <c r="F648" s="3"/>
      <c r="G648" s="26"/>
      <c r="H648" s="15"/>
      <c r="I648" s="26"/>
      <c r="J648" s="15"/>
      <c r="K648" s="26"/>
      <c r="L648" s="15"/>
      <c r="M648" s="26"/>
      <c r="N648" s="26"/>
      <c r="O648" s="26"/>
      <c r="P648" s="26"/>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row>
    <row r="649" spans="1:40" ht="12.75">
      <c r="A649" s="15"/>
      <c r="B649" s="15"/>
      <c r="C649" s="26"/>
      <c r="D649" s="15"/>
      <c r="E649" s="15"/>
      <c r="F649" s="3"/>
      <c r="G649" s="26"/>
      <c r="H649" s="15"/>
      <c r="I649" s="26"/>
      <c r="J649" s="15"/>
      <c r="K649" s="26"/>
      <c r="L649" s="15"/>
      <c r="M649" s="26"/>
      <c r="N649" s="26"/>
      <c r="O649" s="26"/>
      <c r="P649" s="26"/>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row>
    <row r="650" spans="1:40" ht="12.75">
      <c r="A650" s="15"/>
      <c r="B650" s="15"/>
      <c r="C650" s="26"/>
      <c r="D650" s="15"/>
      <c r="E650" s="15"/>
      <c r="F650" s="3"/>
      <c r="G650" s="26"/>
      <c r="H650" s="15"/>
      <c r="I650" s="26"/>
      <c r="J650" s="15"/>
      <c r="K650" s="26"/>
      <c r="L650" s="15"/>
      <c r="M650" s="26"/>
      <c r="N650" s="26"/>
      <c r="O650" s="26"/>
      <c r="P650" s="26"/>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row>
    <row r="651" spans="1:40" ht="12.75">
      <c r="A651" s="15"/>
      <c r="B651" s="15"/>
      <c r="C651" s="26"/>
      <c r="D651" s="15"/>
      <c r="E651" s="15"/>
      <c r="F651" s="3"/>
      <c r="G651" s="26"/>
      <c r="H651" s="15"/>
      <c r="I651" s="26"/>
      <c r="J651" s="15"/>
      <c r="K651" s="26"/>
      <c r="L651" s="15"/>
      <c r="M651" s="26"/>
      <c r="N651" s="26"/>
      <c r="O651" s="26"/>
      <c r="P651" s="26"/>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row>
    <row r="652" spans="1:40" ht="12.75">
      <c r="A652" s="15"/>
      <c r="B652" s="15"/>
      <c r="C652" s="26"/>
      <c r="D652" s="15"/>
      <c r="E652" s="15"/>
      <c r="F652" s="3"/>
      <c r="G652" s="26"/>
      <c r="H652" s="15"/>
      <c r="I652" s="26"/>
      <c r="J652" s="15"/>
      <c r="K652" s="26"/>
      <c r="L652" s="15"/>
      <c r="M652" s="26"/>
      <c r="N652" s="26"/>
      <c r="O652" s="26"/>
      <c r="P652" s="26"/>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row>
    <row r="653" spans="1:40" ht="12.75">
      <c r="A653" s="15"/>
      <c r="B653" s="15"/>
      <c r="C653" s="26"/>
      <c r="D653" s="15"/>
      <c r="E653" s="15"/>
      <c r="F653" s="3"/>
      <c r="G653" s="26"/>
      <c r="H653" s="15"/>
      <c r="I653" s="26"/>
      <c r="J653" s="15"/>
      <c r="K653" s="26"/>
      <c r="L653" s="15"/>
      <c r="M653" s="26"/>
      <c r="N653" s="26"/>
      <c r="O653" s="26"/>
      <c r="P653" s="26"/>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row>
    <row r="654" spans="1:40" ht="12.75">
      <c r="A654" s="15"/>
      <c r="B654" s="15"/>
      <c r="C654" s="26"/>
      <c r="D654" s="15"/>
      <c r="E654" s="15"/>
      <c r="F654" s="3"/>
      <c r="G654" s="26"/>
      <c r="H654" s="15"/>
      <c r="I654" s="26"/>
      <c r="J654" s="15"/>
      <c r="K654" s="26"/>
      <c r="L654" s="15"/>
      <c r="M654" s="26"/>
      <c r="N654" s="26"/>
      <c r="O654" s="26"/>
      <c r="P654" s="26"/>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row>
    <row r="655" spans="1:40" ht="12.75">
      <c r="A655" s="15"/>
      <c r="B655" s="15"/>
      <c r="C655" s="26"/>
      <c r="D655" s="15"/>
      <c r="E655" s="15"/>
      <c r="F655" s="3"/>
      <c r="G655" s="26"/>
      <c r="H655" s="15"/>
      <c r="I655" s="26"/>
      <c r="J655" s="15"/>
      <c r="K655" s="26"/>
      <c r="L655" s="15"/>
      <c r="M655" s="26"/>
      <c r="N655" s="26"/>
      <c r="O655" s="26"/>
      <c r="P655" s="26"/>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row>
    <row r="656" spans="1:40" ht="12.75">
      <c r="A656" s="15"/>
      <c r="B656" s="15"/>
      <c r="C656" s="26"/>
      <c r="D656" s="15"/>
      <c r="E656" s="15"/>
      <c r="F656" s="3"/>
      <c r="G656" s="26"/>
      <c r="H656" s="15"/>
      <c r="I656" s="26"/>
      <c r="J656" s="15"/>
      <c r="K656" s="26"/>
      <c r="L656" s="15"/>
      <c r="M656" s="26"/>
      <c r="N656" s="26"/>
      <c r="O656" s="26"/>
      <c r="P656" s="26"/>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row>
    <row r="657" spans="1:40" ht="12.75">
      <c r="A657" s="15"/>
      <c r="B657" s="15"/>
      <c r="C657" s="26"/>
      <c r="D657" s="15"/>
      <c r="E657" s="15"/>
      <c r="F657" s="3"/>
      <c r="G657" s="26"/>
      <c r="H657" s="15"/>
      <c r="I657" s="26"/>
      <c r="J657" s="15"/>
      <c r="K657" s="26"/>
      <c r="L657" s="15"/>
      <c r="M657" s="26"/>
      <c r="N657" s="26"/>
      <c r="O657" s="26"/>
      <c r="P657" s="26"/>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row>
    <row r="658" spans="1:40" ht="12.75">
      <c r="A658" s="15"/>
      <c r="B658" s="15"/>
      <c r="C658" s="26"/>
      <c r="D658" s="15"/>
      <c r="E658" s="15"/>
      <c r="F658" s="3"/>
      <c r="G658" s="26"/>
      <c r="H658" s="15"/>
      <c r="I658" s="26"/>
      <c r="J658" s="15"/>
      <c r="K658" s="26"/>
      <c r="L658" s="15"/>
      <c r="M658" s="26"/>
      <c r="N658" s="26"/>
      <c r="O658" s="26"/>
      <c r="P658" s="26"/>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row>
    <row r="659" spans="1:40" ht="12.75">
      <c r="A659" s="15"/>
      <c r="B659" s="15"/>
      <c r="C659" s="26"/>
      <c r="D659" s="15"/>
      <c r="E659" s="15"/>
      <c r="F659" s="3"/>
      <c r="G659" s="26"/>
      <c r="H659" s="15"/>
      <c r="I659" s="26"/>
      <c r="J659" s="15"/>
      <c r="K659" s="26"/>
      <c r="L659" s="15"/>
      <c r="M659" s="26"/>
      <c r="N659" s="26"/>
      <c r="O659" s="26"/>
      <c r="P659" s="26"/>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row>
    <row r="660" spans="1:40" ht="12.75">
      <c r="A660" s="15"/>
      <c r="B660" s="15"/>
      <c r="C660" s="26"/>
      <c r="D660" s="15"/>
      <c r="E660" s="15"/>
      <c r="F660" s="3"/>
      <c r="G660" s="26"/>
      <c r="H660" s="15"/>
      <c r="I660" s="26"/>
      <c r="J660" s="15"/>
      <c r="K660" s="26"/>
      <c r="L660" s="15"/>
      <c r="M660" s="26"/>
      <c r="N660" s="26"/>
      <c r="O660" s="26"/>
      <c r="P660" s="26"/>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row>
    <row r="661" spans="1:40" ht="12.75">
      <c r="A661" s="15"/>
      <c r="B661" s="15"/>
      <c r="C661" s="26"/>
      <c r="D661" s="15"/>
      <c r="E661" s="15"/>
      <c r="F661" s="3"/>
      <c r="G661" s="26"/>
      <c r="H661" s="15"/>
      <c r="I661" s="26"/>
      <c r="J661" s="15"/>
      <c r="K661" s="26"/>
      <c r="L661" s="15"/>
      <c r="M661" s="26"/>
      <c r="N661" s="26"/>
      <c r="O661" s="26"/>
      <c r="P661" s="26"/>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row>
    <row r="662" spans="1:40" ht="12.75">
      <c r="A662" s="15"/>
      <c r="B662" s="15"/>
      <c r="C662" s="26"/>
      <c r="D662" s="15"/>
      <c r="E662" s="15"/>
      <c r="F662" s="3"/>
      <c r="G662" s="26"/>
      <c r="H662" s="15"/>
      <c r="I662" s="26"/>
      <c r="J662" s="15"/>
      <c r="K662" s="26"/>
      <c r="L662" s="15"/>
      <c r="M662" s="26"/>
      <c r="N662" s="26"/>
      <c r="O662" s="26"/>
      <c r="P662" s="26"/>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row>
    <row r="663" spans="1:40" ht="12.75">
      <c r="A663" s="15"/>
      <c r="B663" s="15"/>
      <c r="C663" s="26"/>
      <c r="D663" s="15"/>
      <c r="E663" s="15"/>
      <c r="F663" s="3"/>
      <c r="G663" s="26"/>
      <c r="H663" s="15"/>
      <c r="I663" s="26"/>
      <c r="J663" s="15"/>
      <c r="K663" s="26"/>
      <c r="L663" s="15"/>
      <c r="M663" s="26"/>
      <c r="N663" s="26"/>
      <c r="O663" s="26"/>
      <c r="P663" s="26"/>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row>
    <row r="664" spans="1:40" ht="12.75">
      <c r="A664" s="15"/>
      <c r="B664" s="15"/>
      <c r="C664" s="26"/>
      <c r="D664" s="15"/>
      <c r="E664" s="15"/>
      <c r="F664" s="3"/>
      <c r="G664" s="26"/>
      <c r="H664" s="15"/>
      <c r="I664" s="26"/>
      <c r="J664" s="15"/>
      <c r="K664" s="26"/>
      <c r="L664" s="15"/>
      <c r="M664" s="26"/>
      <c r="N664" s="26"/>
      <c r="O664" s="26"/>
      <c r="P664" s="26"/>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row>
    <row r="665" spans="1:40" ht="12.75">
      <c r="A665" s="15"/>
      <c r="B665" s="15"/>
      <c r="C665" s="26"/>
      <c r="D665" s="15"/>
      <c r="E665" s="15"/>
      <c r="F665" s="3"/>
      <c r="G665" s="26"/>
      <c r="H665" s="15"/>
      <c r="I665" s="26"/>
      <c r="J665" s="15"/>
      <c r="K665" s="26"/>
      <c r="L665" s="15"/>
      <c r="M665" s="26"/>
      <c r="N665" s="26"/>
      <c r="O665" s="26"/>
      <c r="P665" s="26"/>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row>
    <row r="666" spans="1:40" ht="12.75">
      <c r="A666" s="15"/>
      <c r="B666" s="15"/>
      <c r="C666" s="26"/>
      <c r="D666" s="15"/>
      <c r="E666" s="15"/>
      <c r="F666" s="3"/>
      <c r="G666" s="26"/>
      <c r="H666" s="15"/>
      <c r="I666" s="26"/>
      <c r="J666" s="15"/>
      <c r="K666" s="26"/>
      <c r="L666" s="15"/>
      <c r="M666" s="26"/>
      <c r="N666" s="26"/>
      <c r="O666" s="26"/>
      <c r="P666" s="26"/>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row>
    <row r="667" spans="1:40" ht="12.75">
      <c r="A667" s="15"/>
      <c r="B667" s="15"/>
      <c r="C667" s="26"/>
      <c r="D667" s="15"/>
      <c r="E667" s="15"/>
      <c r="F667" s="3"/>
      <c r="G667" s="26"/>
      <c r="H667" s="15"/>
      <c r="I667" s="26"/>
      <c r="J667" s="15"/>
      <c r="K667" s="26"/>
      <c r="L667" s="15"/>
      <c r="M667" s="26"/>
      <c r="N667" s="26"/>
      <c r="O667" s="26"/>
      <c r="P667" s="26"/>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row>
    <row r="668" spans="1:40" ht="12.75">
      <c r="A668" s="15"/>
      <c r="B668" s="15"/>
      <c r="C668" s="26"/>
      <c r="D668" s="15"/>
      <c r="E668" s="15"/>
      <c r="F668" s="3"/>
      <c r="G668" s="26"/>
      <c r="H668" s="15"/>
      <c r="I668" s="26"/>
      <c r="J668" s="15"/>
      <c r="K668" s="26"/>
      <c r="L668" s="15"/>
      <c r="M668" s="26"/>
      <c r="N668" s="26"/>
      <c r="O668" s="26"/>
      <c r="P668" s="26"/>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row>
    <row r="669" spans="1:40" ht="12.75">
      <c r="A669" s="15"/>
      <c r="B669" s="15"/>
      <c r="C669" s="26"/>
      <c r="D669" s="15"/>
      <c r="E669" s="15"/>
      <c r="F669" s="3"/>
      <c r="G669" s="26"/>
      <c r="H669" s="15"/>
      <c r="I669" s="26"/>
      <c r="J669" s="15"/>
      <c r="K669" s="26"/>
      <c r="L669" s="15"/>
      <c r="M669" s="26"/>
      <c r="N669" s="26"/>
      <c r="O669" s="26"/>
      <c r="P669" s="26"/>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row>
    <row r="670" spans="1:40" ht="12.75">
      <c r="A670" s="15"/>
      <c r="B670" s="15"/>
      <c r="C670" s="26"/>
      <c r="D670" s="15"/>
      <c r="E670" s="15"/>
      <c r="F670" s="3"/>
      <c r="G670" s="26"/>
      <c r="H670" s="15"/>
      <c r="I670" s="26"/>
      <c r="J670" s="15"/>
      <c r="K670" s="26"/>
      <c r="L670" s="15"/>
      <c r="M670" s="26"/>
      <c r="N670" s="26"/>
      <c r="O670" s="26"/>
      <c r="P670" s="26"/>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row>
    <row r="671" spans="1:40" ht="12.75">
      <c r="A671" s="15"/>
      <c r="B671" s="15"/>
      <c r="C671" s="26"/>
      <c r="D671" s="15"/>
      <c r="E671" s="15"/>
      <c r="F671" s="3"/>
      <c r="G671" s="26"/>
      <c r="H671" s="15"/>
      <c r="I671" s="26"/>
      <c r="J671" s="15"/>
      <c r="K671" s="26"/>
      <c r="L671" s="15"/>
      <c r="M671" s="26"/>
      <c r="N671" s="26"/>
      <c r="O671" s="26"/>
      <c r="P671" s="26"/>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row>
    <row r="672" spans="1:40" ht="12.75">
      <c r="A672" s="15"/>
      <c r="B672" s="15"/>
      <c r="C672" s="26"/>
      <c r="D672" s="15"/>
      <c r="E672" s="15"/>
      <c r="F672" s="3"/>
      <c r="G672" s="26"/>
      <c r="H672" s="15"/>
      <c r="I672" s="26"/>
      <c r="J672" s="15"/>
      <c r="K672" s="26"/>
      <c r="L672" s="15"/>
      <c r="M672" s="26"/>
      <c r="N672" s="26"/>
      <c r="O672" s="26"/>
      <c r="P672" s="26"/>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row>
    <row r="673" spans="1:40" ht="12.75">
      <c r="A673" s="15"/>
      <c r="B673" s="15"/>
      <c r="C673" s="26"/>
      <c r="D673" s="15"/>
      <c r="E673" s="15"/>
      <c r="F673" s="3"/>
      <c r="G673" s="26"/>
      <c r="H673" s="15"/>
      <c r="I673" s="26"/>
      <c r="J673" s="15"/>
      <c r="K673" s="26"/>
      <c r="L673" s="15"/>
      <c r="M673" s="26"/>
      <c r="N673" s="26"/>
      <c r="O673" s="26"/>
      <c r="P673" s="26"/>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row>
    <row r="674" spans="1:40" ht="12.75">
      <c r="A674" s="15"/>
      <c r="B674" s="15"/>
      <c r="C674" s="26"/>
      <c r="D674" s="15"/>
      <c r="E674" s="15"/>
      <c r="F674" s="3"/>
      <c r="G674" s="26"/>
      <c r="H674" s="15"/>
      <c r="I674" s="26"/>
      <c r="J674" s="15"/>
      <c r="K674" s="26"/>
      <c r="L674" s="15"/>
      <c r="M674" s="26"/>
      <c r="N674" s="26"/>
      <c r="O674" s="26"/>
      <c r="P674" s="26"/>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row>
    <row r="675" spans="1:40" ht="12.75">
      <c r="A675" s="15"/>
      <c r="B675" s="15"/>
      <c r="C675" s="26"/>
      <c r="D675" s="15"/>
      <c r="E675" s="15"/>
      <c r="F675" s="3"/>
      <c r="G675" s="26"/>
      <c r="H675" s="15"/>
      <c r="I675" s="26"/>
      <c r="J675" s="15"/>
      <c r="K675" s="26"/>
      <c r="L675" s="15"/>
      <c r="M675" s="26"/>
      <c r="N675" s="26"/>
      <c r="O675" s="26"/>
      <c r="P675" s="26"/>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row>
    <row r="676" spans="1:40" ht="12.75">
      <c r="A676" s="15"/>
      <c r="B676" s="15"/>
      <c r="C676" s="26"/>
      <c r="D676" s="15"/>
      <c r="E676" s="15"/>
      <c r="F676" s="3"/>
      <c r="G676" s="26"/>
      <c r="H676" s="15"/>
      <c r="I676" s="26"/>
      <c r="J676" s="15"/>
      <c r="K676" s="26"/>
      <c r="L676" s="15"/>
      <c r="M676" s="26"/>
      <c r="N676" s="26"/>
      <c r="O676" s="26"/>
      <c r="P676" s="26"/>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row>
    <row r="677" spans="1:40" ht="12.75">
      <c r="A677" s="15"/>
      <c r="B677" s="15"/>
      <c r="C677" s="26"/>
      <c r="D677" s="15"/>
      <c r="E677" s="15"/>
      <c r="F677" s="3"/>
      <c r="G677" s="26"/>
      <c r="H677" s="15"/>
      <c r="I677" s="26"/>
      <c r="J677" s="15"/>
      <c r="K677" s="26"/>
      <c r="L677" s="15"/>
      <c r="M677" s="26"/>
      <c r="N677" s="26"/>
      <c r="O677" s="26"/>
      <c r="P677" s="26"/>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row>
    <row r="678" spans="1:40" ht="12.75">
      <c r="A678" s="15"/>
      <c r="B678" s="15"/>
      <c r="C678" s="26"/>
      <c r="D678" s="15"/>
      <c r="E678" s="15"/>
      <c r="F678" s="3"/>
      <c r="G678" s="26"/>
      <c r="H678" s="15"/>
      <c r="I678" s="26"/>
      <c r="J678" s="15"/>
      <c r="K678" s="26"/>
      <c r="L678" s="15"/>
      <c r="M678" s="26"/>
      <c r="N678" s="26"/>
      <c r="O678" s="26"/>
      <c r="P678" s="26"/>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row>
    <row r="679" spans="1:40" ht="12.75">
      <c r="A679" s="15"/>
      <c r="B679" s="15"/>
      <c r="C679" s="26"/>
      <c r="D679" s="15"/>
      <c r="E679" s="15"/>
      <c r="F679" s="3"/>
      <c r="G679" s="26"/>
      <c r="H679" s="15"/>
      <c r="I679" s="26"/>
      <c r="J679" s="15"/>
      <c r="K679" s="26"/>
      <c r="L679" s="15"/>
      <c r="M679" s="26"/>
      <c r="N679" s="26"/>
      <c r="O679" s="26"/>
      <c r="P679" s="26"/>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row>
    <row r="680" spans="1:40" ht="12.75">
      <c r="A680" s="15"/>
      <c r="B680" s="15"/>
      <c r="C680" s="26"/>
      <c r="D680" s="15"/>
      <c r="E680" s="15"/>
      <c r="F680" s="3"/>
      <c r="G680" s="26"/>
      <c r="H680" s="15"/>
      <c r="I680" s="26"/>
      <c r="J680" s="15"/>
      <c r="K680" s="26"/>
      <c r="L680" s="15"/>
      <c r="M680" s="26"/>
      <c r="N680" s="26"/>
      <c r="O680" s="26"/>
      <c r="P680" s="26"/>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row>
    <row r="681" spans="1:40" ht="12.75">
      <c r="A681" s="15"/>
      <c r="B681" s="15"/>
      <c r="C681" s="26"/>
      <c r="D681" s="15"/>
      <c r="E681" s="15"/>
      <c r="F681" s="3"/>
      <c r="G681" s="26"/>
      <c r="H681" s="15"/>
      <c r="I681" s="26"/>
      <c r="J681" s="15"/>
      <c r="K681" s="26"/>
      <c r="L681" s="15"/>
      <c r="M681" s="26"/>
      <c r="N681" s="26"/>
      <c r="O681" s="26"/>
      <c r="P681" s="26"/>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row>
    <row r="682" spans="1:40" ht="12.75">
      <c r="A682" s="15"/>
      <c r="B682" s="15"/>
      <c r="C682" s="26"/>
      <c r="D682" s="15"/>
      <c r="E682" s="15"/>
      <c r="F682" s="3"/>
      <c r="G682" s="26"/>
      <c r="H682" s="15"/>
      <c r="I682" s="26"/>
      <c r="J682" s="15"/>
      <c r="K682" s="26"/>
      <c r="L682" s="15"/>
      <c r="M682" s="26"/>
      <c r="N682" s="26"/>
      <c r="O682" s="26"/>
      <c r="P682" s="26"/>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row>
    <row r="683" spans="1:40" ht="12.75">
      <c r="A683" s="15"/>
      <c r="B683" s="15"/>
      <c r="C683" s="26"/>
      <c r="D683" s="15"/>
      <c r="E683" s="15"/>
      <c r="F683" s="3"/>
      <c r="G683" s="26"/>
      <c r="H683" s="15"/>
      <c r="I683" s="26"/>
      <c r="J683" s="15"/>
      <c r="K683" s="26"/>
      <c r="L683" s="15"/>
      <c r="M683" s="26"/>
      <c r="N683" s="26"/>
      <c r="O683" s="26"/>
      <c r="P683" s="26"/>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row>
    <row r="684" spans="1:40" ht="12.75">
      <c r="A684" s="15"/>
      <c r="B684" s="15"/>
      <c r="C684" s="26"/>
      <c r="D684" s="15"/>
      <c r="E684" s="15"/>
      <c r="F684" s="3"/>
      <c r="G684" s="26"/>
      <c r="H684" s="15"/>
      <c r="I684" s="26"/>
      <c r="J684" s="15"/>
      <c r="K684" s="26"/>
      <c r="L684" s="15"/>
      <c r="M684" s="26"/>
      <c r="N684" s="26"/>
      <c r="O684" s="26"/>
      <c r="P684" s="26"/>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row>
    <row r="685" spans="1:40" ht="12.75">
      <c r="A685" s="15"/>
      <c r="B685" s="15"/>
      <c r="C685" s="26"/>
      <c r="D685" s="15"/>
      <c r="E685" s="15"/>
      <c r="F685" s="3"/>
      <c r="G685" s="26"/>
      <c r="H685" s="15"/>
      <c r="I685" s="26"/>
      <c r="J685" s="15"/>
      <c r="K685" s="26"/>
      <c r="L685" s="15"/>
      <c r="M685" s="26"/>
      <c r="N685" s="26"/>
      <c r="O685" s="26"/>
      <c r="P685" s="26"/>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row>
    <row r="686" spans="1:40" ht="12.75">
      <c r="A686" s="15"/>
      <c r="B686" s="15"/>
      <c r="C686" s="26"/>
      <c r="D686" s="15"/>
      <c r="E686" s="15"/>
      <c r="F686" s="3"/>
      <c r="G686" s="26"/>
      <c r="H686" s="15"/>
      <c r="I686" s="26"/>
      <c r="J686" s="15"/>
      <c r="K686" s="26"/>
      <c r="L686" s="15"/>
      <c r="M686" s="26"/>
      <c r="N686" s="26"/>
      <c r="O686" s="26"/>
      <c r="P686" s="26"/>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row>
    <row r="687" spans="1:40" ht="12.75">
      <c r="A687" s="15"/>
      <c r="B687" s="15"/>
      <c r="C687" s="26"/>
      <c r="D687" s="15"/>
      <c r="E687" s="15"/>
      <c r="F687" s="3"/>
      <c r="G687" s="26"/>
      <c r="H687" s="15"/>
      <c r="I687" s="26"/>
      <c r="J687" s="15"/>
      <c r="K687" s="26"/>
      <c r="L687" s="15"/>
      <c r="M687" s="26"/>
      <c r="N687" s="26"/>
      <c r="O687" s="26"/>
      <c r="P687" s="26"/>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row>
    <row r="688" spans="1:40" ht="12.75">
      <c r="A688" s="15"/>
      <c r="B688" s="15"/>
      <c r="C688" s="26"/>
      <c r="D688" s="15"/>
      <c r="E688" s="15"/>
      <c r="F688" s="3"/>
      <c r="G688" s="26"/>
      <c r="H688" s="15"/>
      <c r="I688" s="26"/>
      <c r="J688" s="15"/>
      <c r="K688" s="26"/>
      <c r="L688" s="15"/>
      <c r="M688" s="26"/>
      <c r="N688" s="26"/>
      <c r="O688" s="26"/>
      <c r="P688" s="26"/>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row>
    <row r="689" spans="1:40" ht="12.75">
      <c r="A689" s="15"/>
      <c r="B689" s="15"/>
      <c r="C689" s="26"/>
      <c r="D689" s="15"/>
      <c r="E689" s="15"/>
      <c r="F689" s="3"/>
      <c r="G689" s="26"/>
      <c r="H689" s="15"/>
      <c r="I689" s="26"/>
      <c r="J689" s="15"/>
      <c r="K689" s="26"/>
      <c r="L689" s="15"/>
      <c r="M689" s="26"/>
      <c r="N689" s="26"/>
      <c r="O689" s="26"/>
      <c r="P689" s="26"/>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row>
    <row r="690" spans="1:40" ht="12.75">
      <c r="A690" s="15"/>
      <c r="B690" s="15"/>
      <c r="C690" s="26"/>
      <c r="D690" s="15"/>
      <c r="E690" s="15"/>
      <c r="F690" s="3"/>
      <c r="G690" s="26"/>
      <c r="H690" s="15"/>
      <c r="I690" s="26"/>
      <c r="J690" s="15"/>
      <c r="K690" s="26"/>
      <c r="L690" s="15"/>
      <c r="M690" s="26"/>
      <c r="N690" s="26"/>
      <c r="O690" s="26"/>
      <c r="P690" s="26"/>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row>
    <row r="691" spans="1:40" ht="12.75">
      <c r="A691" s="15"/>
      <c r="B691" s="15"/>
      <c r="C691" s="26"/>
      <c r="D691" s="15"/>
      <c r="E691" s="15"/>
      <c r="F691" s="3"/>
      <c r="G691" s="26"/>
      <c r="H691" s="15"/>
      <c r="I691" s="26"/>
      <c r="J691" s="15"/>
      <c r="K691" s="26"/>
      <c r="L691" s="15"/>
      <c r="M691" s="26"/>
      <c r="N691" s="26"/>
      <c r="O691" s="26"/>
      <c r="P691" s="26"/>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row>
    <row r="692" spans="1:40" ht="12.75">
      <c r="A692" s="15"/>
      <c r="B692" s="15"/>
      <c r="C692" s="26"/>
      <c r="D692" s="15"/>
      <c r="E692" s="15"/>
      <c r="F692" s="3"/>
      <c r="G692" s="26"/>
      <c r="H692" s="15"/>
      <c r="I692" s="26"/>
      <c r="J692" s="15"/>
      <c r="K692" s="26"/>
      <c r="L692" s="15"/>
      <c r="M692" s="26"/>
      <c r="N692" s="26"/>
      <c r="O692" s="26"/>
      <c r="P692" s="26"/>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row>
    <row r="693" spans="1:40" ht="12.75">
      <c r="A693" s="15"/>
      <c r="B693" s="15"/>
      <c r="C693" s="26"/>
      <c r="D693" s="15"/>
      <c r="E693" s="15"/>
      <c r="F693" s="3"/>
      <c r="G693" s="26"/>
      <c r="H693" s="15"/>
      <c r="I693" s="26"/>
      <c r="J693" s="15"/>
      <c r="K693" s="26"/>
      <c r="L693" s="15"/>
      <c r="M693" s="26"/>
      <c r="N693" s="26"/>
      <c r="O693" s="26"/>
      <c r="P693" s="26"/>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row>
    <row r="694" spans="1:40" ht="12.75">
      <c r="A694" s="15"/>
      <c r="B694" s="15"/>
      <c r="C694" s="26"/>
      <c r="D694" s="15"/>
      <c r="E694" s="15"/>
      <c r="F694" s="3"/>
      <c r="G694" s="26"/>
      <c r="H694" s="15"/>
      <c r="I694" s="26"/>
      <c r="J694" s="15"/>
      <c r="K694" s="26"/>
      <c r="L694" s="15"/>
      <c r="M694" s="26"/>
      <c r="N694" s="26"/>
      <c r="O694" s="26"/>
      <c r="P694" s="26"/>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row>
    <row r="695" spans="1:40" ht="12.75">
      <c r="A695" s="15"/>
      <c r="B695" s="15"/>
      <c r="C695" s="26"/>
      <c r="D695" s="15"/>
      <c r="E695" s="15"/>
      <c r="F695" s="3"/>
      <c r="G695" s="26"/>
      <c r="H695" s="15"/>
      <c r="I695" s="26"/>
      <c r="J695" s="15"/>
      <c r="K695" s="26"/>
      <c r="L695" s="15"/>
      <c r="M695" s="26"/>
      <c r="N695" s="26"/>
      <c r="O695" s="26"/>
      <c r="P695" s="26"/>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row>
    <row r="696" spans="1:40" ht="12.75">
      <c r="A696" s="15"/>
      <c r="B696" s="15"/>
      <c r="C696" s="26"/>
      <c r="D696" s="15"/>
      <c r="E696" s="15"/>
      <c r="F696" s="3"/>
      <c r="G696" s="26"/>
      <c r="H696" s="15"/>
      <c r="I696" s="26"/>
      <c r="J696" s="15"/>
      <c r="K696" s="26"/>
      <c r="L696" s="15"/>
      <c r="M696" s="26"/>
      <c r="N696" s="26"/>
      <c r="O696" s="26"/>
      <c r="P696" s="26"/>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row>
    <row r="697" spans="1:40" ht="12.75">
      <c r="A697" s="15"/>
      <c r="B697" s="15"/>
      <c r="C697" s="26"/>
      <c r="D697" s="15"/>
      <c r="E697" s="15"/>
      <c r="F697" s="3"/>
      <c r="G697" s="26"/>
      <c r="H697" s="15"/>
      <c r="I697" s="26"/>
      <c r="J697" s="15"/>
      <c r="K697" s="26"/>
      <c r="L697" s="15"/>
      <c r="M697" s="26"/>
      <c r="N697" s="26"/>
      <c r="O697" s="26"/>
      <c r="P697" s="26"/>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row>
    <row r="698" spans="1:40" ht="12.75">
      <c r="A698" s="15"/>
      <c r="B698" s="15"/>
      <c r="C698" s="26"/>
      <c r="D698" s="15"/>
      <c r="E698" s="15"/>
      <c r="F698" s="3"/>
      <c r="G698" s="26"/>
      <c r="H698" s="15"/>
      <c r="I698" s="26"/>
      <c r="J698" s="15"/>
      <c r="K698" s="26"/>
      <c r="L698" s="15"/>
      <c r="M698" s="26"/>
      <c r="N698" s="26"/>
      <c r="O698" s="26"/>
      <c r="P698" s="26"/>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row>
    <row r="699" spans="1:40" ht="12.75">
      <c r="A699" s="15"/>
      <c r="B699" s="15"/>
      <c r="C699" s="26"/>
      <c r="D699" s="15"/>
      <c r="E699" s="15"/>
      <c r="F699" s="3"/>
      <c r="G699" s="26"/>
      <c r="H699" s="15"/>
      <c r="I699" s="26"/>
      <c r="J699" s="15"/>
      <c r="K699" s="26"/>
      <c r="L699" s="15"/>
      <c r="M699" s="26"/>
      <c r="N699" s="26"/>
      <c r="O699" s="26"/>
      <c r="P699" s="26"/>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row>
    <row r="700" spans="1:40" ht="12.75">
      <c r="A700" s="15"/>
      <c r="B700" s="15"/>
      <c r="C700" s="26"/>
      <c r="D700" s="15"/>
      <c r="E700" s="15"/>
      <c r="F700" s="3"/>
      <c r="G700" s="26"/>
      <c r="H700" s="15"/>
      <c r="I700" s="26"/>
      <c r="J700" s="15"/>
      <c r="K700" s="26"/>
      <c r="L700" s="15"/>
      <c r="M700" s="26"/>
      <c r="N700" s="26"/>
      <c r="O700" s="26"/>
      <c r="P700" s="26"/>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row>
    <row r="701" spans="1:40" ht="12.75">
      <c r="A701" s="15"/>
      <c r="B701" s="15"/>
      <c r="C701" s="26"/>
      <c r="D701" s="15"/>
      <c r="E701" s="15"/>
      <c r="F701" s="3"/>
      <c r="G701" s="26"/>
      <c r="H701" s="15"/>
      <c r="I701" s="26"/>
      <c r="J701" s="15"/>
      <c r="K701" s="26"/>
      <c r="L701" s="15"/>
      <c r="M701" s="26"/>
      <c r="N701" s="26"/>
      <c r="O701" s="26"/>
      <c r="P701" s="26"/>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row>
    <row r="702" spans="1:40" ht="12.75">
      <c r="A702" s="15"/>
      <c r="B702" s="15"/>
      <c r="C702" s="26"/>
      <c r="D702" s="15"/>
      <c r="E702" s="15"/>
      <c r="F702" s="3"/>
      <c r="G702" s="26"/>
      <c r="H702" s="15"/>
      <c r="I702" s="26"/>
      <c r="J702" s="15"/>
      <c r="K702" s="26"/>
      <c r="L702" s="15"/>
      <c r="M702" s="26"/>
      <c r="N702" s="26"/>
      <c r="O702" s="26"/>
      <c r="P702" s="26"/>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row>
    <row r="703" spans="1:40" ht="12.75">
      <c r="A703" s="15"/>
      <c r="B703" s="15"/>
      <c r="C703" s="26"/>
      <c r="D703" s="15"/>
      <c r="E703" s="15"/>
      <c r="F703" s="3"/>
      <c r="G703" s="26"/>
      <c r="H703" s="15"/>
      <c r="I703" s="26"/>
      <c r="J703" s="15"/>
      <c r="K703" s="26"/>
      <c r="L703" s="15"/>
      <c r="M703" s="26"/>
      <c r="N703" s="26"/>
      <c r="O703" s="26"/>
      <c r="P703" s="26"/>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row>
    <row r="704" spans="1:40" ht="12.75">
      <c r="A704" s="15"/>
      <c r="B704" s="15"/>
      <c r="C704" s="26"/>
      <c r="D704" s="15"/>
      <c r="E704" s="15"/>
      <c r="F704" s="3"/>
      <c r="G704" s="26"/>
      <c r="H704" s="15"/>
      <c r="I704" s="26"/>
      <c r="J704" s="15"/>
      <c r="K704" s="26"/>
      <c r="L704" s="15"/>
      <c r="M704" s="26"/>
      <c r="N704" s="26"/>
      <c r="O704" s="26"/>
      <c r="P704" s="26"/>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row>
    <row r="705" spans="1:40" ht="12.75">
      <c r="A705" s="15"/>
      <c r="B705" s="15"/>
      <c r="C705" s="26"/>
      <c r="D705" s="15"/>
      <c r="E705" s="15"/>
      <c r="F705" s="3"/>
      <c r="G705" s="26"/>
      <c r="H705" s="15"/>
      <c r="I705" s="26"/>
      <c r="J705" s="15"/>
      <c r="K705" s="26"/>
      <c r="L705" s="15"/>
      <c r="M705" s="26"/>
      <c r="N705" s="26"/>
      <c r="O705" s="26"/>
      <c r="P705" s="26"/>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row>
    <row r="706" spans="1:40" ht="12.75">
      <c r="A706" s="15"/>
      <c r="B706" s="15"/>
      <c r="C706" s="26"/>
      <c r="D706" s="15"/>
      <c r="E706" s="15"/>
      <c r="F706" s="3"/>
      <c r="G706" s="26"/>
      <c r="H706" s="15"/>
      <c r="I706" s="26"/>
      <c r="J706" s="15"/>
      <c r="K706" s="26"/>
      <c r="L706" s="15"/>
      <c r="M706" s="26"/>
      <c r="N706" s="26"/>
      <c r="O706" s="26"/>
      <c r="P706" s="26"/>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row>
    <row r="707" spans="1:40" ht="12.75">
      <c r="A707" s="15"/>
      <c r="B707" s="15"/>
      <c r="C707" s="26"/>
      <c r="D707" s="15"/>
      <c r="E707" s="15"/>
      <c r="F707" s="3"/>
      <c r="G707" s="26"/>
      <c r="H707" s="15"/>
      <c r="I707" s="26"/>
      <c r="J707" s="15"/>
      <c r="K707" s="26"/>
      <c r="L707" s="15"/>
      <c r="M707" s="26"/>
      <c r="N707" s="26"/>
      <c r="O707" s="26"/>
      <c r="P707" s="26"/>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row>
    <row r="708" spans="1:40" ht="12.75">
      <c r="A708" s="15"/>
      <c r="B708" s="15"/>
      <c r="C708" s="26"/>
      <c r="D708" s="15"/>
      <c r="E708" s="15"/>
      <c r="F708" s="3"/>
      <c r="G708" s="26"/>
      <c r="H708" s="15"/>
      <c r="I708" s="26"/>
      <c r="J708" s="15"/>
      <c r="K708" s="26"/>
      <c r="L708" s="15"/>
      <c r="M708" s="26"/>
      <c r="N708" s="26"/>
      <c r="O708" s="26"/>
      <c r="P708" s="26"/>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row>
    <row r="709" spans="1:40" ht="12.75">
      <c r="A709" s="15"/>
      <c r="B709" s="15"/>
      <c r="C709" s="26"/>
      <c r="D709" s="15"/>
      <c r="E709" s="15"/>
      <c r="F709" s="3"/>
      <c r="G709" s="26"/>
      <c r="H709" s="15"/>
      <c r="I709" s="26"/>
      <c r="J709" s="15"/>
      <c r="K709" s="26"/>
      <c r="L709" s="15"/>
      <c r="M709" s="26"/>
      <c r="N709" s="26"/>
      <c r="O709" s="26"/>
      <c r="P709" s="26"/>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row>
    <row r="710" spans="1:40" ht="12.75">
      <c r="A710" s="15"/>
      <c r="B710" s="15"/>
      <c r="C710" s="26"/>
      <c r="D710" s="15"/>
      <c r="E710" s="15"/>
      <c r="F710" s="3"/>
      <c r="G710" s="26"/>
      <c r="H710" s="15"/>
      <c r="I710" s="26"/>
      <c r="J710" s="15"/>
      <c r="K710" s="26"/>
      <c r="L710" s="15"/>
      <c r="M710" s="26"/>
      <c r="N710" s="26"/>
      <c r="O710" s="26"/>
      <c r="P710" s="26"/>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row>
    <row r="711" spans="1:40" ht="12.75">
      <c r="A711" s="15"/>
      <c r="B711" s="15"/>
      <c r="C711" s="26"/>
      <c r="D711" s="15"/>
      <c r="E711" s="15"/>
      <c r="F711" s="3"/>
      <c r="G711" s="26"/>
      <c r="H711" s="15"/>
      <c r="I711" s="26"/>
      <c r="J711" s="15"/>
      <c r="K711" s="26"/>
      <c r="L711" s="15"/>
      <c r="M711" s="26"/>
      <c r="N711" s="26"/>
      <c r="O711" s="26"/>
      <c r="P711" s="26"/>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row>
    <row r="712" spans="1:40" ht="12.75">
      <c r="A712" s="15"/>
      <c r="B712" s="15"/>
      <c r="C712" s="26"/>
      <c r="D712" s="15"/>
      <c r="E712" s="15"/>
      <c r="F712" s="3"/>
      <c r="G712" s="26"/>
      <c r="H712" s="15"/>
      <c r="I712" s="26"/>
      <c r="J712" s="15"/>
      <c r="K712" s="26"/>
      <c r="L712" s="15"/>
      <c r="M712" s="26"/>
      <c r="N712" s="26"/>
      <c r="O712" s="26"/>
      <c r="P712" s="26"/>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row>
    <row r="713" spans="1:40" ht="12.75">
      <c r="A713" s="15"/>
      <c r="B713" s="15"/>
      <c r="C713" s="26"/>
      <c r="D713" s="15"/>
      <c r="E713" s="15"/>
      <c r="F713" s="3"/>
      <c r="G713" s="26"/>
      <c r="H713" s="15"/>
      <c r="I713" s="26"/>
      <c r="J713" s="15"/>
      <c r="K713" s="26"/>
      <c r="L713" s="15"/>
      <c r="M713" s="26"/>
      <c r="N713" s="26"/>
      <c r="O713" s="26"/>
      <c r="P713" s="26"/>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row>
    <row r="714" spans="1:40" ht="12.75">
      <c r="A714" s="15"/>
      <c r="B714" s="15"/>
      <c r="C714" s="26"/>
      <c r="D714" s="15"/>
      <c r="E714" s="15"/>
      <c r="F714" s="3"/>
      <c r="G714" s="26"/>
      <c r="H714" s="15"/>
      <c r="I714" s="26"/>
      <c r="J714" s="15"/>
      <c r="K714" s="26"/>
      <c r="L714" s="15"/>
      <c r="M714" s="26"/>
      <c r="N714" s="26"/>
      <c r="O714" s="26"/>
      <c r="P714" s="26"/>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row>
    <row r="715" spans="1:40" ht="12.75">
      <c r="A715" s="15"/>
      <c r="B715" s="15"/>
      <c r="C715" s="26"/>
      <c r="D715" s="15"/>
      <c r="E715" s="15"/>
      <c r="F715" s="3"/>
      <c r="G715" s="26"/>
      <c r="H715" s="15"/>
      <c r="I715" s="26"/>
      <c r="J715" s="15"/>
      <c r="K715" s="26"/>
      <c r="L715" s="15"/>
      <c r="M715" s="26"/>
      <c r="N715" s="26"/>
      <c r="O715" s="26"/>
      <c r="P715" s="26"/>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row>
    <row r="716" spans="1:40" ht="12.75">
      <c r="A716" s="15"/>
      <c r="B716" s="15"/>
      <c r="C716" s="26"/>
      <c r="D716" s="15"/>
      <c r="E716" s="15"/>
      <c r="F716" s="3"/>
      <c r="G716" s="26"/>
      <c r="H716" s="15"/>
      <c r="I716" s="26"/>
      <c r="J716" s="15"/>
      <c r="K716" s="26"/>
      <c r="L716" s="15"/>
      <c r="M716" s="26"/>
      <c r="N716" s="26"/>
      <c r="O716" s="26"/>
      <c r="P716" s="26"/>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row>
    <row r="717" spans="1:40" ht="12.75">
      <c r="A717" s="15"/>
      <c r="B717" s="15"/>
      <c r="C717" s="26"/>
      <c r="D717" s="15"/>
      <c r="E717" s="15"/>
      <c r="F717" s="3"/>
      <c r="G717" s="26"/>
      <c r="H717" s="15"/>
      <c r="I717" s="26"/>
      <c r="J717" s="15"/>
      <c r="K717" s="26"/>
      <c r="L717" s="15"/>
      <c r="M717" s="26"/>
      <c r="N717" s="26"/>
      <c r="O717" s="26"/>
      <c r="P717" s="26"/>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row>
    <row r="718" spans="1:40" ht="12.75">
      <c r="A718" s="15"/>
      <c r="B718" s="15"/>
      <c r="C718" s="26"/>
      <c r="D718" s="15"/>
      <c r="E718" s="15"/>
      <c r="F718" s="3"/>
      <c r="G718" s="26"/>
      <c r="H718" s="15"/>
      <c r="I718" s="26"/>
      <c r="J718" s="15"/>
      <c r="K718" s="26"/>
      <c r="L718" s="15"/>
      <c r="M718" s="26"/>
      <c r="N718" s="26"/>
      <c r="O718" s="26"/>
      <c r="P718" s="26"/>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row>
    <row r="719" spans="1:40" ht="12.75">
      <c r="A719" s="15"/>
      <c r="B719" s="15"/>
      <c r="C719" s="26"/>
      <c r="D719" s="15"/>
      <c r="E719" s="15"/>
      <c r="F719" s="3"/>
      <c r="G719" s="26"/>
      <c r="H719" s="15"/>
      <c r="I719" s="26"/>
      <c r="J719" s="15"/>
      <c r="K719" s="26"/>
      <c r="L719" s="15"/>
      <c r="M719" s="26"/>
      <c r="N719" s="26"/>
      <c r="O719" s="26"/>
      <c r="P719" s="26"/>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row>
    <row r="720" spans="1:40" ht="12.75">
      <c r="A720" s="15"/>
      <c r="B720" s="15"/>
      <c r="C720" s="26"/>
      <c r="D720" s="15"/>
      <c r="E720" s="15"/>
      <c r="F720" s="3"/>
      <c r="G720" s="26"/>
      <c r="H720" s="15"/>
      <c r="I720" s="26"/>
      <c r="J720" s="15"/>
      <c r="K720" s="26"/>
      <c r="L720" s="15"/>
      <c r="M720" s="26"/>
      <c r="N720" s="26"/>
      <c r="O720" s="26"/>
      <c r="P720" s="26"/>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row>
    <row r="721" spans="1:40" ht="12.75">
      <c r="A721" s="15"/>
      <c r="B721" s="15"/>
      <c r="C721" s="26"/>
      <c r="D721" s="15"/>
      <c r="E721" s="15"/>
      <c r="F721" s="3"/>
      <c r="G721" s="26"/>
      <c r="H721" s="15"/>
      <c r="I721" s="26"/>
      <c r="J721" s="15"/>
      <c r="K721" s="26"/>
      <c r="L721" s="15"/>
      <c r="M721" s="26"/>
      <c r="N721" s="26"/>
      <c r="O721" s="26"/>
      <c r="P721" s="26"/>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row>
    <row r="722" spans="1:40" ht="12.75">
      <c r="A722" s="15"/>
      <c r="B722" s="15"/>
      <c r="C722" s="26"/>
      <c r="D722" s="15"/>
      <c r="E722" s="15"/>
      <c r="F722" s="3"/>
      <c r="G722" s="26"/>
      <c r="H722" s="15"/>
      <c r="I722" s="26"/>
      <c r="J722" s="15"/>
      <c r="K722" s="26"/>
      <c r="L722" s="15"/>
      <c r="M722" s="26"/>
      <c r="N722" s="26"/>
      <c r="O722" s="26"/>
      <c r="P722" s="26"/>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row>
    <row r="723" spans="1:40" ht="12.75">
      <c r="A723" s="15"/>
      <c r="B723" s="15"/>
      <c r="C723" s="26"/>
      <c r="D723" s="15"/>
      <c r="E723" s="15"/>
      <c r="F723" s="3"/>
      <c r="G723" s="26"/>
      <c r="H723" s="15"/>
      <c r="I723" s="26"/>
      <c r="J723" s="15"/>
      <c r="K723" s="26"/>
      <c r="L723" s="15"/>
      <c r="M723" s="26"/>
      <c r="N723" s="26"/>
      <c r="O723" s="26"/>
      <c r="P723" s="26"/>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row>
    <row r="724" spans="1:40" ht="12.75">
      <c r="A724" s="15"/>
      <c r="B724" s="15"/>
      <c r="C724" s="26"/>
      <c r="D724" s="15"/>
      <c r="E724" s="15"/>
      <c r="F724" s="3"/>
      <c r="G724" s="26"/>
      <c r="H724" s="15"/>
      <c r="I724" s="26"/>
      <c r="J724" s="15"/>
      <c r="K724" s="26"/>
      <c r="L724" s="15"/>
      <c r="M724" s="26"/>
      <c r="N724" s="26"/>
      <c r="O724" s="26"/>
      <c r="P724" s="26"/>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row>
    <row r="725" spans="1:40" ht="12.75">
      <c r="A725" s="15"/>
      <c r="B725" s="15"/>
      <c r="C725" s="26"/>
      <c r="D725" s="15"/>
      <c r="E725" s="15"/>
      <c r="F725" s="3"/>
      <c r="G725" s="26"/>
      <c r="H725" s="15"/>
      <c r="I725" s="26"/>
      <c r="J725" s="15"/>
      <c r="K725" s="26"/>
      <c r="L725" s="15"/>
      <c r="M725" s="26"/>
      <c r="N725" s="26"/>
      <c r="O725" s="26"/>
      <c r="P725" s="26"/>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row>
    <row r="726" spans="1:40" ht="12.75">
      <c r="A726" s="15"/>
      <c r="B726" s="15"/>
      <c r="C726" s="26"/>
      <c r="D726" s="15"/>
      <c r="E726" s="15"/>
      <c r="F726" s="3"/>
      <c r="G726" s="26"/>
      <c r="H726" s="15"/>
      <c r="I726" s="26"/>
      <c r="J726" s="15"/>
      <c r="K726" s="26"/>
      <c r="L726" s="15"/>
      <c r="M726" s="26"/>
      <c r="N726" s="26"/>
      <c r="O726" s="26"/>
      <c r="P726" s="26"/>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row>
    <row r="727" spans="1:40" ht="12.75">
      <c r="A727" s="15"/>
      <c r="B727" s="15"/>
      <c r="C727" s="26"/>
      <c r="D727" s="15"/>
      <c r="E727" s="15"/>
      <c r="F727" s="3"/>
      <c r="G727" s="26"/>
      <c r="H727" s="15"/>
      <c r="I727" s="26"/>
      <c r="J727" s="15"/>
      <c r="K727" s="26"/>
      <c r="L727" s="15"/>
      <c r="M727" s="26"/>
      <c r="N727" s="26"/>
      <c r="O727" s="26"/>
      <c r="P727" s="26"/>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row>
    <row r="728" spans="1:40" ht="12.75">
      <c r="A728" s="15"/>
      <c r="B728" s="15"/>
      <c r="C728" s="26"/>
      <c r="D728" s="15"/>
      <c r="E728" s="15"/>
      <c r="F728" s="3"/>
      <c r="G728" s="26"/>
      <c r="H728" s="15"/>
      <c r="I728" s="26"/>
      <c r="J728" s="15"/>
      <c r="K728" s="26"/>
      <c r="L728" s="15"/>
      <c r="M728" s="26"/>
      <c r="N728" s="26"/>
      <c r="O728" s="26"/>
      <c r="P728" s="26"/>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row>
    <row r="729" spans="1:40" ht="12.75">
      <c r="A729" s="15"/>
      <c r="B729" s="15"/>
      <c r="C729" s="26"/>
      <c r="D729" s="15"/>
      <c r="E729" s="15"/>
      <c r="F729" s="3"/>
      <c r="G729" s="26"/>
      <c r="H729" s="15"/>
      <c r="I729" s="26"/>
      <c r="J729" s="15"/>
      <c r="K729" s="26"/>
      <c r="L729" s="15"/>
      <c r="M729" s="26"/>
      <c r="N729" s="26"/>
      <c r="O729" s="26"/>
      <c r="P729" s="26"/>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row>
    <row r="730" spans="1:40" ht="12.75">
      <c r="A730" s="15"/>
      <c r="B730" s="15"/>
      <c r="C730" s="26"/>
      <c r="D730" s="15"/>
      <c r="E730" s="15"/>
      <c r="F730" s="3"/>
      <c r="G730" s="26"/>
      <c r="H730" s="15"/>
      <c r="I730" s="26"/>
      <c r="J730" s="15"/>
      <c r="K730" s="26"/>
      <c r="L730" s="15"/>
      <c r="M730" s="26"/>
      <c r="N730" s="26"/>
      <c r="O730" s="26"/>
      <c r="P730" s="26"/>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row>
    <row r="731" spans="1:40" ht="12.75">
      <c r="A731" s="15"/>
      <c r="B731" s="15"/>
      <c r="C731" s="26"/>
      <c r="D731" s="15"/>
      <c r="E731" s="15"/>
      <c r="F731" s="3"/>
      <c r="G731" s="26"/>
      <c r="H731" s="15"/>
      <c r="I731" s="26"/>
      <c r="J731" s="15"/>
      <c r="K731" s="26"/>
      <c r="L731" s="15"/>
      <c r="M731" s="26"/>
      <c r="N731" s="26"/>
      <c r="O731" s="26"/>
      <c r="P731" s="26"/>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row>
    <row r="732" spans="1:40" ht="12.75">
      <c r="A732" s="15"/>
      <c r="B732" s="15"/>
      <c r="C732" s="26"/>
      <c r="D732" s="15"/>
      <c r="E732" s="15"/>
      <c r="F732" s="3"/>
      <c r="G732" s="26"/>
      <c r="H732" s="15"/>
      <c r="I732" s="26"/>
      <c r="J732" s="15"/>
      <c r="K732" s="26"/>
      <c r="L732" s="15"/>
      <c r="M732" s="26"/>
      <c r="N732" s="26"/>
      <c r="O732" s="26"/>
      <c r="P732" s="26"/>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row>
    <row r="733" spans="1:40" ht="12.75">
      <c r="A733" s="15"/>
      <c r="B733" s="15"/>
      <c r="C733" s="26"/>
      <c r="D733" s="15"/>
      <c r="E733" s="15"/>
      <c r="F733" s="3"/>
      <c r="G733" s="26"/>
      <c r="H733" s="15"/>
      <c r="I733" s="26"/>
      <c r="J733" s="15"/>
      <c r="K733" s="26"/>
      <c r="L733" s="15"/>
      <c r="M733" s="26"/>
      <c r="N733" s="26"/>
      <c r="O733" s="26"/>
      <c r="P733" s="26"/>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row>
    <row r="734" spans="1:40" ht="12.75">
      <c r="A734" s="15"/>
      <c r="B734" s="15"/>
      <c r="C734" s="26"/>
      <c r="D734" s="15"/>
      <c r="E734" s="15"/>
      <c r="F734" s="3"/>
      <c r="G734" s="26"/>
      <c r="H734" s="15"/>
      <c r="I734" s="26"/>
      <c r="J734" s="15"/>
      <c r="K734" s="26"/>
      <c r="L734" s="15"/>
      <c r="M734" s="26"/>
      <c r="N734" s="26"/>
      <c r="O734" s="26"/>
      <c r="P734" s="26"/>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row>
    <row r="735" spans="1:40" ht="12.75">
      <c r="A735" s="15"/>
      <c r="B735" s="15"/>
      <c r="C735" s="26"/>
      <c r="D735" s="15"/>
      <c r="E735" s="15"/>
      <c r="F735" s="3"/>
      <c r="G735" s="26"/>
      <c r="H735" s="15"/>
      <c r="I735" s="26"/>
      <c r="J735" s="15"/>
      <c r="K735" s="26"/>
      <c r="L735" s="15"/>
      <c r="M735" s="26"/>
      <c r="N735" s="26"/>
      <c r="O735" s="26"/>
      <c r="P735" s="26"/>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row>
    <row r="736" spans="1:40" ht="12.75">
      <c r="A736" s="15"/>
      <c r="B736" s="15"/>
      <c r="C736" s="26"/>
      <c r="D736" s="15"/>
      <c r="E736" s="15"/>
      <c r="F736" s="3"/>
      <c r="G736" s="26"/>
      <c r="H736" s="15"/>
      <c r="I736" s="26"/>
      <c r="J736" s="15"/>
      <c r="K736" s="26"/>
      <c r="L736" s="15"/>
      <c r="M736" s="26"/>
      <c r="N736" s="26"/>
      <c r="O736" s="26"/>
      <c r="P736" s="26"/>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row>
    <row r="737" spans="1:40" ht="12.75">
      <c r="A737" s="15"/>
      <c r="B737" s="15"/>
      <c r="C737" s="26"/>
      <c r="D737" s="15"/>
      <c r="E737" s="15"/>
      <c r="F737" s="3"/>
      <c r="G737" s="26"/>
      <c r="H737" s="15"/>
      <c r="I737" s="26"/>
      <c r="J737" s="15"/>
      <c r="K737" s="26"/>
      <c r="L737" s="15"/>
      <c r="M737" s="26"/>
      <c r="N737" s="26"/>
      <c r="O737" s="26"/>
      <c r="P737" s="26"/>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row>
    <row r="738" spans="1:40" ht="12.75">
      <c r="A738" s="15"/>
      <c r="B738" s="15"/>
      <c r="C738" s="26"/>
      <c r="D738" s="15"/>
      <c r="E738" s="15"/>
      <c r="F738" s="3"/>
      <c r="G738" s="26"/>
      <c r="H738" s="15"/>
      <c r="I738" s="26"/>
      <c r="J738" s="15"/>
      <c r="K738" s="26"/>
      <c r="L738" s="15"/>
      <c r="M738" s="26"/>
      <c r="N738" s="26"/>
      <c r="O738" s="26"/>
      <c r="P738" s="26"/>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row>
    <row r="739" spans="1:40" ht="12.75">
      <c r="A739" s="15"/>
      <c r="B739" s="15"/>
      <c r="C739" s="26"/>
      <c r="D739" s="15"/>
      <c r="E739" s="15"/>
      <c r="F739" s="3"/>
      <c r="G739" s="26"/>
      <c r="H739" s="15"/>
      <c r="I739" s="26"/>
      <c r="J739" s="15"/>
      <c r="K739" s="26"/>
      <c r="L739" s="15"/>
      <c r="M739" s="26"/>
      <c r="N739" s="26"/>
      <c r="O739" s="26"/>
      <c r="P739" s="26"/>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row>
    <row r="740" spans="1:40" ht="12.75">
      <c r="A740" s="15"/>
      <c r="B740" s="15"/>
      <c r="C740" s="26"/>
      <c r="D740" s="15"/>
      <c r="E740" s="15"/>
      <c r="F740" s="3"/>
      <c r="G740" s="26"/>
      <c r="H740" s="15"/>
      <c r="I740" s="26"/>
      <c r="J740" s="15"/>
      <c r="K740" s="26"/>
      <c r="L740" s="15"/>
      <c r="M740" s="26"/>
      <c r="N740" s="26"/>
      <c r="O740" s="26"/>
      <c r="P740" s="26"/>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row>
    <row r="741" spans="1:40" ht="12.75">
      <c r="A741" s="15"/>
      <c r="B741" s="15"/>
      <c r="C741" s="26"/>
      <c r="D741" s="15"/>
      <c r="E741" s="15"/>
      <c r="F741" s="3"/>
      <c r="G741" s="26"/>
      <c r="H741" s="15"/>
      <c r="I741" s="26"/>
      <c r="J741" s="15"/>
      <c r="K741" s="26"/>
      <c r="L741" s="15"/>
      <c r="M741" s="26"/>
      <c r="N741" s="26"/>
      <c r="O741" s="26"/>
      <c r="P741" s="26"/>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row>
    <row r="742" spans="1:40" ht="12.75">
      <c r="A742" s="15"/>
      <c r="B742" s="15"/>
      <c r="C742" s="26"/>
      <c r="D742" s="15"/>
      <c r="E742" s="15"/>
      <c r="F742" s="3"/>
      <c r="G742" s="26"/>
      <c r="H742" s="15"/>
      <c r="I742" s="26"/>
      <c r="J742" s="15"/>
      <c r="K742" s="26"/>
      <c r="L742" s="15"/>
      <c r="M742" s="26"/>
      <c r="N742" s="26"/>
      <c r="O742" s="26"/>
      <c r="P742" s="26"/>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row>
    <row r="743" spans="1:40" ht="12.75">
      <c r="A743" s="15"/>
      <c r="B743" s="15"/>
      <c r="C743" s="26"/>
      <c r="D743" s="15"/>
      <c r="E743" s="15"/>
      <c r="F743" s="3"/>
      <c r="G743" s="26"/>
      <c r="H743" s="15"/>
      <c r="I743" s="26"/>
      <c r="J743" s="15"/>
      <c r="K743" s="26"/>
      <c r="L743" s="15"/>
      <c r="M743" s="26"/>
      <c r="N743" s="26"/>
      <c r="O743" s="26"/>
      <c r="P743" s="26"/>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row>
    <row r="744" spans="1:40" ht="12.75">
      <c r="A744" s="15"/>
      <c r="B744" s="15"/>
      <c r="C744" s="26"/>
      <c r="D744" s="15"/>
      <c r="E744" s="15"/>
      <c r="F744" s="3"/>
      <c r="G744" s="26"/>
      <c r="H744" s="15"/>
      <c r="I744" s="26"/>
      <c r="J744" s="15"/>
      <c r="K744" s="26"/>
      <c r="L744" s="15"/>
      <c r="M744" s="26"/>
      <c r="N744" s="26"/>
      <c r="O744" s="26"/>
      <c r="P744" s="26"/>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row>
    <row r="745" spans="1:40" ht="12.75">
      <c r="A745" s="15"/>
      <c r="B745" s="15"/>
      <c r="C745" s="26"/>
      <c r="D745" s="15"/>
      <c r="E745" s="15"/>
      <c r="F745" s="3"/>
      <c r="G745" s="26"/>
      <c r="H745" s="15"/>
      <c r="I745" s="26"/>
      <c r="J745" s="15"/>
      <c r="K745" s="26"/>
      <c r="L745" s="15"/>
      <c r="M745" s="26"/>
      <c r="N745" s="26"/>
      <c r="O745" s="26"/>
      <c r="P745" s="26"/>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row>
    <row r="746" spans="1:40" ht="12.75">
      <c r="A746" s="15"/>
      <c r="B746" s="15"/>
      <c r="C746" s="26"/>
      <c r="D746" s="15"/>
      <c r="E746" s="15"/>
      <c r="F746" s="3"/>
      <c r="G746" s="26"/>
      <c r="H746" s="15"/>
      <c r="I746" s="26"/>
      <c r="J746" s="15"/>
      <c r="K746" s="26"/>
      <c r="L746" s="15"/>
      <c r="M746" s="26"/>
      <c r="N746" s="26"/>
      <c r="O746" s="26"/>
      <c r="P746" s="26"/>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row>
    <row r="747" spans="1:40" ht="12.75">
      <c r="A747" s="15"/>
      <c r="B747" s="15"/>
      <c r="C747" s="26"/>
      <c r="D747" s="15"/>
      <c r="E747" s="15"/>
      <c r="F747" s="3"/>
      <c r="G747" s="26"/>
      <c r="H747" s="15"/>
      <c r="I747" s="26"/>
      <c r="J747" s="15"/>
      <c r="K747" s="26"/>
      <c r="L747" s="15"/>
      <c r="M747" s="26"/>
      <c r="N747" s="26"/>
      <c r="O747" s="26"/>
      <c r="P747" s="26"/>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row>
    <row r="748" spans="1:40" ht="12.75">
      <c r="A748" s="15"/>
      <c r="B748" s="15"/>
      <c r="C748" s="26"/>
      <c r="D748" s="15"/>
      <c r="E748" s="15"/>
      <c r="F748" s="3"/>
      <c r="G748" s="26"/>
      <c r="H748" s="15"/>
      <c r="I748" s="26"/>
      <c r="J748" s="15"/>
      <c r="K748" s="26"/>
      <c r="L748" s="15"/>
      <c r="M748" s="26"/>
      <c r="N748" s="26"/>
      <c r="O748" s="26"/>
      <c r="P748" s="26"/>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row>
    <row r="749" spans="1:40" ht="12.75">
      <c r="A749" s="15"/>
      <c r="B749" s="15"/>
      <c r="C749" s="26"/>
      <c r="D749" s="15"/>
      <c r="E749" s="15"/>
      <c r="F749" s="3"/>
      <c r="G749" s="26"/>
      <c r="H749" s="15"/>
      <c r="I749" s="26"/>
      <c r="J749" s="15"/>
      <c r="K749" s="26"/>
      <c r="L749" s="15"/>
      <c r="M749" s="26"/>
      <c r="N749" s="26"/>
      <c r="O749" s="26"/>
      <c r="P749" s="26"/>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row>
    <row r="750" spans="1:40" ht="12.75">
      <c r="A750" s="15"/>
      <c r="B750" s="15"/>
      <c r="C750" s="26"/>
      <c r="D750" s="15"/>
      <c r="E750" s="15"/>
      <c r="F750" s="3"/>
      <c r="G750" s="26"/>
      <c r="H750" s="15"/>
      <c r="I750" s="26"/>
      <c r="J750" s="15"/>
      <c r="K750" s="26"/>
      <c r="L750" s="15"/>
      <c r="M750" s="26"/>
      <c r="N750" s="26"/>
      <c r="O750" s="26"/>
      <c r="P750" s="26"/>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row>
    <row r="751" spans="1:40" ht="12.75">
      <c r="A751" s="15"/>
      <c r="B751" s="15"/>
      <c r="C751" s="26"/>
      <c r="D751" s="15"/>
      <c r="E751" s="15"/>
      <c r="F751" s="3"/>
      <c r="G751" s="26"/>
      <c r="H751" s="15"/>
      <c r="I751" s="26"/>
      <c r="J751" s="15"/>
      <c r="K751" s="26"/>
      <c r="L751" s="15"/>
      <c r="M751" s="26"/>
      <c r="N751" s="26"/>
      <c r="O751" s="26"/>
      <c r="P751" s="26"/>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row>
    <row r="752" spans="1:40" ht="12.75">
      <c r="A752" s="15"/>
      <c r="B752" s="15"/>
      <c r="C752" s="26"/>
      <c r="D752" s="15"/>
      <c r="E752" s="15"/>
      <c r="F752" s="3"/>
      <c r="G752" s="26"/>
      <c r="H752" s="15"/>
      <c r="I752" s="26"/>
      <c r="J752" s="15"/>
      <c r="K752" s="26"/>
      <c r="L752" s="15"/>
      <c r="M752" s="26"/>
      <c r="N752" s="26"/>
      <c r="O752" s="26"/>
      <c r="P752" s="26"/>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row>
    <row r="753" spans="1:40" ht="12.75">
      <c r="A753" s="15"/>
      <c r="B753" s="15"/>
      <c r="C753" s="26"/>
      <c r="D753" s="15"/>
      <c r="E753" s="15"/>
      <c r="F753" s="3"/>
      <c r="G753" s="26"/>
      <c r="H753" s="15"/>
      <c r="I753" s="26"/>
      <c r="J753" s="15"/>
      <c r="K753" s="26"/>
      <c r="L753" s="15"/>
      <c r="M753" s="26"/>
      <c r="N753" s="26"/>
      <c r="O753" s="26"/>
      <c r="P753" s="26"/>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row>
    <row r="754" spans="1:40" ht="12.75">
      <c r="A754" s="15"/>
      <c r="B754" s="15"/>
      <c r="C754" s="26"/>
      <c r="D754" s="15"/>
      <c r="E754" s="15"/>
      <c r="F754" s="3"/>
      <c r="G754" s="26"/>
      <c r="H754" s="15"/>
      <c r="I754" s="26"/>
      <c r="J754" s="15"/>
      <c r="K754" s="26"/>
      <c r="L754" s="15"/>
      <c r="M754" s="26"/>
      <c r="N754" s="26"/>
      <c r="O754" s="26"/>
      <c r="P754" s="26"/>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row>
    <row r="755" spans="1:40" ht="12.75">
      <c r="A755" s="15"/>
      <c r="B755" s="15"/>
      <c r="C755" s="26"/>
      <c r="D755" s="15"/>
      <c r="E755" s="15"/>
      <c r="F755" s="3"/>
      <c r="G755" s="26"/>
      <c r="H755" s="15"/>
      <c r="I755" s="26"/>
      <c r="J755" s="15"/>
      <c r="K755" s="26"/>
      <c r="L755" s="15"/>
      <c r="M755" s="26"/>
      <c r="N755" s="26"/>
      <c r="O755" s="26"/>
      <c r="P755" s="26"/>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row>
    <row r="756" spans="1:40" ht="12.75">
      <c r="A756" s="15"/>
      <c r="B756" s="15"/>
      <c r="C756" s="26"/>
      <c r="D756" s="15"/>
      <c r="E756" s="15"/>
      <c r="F756" s="3"/>
      <c r="G756" s="26"/>
      <c r="H756" s="15"/>
      <c r="I756" s="26"/>
      <c r="J756" s="15"/>
      <c r="K756" s="26"/>
      <c r="L756" s="15"/>
      <c r="M756" s="26"/>
      <c r="N756" s="26"/>
      <c r="O756" s="26"/>
      <c r="P756" s="26"/>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row>
    <row r="757" spans="1:40" ht="12.75">
      <c r="A757" s="15"/>
      <c r="B757" s="15"/>
      <c r="C757" s="26"/>
      <c r="D757" s="15"/>
      <c r="E757" s="15"/>
      <c r="F757" s="3"/>
      <c r="G757" s="26"/>
      <c r="H757" s="15"/>
      <c r="I757" s="26"/>
      <c r="J757" s="15"/>
      <c r="K757" s="26"/>
      <c r="L757" s="15"/>
      <c r="M757" s="26"/>
      <c r="N757" s="26"/>
      <c r="O757" s="26"/>
      <c r="P757" s="26"/>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row>
    <row r="758" spans="1:40" ht="12.75">
      <c r="A758" s="15"/>
      <c r="B758" s="15"/>
      <c r="C758" s="26"/>
      <c r="D758" s="15"/>
      <c r="E758" s="15"/>
      <c r="F758" s="3"/>
      <c r="G758" s="26"/>
      <c r="H758" s="15"/>
      <c r="I758" s="26"/>
      <c r="J758" s="15"/>
      <c r="K758" s="26"/>
      <c r="L758" s="15"/>
      <c r="M758" s="26"/>
      <c r="N758" s="26"/>
      <c r="O758" s="26"/>
      <c r="P758" s="26"/>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row>
    <row r="759" spans="1:40" ht="12.75">
      <c r="A759" s="15"/>
      <c r="B759" s="15"/>
      <c r="C759" s="26"/>
      <c r="D759" s="15"/>
      <c r="E759" s="15"/>
      <c r="F759" s="3"/>
      <c r="G759" s="26"/>
      <c r="H759" s="15"/>
      <c r="I759" s="26"/>
      <c r="J759" s="15"/>
      <c r="K759" s="26"/>
      <c r="L759" s="15"/>
      <c r="M759" s="26"/>
      <c r="N759" s="26"/>
      <c r="O759" s="26"/>
      <c r="P759" s="26"/>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row>
    <row r="760" spans="1:40" ht="12.75">
      <c r="A760" s="15"/>
      <c r="B760" s="15"/>
      <c r="C760" s="26"/>
      <c r="D760" s="15"/>
      <c r="E760" s="15"/>
      <c r="F760" s="3"/>
      <c r="G760" s="26"/>
      <c r="H760" s="15"/>
      <c r="I760" s="26"/>
      <c r="J760" s="15"/>
      <c r="K760" s="26"/>
      <c r="L760" s="15"/>
      <c r="M760" s="26"/>
      <c r="N760" s="26"/>
      <c r="O760" s="26"/>
      <c r="P760" s="26"/>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row>
    <row r="761" spans="1:40" ht="12.75">
      <c r="A761" s="15"/>
      <c r="B761" s="15"/>
      <c r="C761" s="26"/>
      <c r="D761" s="15"/>
      <c r="E761" s="15"/>
      <c r="F761" s="3"/>
      <c r="G761" s="26"/>
      <c r="H761" s="15"/>
      <c r="I761" s="26"/>
      <c r="J761" s="15"/>
      <c r="K761" s="26"/>
      <c r="L761" s="15"/>
      <c r="M761" s="26"/>
      <c r="N761" s="26"/>
      <c r="O761" s="26"/>
      <c r="P761" s="26"/>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row>
    <row r="762" spans="1:40" ht="12.75">
      <c r="A762" s="15"/>
      <c r="B762" s="15"/>
      <c r="C762" s="26"/>
      <c r="D762" s="15"/>
      <c r="E762" s="15"/>
      <c r="F762" s="3"/>
      <c r="G762" s="26"/>
      <c r="H762" s="15"/>
      <c r="I762" s="26"/>
      <c r="J762" s="15"/>
      <c r="K762" s="26"/>
      <c r="L762" s="15"/>
      <c r="M762" s="26"/>
      <c r="N762" s="26"/>
      <c r="O762" s="26"/>
      <c r="P762" s="26"/>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row>
    <row r="763" spans="1:40" ht="12.75">
      <c r="A763" s="15"/>
      <c r="B763" s="15"/>
      <c r="C763" s="26"/>
      <c r="D763" s="15"/>
      <c r="E763" s="15"/>
      <c r="F763" s="3"/>
      <c r="G763" s="26"/>
      <c r="H763" s="15"/>
      <c r="I763" s="26"/>
      <c r="J763" s="15"/>
      <c r="K763" s="26"/>
      <c r="L763" s="15"/>
      <c r="M763" s="26"/>
      <c r="N763" s="26"/>
      <c r="O763" s="26"/>
      <c r="P763" s="26"/>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row>
    <row r="764" spans="1:40" ht="12.75">
      <c r="A764" s="15"/>
      <c r="B764" s="15"/>
      <c r="C764" s="26"/>
      <c r="D764" s="15"/>
      <c r="E764" s="15"/>
      <c r="F764" s="3"/>
      <c r="G764" s="26"/>
      <c r="H764" s="15"/>
      <c r="I764" s="26"/>
      <c r="J764" s="15"/>
      <c r="K764" s="26"/>
      <c r="L764" s="15"/>
      <c r="M764" s="26"/>
      <c r="N764" s="26"/>
      <c r="O764" s="26"/>
      <c r="P764" s="26"/>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row>
    <row r="765" spans="1:40" ht="12.75">
      <c r="A765" s="15"/>
      <c r="B765" s="15"/>
      <c r="C765" s="26"/>
      <c r="D765" s="15"/>
      <c r="E765" s="15"/>
      <c r="F765" s="3"/>
      <c r="G765" s="26"/>
      <c r="H765" s="15"/>
      <c r="I765" s="26"/>
      <c r="J765" s="15"/>
      <c r="K765" s="26"/>
      <c r="L765" s="15"/>
      <c r="M765" s="26"/>
      <c r="N765" s="26"/>
      <c r="O765" s="26"/>
      <c r="P765" s="26"/>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row>
    <row r="766" spans="1:40" ht="12.75">
      <c r="A766" s="15"/>
      <c r="B766" s="15"/>
      <c r="C766" s="26"/>
      <c r="D766" s="15"/>
      <c r="E766" s="15"/>
      <c r="F766" s="3"/>
      <c r="G766" s="26"/>
      <c r="H766" s="15"/>
      <c r="I766" s="26"/>
      <c r="J766" s="15"/>
      <c r="K766" s="26"/>
      <c r="L766" s="15"/>
      <c r="M766" s="26"/>
      <c r="N766" s="26"/>
      <c r="O766" s="26"/>
      <c r="P766" s="26"/>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row>
    <row r="767" spans="1:40" ht="12.75">
      <c r="A767" s="15"/>
      <c r="B767" s="15"/>
      <c r="C767" s="26"/>
      <c r="D767" s="15"/>
      <c r="E767" s="15"/>
      <c r="F767" s="3"/>
      <c r="G767" s="26"/>
      <c r="H767" s="15"/>
      <c r="I767" s="26"/>
      <c r="J767" s="15"/>
      <c r="K767" s="26"/>
      <c r="L767" s="15"/>
      <c r="M767" s="26"/>
      <c r="N767" s="26"/>
      <c r="O767" s="26"/>
      <c r="P767" s="26"/>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row>
    <row r="768" spans="1:40" ht="12.75">
      <c r="A768" s="15"/>
      <c r="B768" s="15"/>
      <c r="C768" s="26"/>
      <c r="D768" s="15"/>
      <c r="E768" s="15"/>
      <c r="F768" s="3"/>
      <c r="G768" s="26"/>
      <c r="H768" s="15"/>
      <c r="I768" s="26"/>
      <c r="J768" s="15"/>
      <c r="K768" s="26"/>
      <c r="L768" s="15"/>
      <c r="M768" s="26"/>
      <c r="N768" s="26"/>
      <c r="O768" s="26"/>
      <c r="P768" s="26"/>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row>
    <row r="769" spans="1:40" ht="12.75">
      <c r="A769" s="15"/>
      <c r="B769" s="15"/>
      <c r="C769" s="26"/>
      <c r="D769" s="15"/>
      <c r="E769" s="15"/>
      <c r="F769" s="3"/>
      <c r="G769" s="26"/>
      <c r="H769" s="15"/>
      <c r="I769" s="26"/>
      <c r="J769" s="15"/>
      <c r="K769" s="26"/>
      <c r="L769" s="15"/>
      <c r="M769" s="26"/>
      <c r="N769" s="26"/>
      <c r="O769" s="26"/>
      <c r="P769" s="26"/>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row>
    <row r="770" spans="1:40" ht="12.75">
      <c r="A770" s="15"/>
      <c r="B770" s="15"/>
      <c r="C770" s="26"/>
      <c r="D770" s="15"/>
      <c r="E770" s="15"/>
      <c r="F770" s="3"/>
      <c r="G770" s="26"/>
      <c r="H770" s="15"/>
      <c r="I770" s="26"/>
      <c r="J770" s="15"/>
      <c r="K770" s="26"/>
      <c r="L770" s="15"/>
      <c r="M770" s="26"/>
      <c r="N770" s="26"/>
      <c r="O770" s="26"/>
      <c r="P770" s="26"/>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row>
    <row r="771" spans="1:40" ht="12.75">
      <c r="A771" s="15"/>
      <c r="B771" s="15"/>
      <c r="C771" s="26"/>
      <c r="D771" s="15"/>
      <c r="E771" s="15"/>
      <c r="F771" s="3"/>
      <c r="G771" s="26"/>
      <c r="H771" s="15"/>
      <c r="I771" s="26"/>
      <c r="J771" s="15"/>
      <c r="K771" s="26"/>
      <c r="L771" s="15"/>
      <c r="M771" s="26"/>
      <c r="N771" s="26"/>
      <c r="O771" s="26"/>
      <c r="P771" s="26"/>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row>
    <row r="772" spans="1:40" ht="12.75">
      <c r="A772" s="15"/>
      <c r="B772" s="15"/>
      <c r="C772" s="26"/>
      <c r="D772" s="15"/>
      <c r="E772" s="15"/>
      <c r="F772" s="3"/>
      <c r="G772" s="26"/>
      <c r="H772" s="15"/>
      <c r="I772" s="26"/>
      <c r="J772" s="15"/>
      <c r="K772" s="26"/>
      <c r="L772" s="15"/>
      <c r="M772" s="26"/>
      <c r="N772" s="26"/>
      <c r="O772" s="26"/>
      <c r="P772" s="26"/>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row>
    <row r="773" spans="1:40" ht="12.75">
      <c r="A773" s="15"/>
      <c r="B773" s="15"/>
      <c r="C773" s="26"/>
      <c r="D773" s="15"/>
      <c r="E773" s="15"/>
      <c r="F773" s="3"/>
      <c r="G773" s="26"/>
      <c r="H773" s="15"/>
      <c r="I773" s="26"/>
      <c r="J773" s="15"/>
      <c r="K773" s="26"/>
      <c r="L773" s="15"/>
      <c r="M773" s="26"/>
      <c r="N773" s="26"/>
      <c r="O773" s="26"/>
      <c r="P773" s="26"/>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row>
    <row r="774" spans="1:40" ht="12.75">
      <c r="A774" s="15"/>
      <c r="B774" s="15"/>
      <c r="C774" s="26"/>
      <c r="D774" s="15"/>
      <c r="E774" s="15"/>
      <c r="F774" s="3"/>
      <c r="G774" s="26"/>
      <c r="H774" s="15"/>
      <c r="I774" s="26"/>
      <c r="J774" s="15"/>
      <c r="K774" s="26"/>
      <c r="L774" s="15"/>
      <c r="M774" s="26"/>
      <c r="N774" s="26"/>
      <c r="O774" s="26"/>
      <c r="P774" s="26"/>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row>
    <row r="775" spans="1:40" ht="12.75">
      <c r="A775" s="15"/>
      <c r="B775" s="15"/>
      <c r="C775" s="26"/>
      <c r="D775" s="15"/>
      <c r="E775" s="15"/>
      <c r="F775" s="3"/>
      <c r="G775" s="26"/>
      <c r="H775" s="15"/>
      <c r="I775" s="26"/>
      <c r="J775" s="15"/>
      <c r="K775" s="26"/>
      <c r="L775" s="15"/>
      <c r="M775" s="26"/>
      <c r="N775" s="26"/>
      <c r="O775" s="26"/>
      <c r="P775" s="26"/>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row>
    <row r="776" spans="1:40" ht="12.75">
      <c r="A776" s="15"/>
      <c r="B776" s="15"/>
      <c r="C776" s="26"/>
      <c r="D776" s="15"/>
      <c r="E776" s="15"/>
      <c r="F776" s="3"/>
      <c r="G776" s="26"/>
      <c r="H776" s="15"/>
      <c r="I776" s="26"/>
      <c r="J776" s="15"/>
      <c r="K776" s="26"/>
      <c r="L776" s="15"/>
      <c r="M776" s="26"/>
      <c r="N776" s="26"/>
      <c r="O776" s="26"/>
      <c r="P776" s="26"/>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row>
    <row r="777" spans="1:40" ht="12.75">
      <c r="A777" s="15"/>
      <c r="B777" s="15"/>
      <c r="C777" s="26"/>
      <c r="D777" s="15"/>
      <c r="E777" s="15"/>
      <c r="F777" s="3"/>
      <c r="G777" s="26"/>
      <c r="H777" s="15"/>
      <c r="I777" s="26"/>
      <c r="J777" s="15"/>
      <c r="K777" s="26"/>
      <c r="L777" s="15"/>
      <c r="M777" s="26"/>
      <c r="N777" s="26"/>
      <c r="O777" s="26"/>
      <c r="P777" s="26"/>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row>
    <row r="778" spans="1:40" ht="12.75">
      <c r="A778" s="15"/>
      <c r="B778" s="15"/>
      <c r="C778" s="26"/>
      <c r="D778" s="15"/>
      <c r="E778" s="15"/>
      <c r="F778" s="3"/>
      <c r="G778" s="26"/>
      <c r="H778" s="15"/>
      <c r="I778" s="26"/>
      <c r="J778" s="15"/>
      <c r="K778" s="26"/>
      <c r="L778" s="15"/>
      <c r="M778" s="26"/>
      <c r="N778" s="26"/>
      <c r="O778" s="26"/>
      <c r="P778" s="26"/>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row>
    <row r="779" spans="1:40" ht="12.75">
      <c r="A779" s="15"/>
      <c r="B779" s="15"/>
      <c r="C779" s="26"/>
      <c r="D779" s="15"/>
      <c r="E779" s="15"/>
      <c r="F779" s="3"/>
      <c r="G779" s="26"/>
      <c r="H779" s="15"/>
      <c r="I779" s="26"/>
      <c r="J779" s="15"/>
      <c r="K779" s="26"/>
      <c r="L779" s="15"/>
      <c r="M779" s="26"/>
      <c r="N779" s="26"/>
      <c r="O779" s="26"/>
      <c r="P779" s="26"/>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row>
    <row r="780" spans="1:40" ht="12.75">
      <c r="A780" s="15"/>
      <c r="B780" s="15"/>
      <c r="C780" s="26"/>
      <c r="D780" s="15"/>
      <c r="E780" s="15"/>
      <c r="F780" s="3"/>
      <c r="G780" s="26"/>
      <c r="H780" s="15"/>
      <c r="I780" s="26"/>
      <c r="J780" s="15"/>
      <c r="K780" s="26"/>
      <c r="L780" s="15"/>
      <c r="M780" s="26"/>
      <c r="N780" s="26"/>
      <c r="O780" s="26"/>
      <c r="P780" s="26"/>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row>
    <row r="781" spans="1:40" ht="12.75">
      <c r="A781" s="15"/>
      <c r="B781" s="15"/>
      <c r="C781" s="26"/>
      <c r="D781" s="15"/>
      <c r="E781" s="15"/>
      <c r="F781" s="3"/>
      <c r="G781" s="26"/>
      <c r="H781" s="15"/>
      <c r="I781" s="26"/>
      <c r="J781" s="15"/>
      <c r="K781" s="26"/>
      <c r="L781" s="15"/>
      <c r="M781" s="26"/>
      <c r="N781" s="26"/>
      <c r="O781" s="26"/>
      <c r="P781" s="26"/>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row>
    <row r="782" spans="1:40" ht="12.75">
      <c r="A782" s="15"/>
      <c r="B782" s="15"/>
      <c r="C782" s="26"/>
      <c r="D782" s="15"/>
      <c r="E782" s="15"/>
      <c r="F782" s="3"/>
      <c r="G782" s="26"/>
      <c r="H782" s="15"/>
      <c r="I782" s="26"/>
      <c r="J782" s="15"/>
      <c r="K782" s="26"/>
      <c r="L782" s="15"/>
      <c r="M782" s="26"/>
      <c r="N782" s="26"/>
      <c r="O782" s="26"/>
      <c r="P782" s="26"/>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row>
    <row r="783" spans="1:40" ht="12.75">
      <c r="A783" s="15"/>
      <c r="B783" s="15"/>
      <c r="C783" s="26"/>
      <c r="D783" s="15"/>
      <c r="E783" s="15"/>
      <c r="F783" s="3"/>
      <c r="G783" s="26"/>
      <c r="H783" s="15"/>
      <c r="I783" s="26"/>
      <c r="J783" s="15"/>
      <c r="K783" s="26"/>
      <c r="L783" s="15"/>
      <c r="M783" s="26"/>
      <c r="N783" s="26"/>
      <c r="O783" s="26"/>
      <c r="P783" s="26"/>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row>
    <row r="784" spans="1:40" ht="12.75">
      <c r="A784" s="15"/>
      <c r="B784" s="15"/>
      <c r="C784" s="26"/>
      <c r="D784" s="15"/>
      <c r="E784" s="15"/>
      <c r="F784" s="3"/>
      <c r="G784" s="26"/>
      <c r="H784" s="15"/>
      <c r="I784" s="26"/>
      <c r="J784" s="15"/>
      <c r="K784" s="26"/>
      <c r="L784" s="15"/>
      <c r="M784" s="26"/>
      <c r="N784" s="26"/>
      <c r="O784" s="26"/>
      <c r="P784" s="26"/>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row>
    <row r="785" spans="1:40" ht="12.75">
      <c r="A785" s="15"/>
      <c r="B785" s="15"/>
      <c r="C785" s="26"/>
      <c r="D785" s="15"/>
      <c r="E785" s="15"/>
      <c r="F785" s="3"/>
      <c r="G785" s="26"/>
      <c r="H785" s="15"/>
      <c r="I785" s="26"/>
      <c r="J785" s="15"/>
      <c r="K785" s="26"/>
      <c r="L785" s="15"/>
      <c r="M785" s="26"/>
      <c r="N785" s="26"/>
      <c r="O785" s="26"/>
      <c r="P785" s="26"/>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row>
    <row r="786" spans="1:40" ht="12.75">
      <c r="A786" s="15"/>
      <c r="B786" s="15"/>
      <c r="C786" s="26"/>
      <c r="D786" s="15"/>
      <c r="E786" s="15"/>
      <c r="F786" s="3"/>
      <c r="G786" s="26"/>
      <c r="H786" s="15"/>
      <c r="I786" s="26"/>
      <c r="J786" s="15"/>
      <c r="K786" s="26"/>
      <c r="L786" s="15"/>
      <c r="M786" s="26"/>
      <c r="N786" s="26"/>
      <c r="O786" s="26"/>
      <c r="P786" s="26"/>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row>
    <row r="787" spans="1:40" ht="12.75">
      <c r="A787" s="15"/>
      <c r="B787" s="15"/>
      <c r="C787" s="26"/>
      <c r="D787" s="15"/>
      <c r="E787" s="15"/>
      <c r="F787" s="3"/>
      <c r="G787" s="26"/>
      <c r="H787" s="15"/>
      <c r="I787" s="26"/>
      <c r="J787" s="15"/>
      <c r="K787" s="26"/>
      <c r="L787" s="15"/>
      <c r="M787" s="26"/>
      <c r="N787" s="26"/>
      <c r="O787" s="26"/>
      <c r="P787" s="26"/>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row>
    <row r="788" spans="1:40" ht="12.75">
      <c r="A788" s="15"/>
      <c r="B788" s="15"/>
      <c r="C788" s="26"/>
      <c r="D788" s="15"/>
      <c r="E788" s="15"/>
      <c r="F788" s="3"/>
      <c r="G788" s="26"/>
      <c r="H788" s="15"/>
      <c r="I788" s="26"/>
      <c r="J788" s="15"/>
      <c r="K788" s="26"/>
      <c r="L788" s="15"/>
      <c r="M788" s="26"/>
      <c r="N788" s="26"/>
      <c r="O788" s="26"/>
      <c r="P788" s="26"/>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row>
    <row r="789" spans="1:40" ht="12.75">
      <c r="A789" s="15"/>
      <c r="B789" s="15"/>
      <c r="C789" s="26"/>
      <c r="D789" s="15"/>
      <c r="E789" s="15"/>
      <c r="F789" s="3"/>
      <c r="G789" s="26"/>
      <c r="H789" s="15"/>
      <c r="I789" s="26"/>
      <c r="J789" s="15"/>
      <c r="K789" s="26"/>
      <c r="L789" s="15"/>
      <c r="M789" s="26"/>
      <c r="N789" s="26"/>
      <c r="O789" s="26"/>
      <c r="P789" s="26"/>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row>
    <row r="790" spans="1:40" ht="12.75">
      <c r="A790" s="15"/>
      <c r="B790" s="15"/>
      <c r="C790" s="26"/>
      <c r="D790" s="15"/>
      <c r="E790" s="15"/>
      <c r="F790" s="3"/>
      <c r="G790" s="26"/>
      <c r="H790" s="15"/>
      <c r="I790" s="26"/>
      <c r="J790" s="15"/>
      <c r="K790" s="26"/>
      <c r="L790" s="15"/>
      <c r="M790" s="26"/>
      <c r="N790" s="26"/>
      <c r="O790" s="26"/>
      <c r="P790" s="26"/>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row>
    <row r="791" spans="1:40" ht="12.75">
      <c r="A791" s="15"/>
      <c r="B791" s="15"/>
      <c r="C791" s="26"/>
      <c r="D791" s="15"/>
      <c r="E791" s="15"/>
      <c r="F791" s="3"/>
      <c r="G791" s="26"/>
      <c r="H791" s="15"/>
      <c r="I791" s="26"/>
      <c r="J791" s="15"/>
      <c r="K791" s="26"/>
      <c r="L791" s="15"/>
      <c r="M791" s="26"/>
      <c r="N791" s="26"/>
      <c r="O791" s="26"/>
      <c r="P791" s="26"/>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row>
    <row r="792" spans="1:40" ht="12.75">
      <c r="A792" s="15"/>
      <c r="B792" s="15"/>
      <c r="C792" s="26"/>
      <c r="D792" s="15"/>
      <c r="E792" s="15"/>
      <c r="F792" s="3"/>
      <c r="G792" s="26"/>
      <c r="H792" s="15"/>
      <c r="I792" s="26"/>
      <c r="J792" s="15"/>
      <c r="K792" s="26"/>
      <c r="L792" s="15"/>
      <c r="M792" s="26"/>
      <c r="N792" s="26"/>
      <c r="O792" s="26"/>
      <c r="P792" s="26"/>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row>
    <row r="793" spans="1:40" ht="12.75">
      <c r="A793" s="15"/>
      <c r="B793" s="15"/>
      <c r="C793" s="26"/>
      <c r="D793" s="15"/>
      <c r="E793" s="15"/>
      <c r="F793" s="3"/>
      <c r="G793" s="26"/>
      <c r="H793" s="15"/>
      <c r="I793" s="26"/>
      <c r="J793" s="15"/>
      <c r="K793" s="26"/>
      <c r="L793" s="15"/>
      <c r="M793" s="26"/>
      <c r="N793" s="26"/>
      <c r="O793" s="26"/>
      <c r="P793" s="26"/>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row>
    <row r="794" spans="1:40" ht="12.75">
      <c r="A794" s="15"/>
      <c r="B794" s="15"/>
      <c r="C794" s="26"/>
      <c r="D794" s="15"/>
      <c r="E794" s="15"/>
      <c r="F794" s="3"/>
      <c r="G794" s="26"/>
      <c r="H794" s="15"/>
      <c r="I794" s="26"/>
      <c r="J794" s="15"/>
      <c r="K794" s="26"/>
      <c r="L794" s="15"/>
      <c r="M794" s="26"/>
      <c r="N794" s="26"/>
      <c r="O794" s="26"/>
      <c r="P794" s="26"/>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row>
    <row r="795" spans="1:40" ht="12.75">
      <c r="A795" s="15"/>
      <c r="B795" s="15"/>
      <c r="C795" s="26"/>
      <c r="D795" s="15"/>
      <c r="E795" s="15"/>
      <c r="F795" s="3"/>
      <c r="G795" s="26"/>
      <c r="H795" s="15"/>
      <c r="I795" s="26"/>
      <c r="J795" s="15"/>
      <c r="K795" s="26"/>
      <c r="L795" s="15"/>
      <c r="M795" s="26"/>
      <c r="N795" s="26"/>
      <c r="O795" s="26"/>
      <c r="P795" s="26"/>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row>
    <row r="796" spans="1:40" ht="12.75">
      <c r="A796" s="15"/>
      <c r="B796" s="15"/>
      <c r="C796" s="26"/>
      <c r="D796" s="15"/>
      <c r="E796" s="15"/>
      <c r="F796" s="3"/>
      <c r="G796" s="26"/>
      <c r="H796" s="15"/>
      <c r="I796" s="26"/>
      <c r="J796" s="15"/>
      <c r="K796" s="26"/>
      <c r="L796" s="15"/>
      <c r="M796" s="26"/>
      <c r="N796" s="26"/>
      <c r="O796" s="26"/>
      <c r="P796" s="26"/>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row>
    <row r="797" spans="1:40" ht="12.75">
      <c r="A797" s="15"/>
      <c r="B797" s="15"/>
      <c r="C797" s="26"/>
      <c r="D797" s="15"/>
      <c r="E797" s="15"/>
      <c r="F797" s="3"/>
      <c r="G797" s="26"/>
      <c r="H797" s="15"/>
      <c r="I797" s="26"/>
      <c r="J797" s="15"/>
      <c r="K797" s="26"/>
      <c r="L797" s="15"/>
      <c r="M797" s="26"/>
      <c r="N797" s="26"/>
      <c r="O797" s="26"/>
      <c r="P797" s="26"/>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row>
    <row r="798" spans="1:40" ht="12.75">
      <c r="A798" s="15"/>
      <c r="B798" s="15"/>
      <c r="C798" s="26"/>
      <c r="D798" s="15"/>
      <c r="E798" s="15"/>
      <c r="F798" s="3"/>
      <c r="G798" s="26"/>
      <c r="H798" s="15"/>
      <c r="I798" s="26"/>
      <c r="J798" s="15"/>
      <c r="K798" s="26"/>
      <c r="L798" s="15"/>
      <c r="M798" s="26"/>
      <c r="N798" s="26"/>
      <c r="O798" s="26"/>
      <c r="P798" s="26"/>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row>
    <row r="799" spans="1:40" ht="12.75">
      <c r="A799" s="15"/>
      <c r="B799" s="15"/>
      <c r="C799" s="26"/>
      <c r="D799" s="15"/>
      <c r="E799" s="15"/>
      <c r="F799" s="3"/>
      <c r="G799" s="26"/>
      <c r="H799" s="15"/>
      <c r="I799" s="26"/>
      <c r="J799" s="15"/>
      <c r="K799" s="26"/>
      <c r="L799" s="15"/>
      <c r="M799" s="26"/>
      <c r="N799" s="26"/>
      <c r="O799" s="26"/>
      <c r="P799" s="26"/>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row>
    <row r="800" spans="1:40" ht="12.75">
      <c r="A800" s="15"/>
      <c r="B800" s="15"/>
      <c r="C800" s="26"/>
      <c r="D800" s="15"/>
      <c r="E800" s="15"/>
      <c r="F800" s="3"/>
      <c r="G800" s="26"/>
      <c r="H800" s="15"/>
      <c r="I800" s="26"/>
      <c r="J800" s="15"/>
      <c r="K800" s="26"/>
      <c r="L800" s="15"/>
      <c r="M800" s="26"/>
      <c r="N800" s="26"/>
      <c r="O800" s="26"/>
      <c r="P800" s="26"/>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row>
    <row r="801" spans="1:40" ht="12.75">
      <c r="A801" s="15"/>
      <c r="B801" s="15"/>
      <c r="C801" s="26"/>
      <c r="D801" s="15"/>
      <c r="E801" s="15"/>
      <c r="F801" s="3"/>
      <c r="G801" s="26"/>
      <c r="H801" s="15"/>
      <c r="I801" s="26"/>
      <c r="J801" s="15"/>
      <c r="K801" s="26"/>
      <c r="L801" s="15"/>
      <c r="M801" s="26"/>
      <c r="N801" s="26"/>
      <c r="O801" s="26"/>
      <c r="P801" s="26"/>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row>
    <row r="802" spans="1:40" ht="12.75">
      <c r="A802" s="15"/>
      <c r="B802" s="15"/>
      <c r="C802" s="26"/>
      <c r="D802" s="15"/>
      <c r="E802" s="15"/>
      <c r="F802" s="3"/>
      <c r="G802" s="26"/>
      <c r="H802" s="15"/>
      <c r="I802" s="26"/>
      <c r="J802" s="15"/>
      <c r="K802" s="26"/>
      <c r="L802" s="15"/>
      <c r="M802" s="26"/>
      <c r="N802" s="26"/>
      <c r="O802" s="26"/>
      <c r="P802" s="26"/>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row>
    <row r="803" spans="1:40" ht="12.75">
      <c r="A803" s="15"/>
      <c r="B803" s="15"/>
      <c r="C803" s="26"/>
      <c r="D803" s="15"/>
      <c r="E803" s="15"/>
      <c r="F803" s="3"/>
      <c r="G803" s="26"/>
      <c r="H803" s="15"/>
      <c r="I803" s="26"/>
      <c r="J803" s="15"/>
      <c r="K803" s="26"/>
      <c r="L803" s="15"/>
      <c r="M803" s="26"/>
      <c r="N803" s="26"/>
      <c r="O803" s="26"/>
      <c r="P803" s="26"/>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row>
    <row r="804" spans="1:40" ht="12.75">
      <c r="A804" s="15"/>
      <c r="B804" s="15"/>
      <c r="C804" s="26"/>
      <c r="D804" s="15"/>
      <c r="E804" s="15"/>
      <c r="F804" s="3"/>
      <c r="G804" s="26"/>
      <c r="H804" s="15"/>
      <c r="I804" s="26"/>
      <c r="J804" s="15"/>
      <c r="K804" s="26"/>
      <c r="L804" s="15"/>
      <c r="M804" s="26"/>
      <c r="N804" s="26"/>
      <c r="O804" s="26"/>
      <c r="P804" s="26"/>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row>
    <row r="805" spans="1:40" ht="12.75">
      <c r="A805" s="15"/>
      <c r="B805" s="15"/>
      <c r="C805" s="26"/>
      <c r="D805" s="15"/>
      <c r="E805" s="15"/>
      <c r="F805" s="3"/>
      <c r="G805" s="26"/>
      <c r="H805" s="15"/>
      <c r="I805" s="26"/>
      <c r="J805" s="15"/>
      <c r="K805" s="26"/>
      <c r="L805" s="15"/>
      <c r="M805" s="26"/>
      <c r="N805" s="26"/>
      <c r="O805" s="26"/>
      <c r="P805" s="26"/>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row>
    <row r="806" spans="1:40" ht="12.75">
      <c r="A806" s="15"/>
      <c r="B806" s="15"/>
      <c r="C806" s="26"/>
      <c r="D806" s="15"/>
      <c r="E806" s="15"/>
      <c r="F806" s="3"/>
      <c r="G806" s="26"/>
      <c r="H806" s="15"/>
      <c r="I806" s="26"/>
      <c r="J806" s="15"/>
      <c r="K806" s="26"/>
      <c r="L806" s="15"/>
      <c r="M806" s="26"/>
      <c r="N806" s="26"/>
      <c r="O806" s="26"/>
      <c r="P806" s="26"/>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row>
    <row r="807" spans="1:40" ht="12.75">
      <c r="A807" s="15"/>
      <c r="B807" s="15"/>
      <c r="C807" s="26"/>
      <c r="D807" s="15"/>
      <c r="E807" s="15"/>
      <c r="F807" s="3"/>
      <c r="G807" s="26"/>
      <c r="H807" s="15"/>
      <c r="I807" s="26"/>
      <c r="J807" s="15"/>
      <c r="K807" s="26"/>
      <c r="L807" s="15"/>
      <c r="M807" s="26"/>
      <c r="N807" s="26"/>
      <c r="O807" s="26"/>
      <c r="P807" s="26"/>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row>
    <row r="808" spans="1:40" ht="12.75">
      <c r="A808" s="15"/>
      <c r="B808" s="15"/>
      <c r="C808" s="26"/>
      <c r="D808" s="15"/>
      <c r="E808" s="15"/>
      <c r="F808" s="3"/>
      <c r="G808" s="26"/>
      <c r="H808" s="15"/>
      <c r="I808" s="26"/>
      <c r="J808" s="15"/>
      <c r="K808" s="26"/>
      <c r="L808" s="15"/>
      <c r="M808" s="26"/>
      <c r="N808" s="26"/>
      <c r="O808" s="26"/>
      <c r="P808" s="26"/>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row>
    <row r="809" spans="1:40" ht="12.75">
      <c r="A809" s="15"/>
      <c r="B809" s="15"/>
      <c r="C809" s="26"/>
      <c r="D809" s="15"/>
      <c r="E809" s="15"/>
      <c r="F809" s="3"/>
      <c r="G809" s="26"/>
      <c r="H809" s="15"/>
      <c r="I809" s="26"/>
      <c r="J809" s="15"/>
      <c r="K809" s="26"/>
      <c r="L809" s="15"/>
      <c r="M809" s="26"/>
      <c r="N809" s="26"/>
      <c r="O809" s="26"/>
      <c r="P809" s="26"/>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row>
    <row r="810" spans="1:40" ht="12.75">
      <c r="A810" s="15"/>
      <c r="B810" s="15"/>
      <c r="C810" s="26"/>
      <c r="D810" s="15"/>
      <c r="E810" s="15"/>
      <c r="F810" s="3"/>
      <c r="G810" s="26"/>
      <c r="H810" s="15"/>
      <c r="I810" s="26"/>
      <c r="J810" s="15"/>
      <c r="K810" s="26"/>
      <c r="L810" s="15"/>
      <c r="M810" s="26"/>
      <c r="N810" s="26"/>
      <c r="O810" s="26"/>
      <c r="P810" s="26"/>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row>
    <row r="811" spans="1:40" ht="12.75">
      <c r="A811" s="15"/>
      <c r="B811" s="15"/>
      <c r="C811" s="26"/>
      <c r="D811" s="15"/>
      <c r="E811" s="15"/>
      <c r="F811" s="3"/>
      <c r="G811" s="26"/>
      <c r="H811" s="15"/>
      <c r="I811" s="26"/>
      <c r="J811" s="15"/>
      <c r="K811" s="26"/>
      <c r="L811" s="15"/>
      <c r="M811" s="26"/>
      <c r="N811" s="26"/>
      <c r="O811" s="26"/>
      <c r="P811" s="26"/>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row>
    <row r="812" spans="1:40" ht="12.75">
      <c r="A812" s="15"/>
      <c r="B812" s="15"/>
      <c r="C812" s="26"/>
      <c r="D812" s="15"/>
      <c r="E812" s="15"/>
      <c r="F812" s="3"/>
      <c r="G812" s="26"/>
      <c r="H812" s="15"/>
      <c r="I812" s="26"/>
      <c r="J812" s="15"/>
      <c r="K812" s="26"/>
      <c r="L812" s="15"/>
      <c r="M812" s="26"/>
      <c r="N812" s="26"/>
      <c r="O812" s="26"/>
      <c r="P812" s="26"/>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row>
    <row r="813" spans="1:40" ht="12.75">
      <c r="A813" s="15"/>
      <c r="B813" s="15"/>
      <c r="C813" s="26"/>
      <c r="D813" s="15"/>
      <c r="E813" s="15"/>
      <c r="F813" s="3"/>
      <c r="G813" s="26"/>
      <c r="H813" s="15"/>
      <c r="I813" s="26"/>
      <c r="J813" s="15"/>
      <c r="K813" s="26"/>
      <c r="L813" s="15"/>
      <c r="M813" s="26"/>
      <c r="N813" s="26"/>
      <c r="O813" s="26"/>
      <c r="P813" s="26"/>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row>
    <row r="814" spans="1:40" ht="12.75">
      <c r="A814" s="15"/>
      <c r="B814" s="15"/>
      <c r="C814" s="26"/>
      <c r="D814" s="15"/>
      <c r="E814" s="15"/>
      <c r="F814" s="3"/>
      <c r="G814" s="26"/>
      <c r="H814" s="15"/>
      <c r="I814" s="26"/>
      <c r="J814" s="15"/>
      <c r="K814" s="26"/>
      <c r="L814" s="15"/>
      <c r="M814" s="26"/>
      <c r="N814" s="26"/>
      <c r="O814" s="26"/>
      <c r="P814" s="26"/>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row>
    <row r="815" spans="1:40" ht="12.75">
      <c r="A815" s="15"/>
      <c r="B815" s="15"/>
      <c r="C815" s="26"/>
      <c r="D815" s="15"/>
      <c r="E815" s="15"/>
      <c r="F815" s="3"/>
      <c r="G815" s="26"/>
      <c r="H815" s="15"/>
      <c r="I815" s="26"/>
      <c r="J815" s="15"/>
      <c r="K815" s="26"/>
      <c r="L815" s="15"/>
      <c r="M815" s="26"/>
      <c r="N815" s="26"/>
      <c r="O815" s="26"/>
      <c r="P815" s="26"/>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row>
    <row r="816" spans="1:40" ht="12.75">
      <c r="A816" s="15"/>
      <c r="B816" s="15"/>
      <c r="C816" s="26"/>
      <c r="D816" s="15"/>
      <c r="E816" s="15"/>
      <c r="F816" s="3"/>
      <c r="G816" s="26"/>
      <c r="H816" s="15"/>
      <c r="I816" s="26"/>
      <c r="J816" s="15"/>
      <c r="K816" s="26"/>
      <c r="L816" s="15"/>
      <c r="M816" s="26"/>
      <c r="N816" s="26"/>
      <c r="O816" s="26"/>
      <c r="P816" s="26"/>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row>
    <row r="817" spans="1:40" ht="12.75">
      <c r="A817" s="15"/>
      <c r="B817" s="15"/>
      <c r="C817" s="26"/>
      <c r="D817" s="15"/>
      <c r="E817" s="15"/>
      <c r="F817" s="3"/>
      <c r="G817" s="26"/>
      <c r="H817" s="15"/>
      <c r="I817" s="26"/>
      <c r="J817" s="15"/>
      <c r="K817" s="26"/>
      <c r="L817" s="15"/>
      <c r="M817" s="26"/>
      <c r="N817" s="26"/>
      <c r="O817" s="26"/>
      <c r="P817" s="26"/>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row>
    <row r="818" spans="1:40" ht="12.75">
      <c r="A818" s="15"/>
      <c r="B818" s="15"/>
      <c r="C818" s="26"/>
      <c r="D818" s="15"/>
      <c r="E818" s="15"/>
      <c r="F818" s="3"/>
      <c r="G818" s="26"/>
      <c r="H818" s="15"/>
      <c r="I818" s="26"/>
      <c r="J818" s="15"/>
      <c r="K818" s="26"/>
      <c r="L818" s="15"/>
      <c r="M818" s="26"/>
      <c r="N818" s="26"/>
      <c r="O818" s="26"/>
      <c r="P818" s="26"/>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row>
    <row r="819" spans="1:40" ht="12.75">
      <c r="A819" s="15"/>
      <c r="B819" s="15"/>
      <c r="C819" s="26"/>
      <c r="D819" s="15"/>
      <c r="E819" s="15"/>
      <c r="F819" s="3"/>
      <c r="G819" s="26"/>
      <c r="H819" s="15"/>
      <c r="I819" s="26"/>
      <c r="J819" s="15"/>
      <c r="K819" s="26"/>
      <c r="L819" s="15"/>
      <c r="M819" s="26"/>
      <c r="N819" s="26"/>
      <c r="O819" s="26"/>
      <c r="P819" s="26"/>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row>
    <row r="820" spans="1:40" ht="12.75">
      <c r="A820" s="15"/>
      <c r="B820" s="15"/>
      <c r="C820" s="26"/>
      <c r="D820" s="15"/>
      <c r="E820" s="15"/>
      <c r="F820" s="3"/>
      <c r="G820" s="26"/>
      <c r="H820" s="15"/>
      <c r="I820" s="26"/>
      <c r="J820" s="15"/>
      <c r="K820" s="26"/>
      <c r="L820" s="15"/>
      <c r="M820" s="26"/>
      <c r="N820" s="26"/>
      <c r="O820" s="26"/>
      <c r="P820" s="26"/>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row>
    <row r="821" spans="1:40" ht="12.75">
      <c r="A821" s="15"/>
      <c r="B821" s="15"/>
      <c r="C821" s="26"/>
      <c r="D821" s="15"/>
      <c r="E821" s="15"/>
      <c r="F821" s="3"/>
      <c r="G821" s="26"/>
      <c r="H821" s="15"/>
      <c r="I821" s="26"/>
      <c r="J821" s="15"/>
      <c r="K821" s="26"/>
      <c r="L821" s="15"/>
      <c r="M821" s="26"/>
      <c r="N821" s="26"/>
      <c r="O821" s="26"/>
      <c r="P821" s="26"/>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row>
    <row r="822" spans="1:40" ht="12.75">
      <c r="A822" s="15"/>
      <c r="B822" s="15"/>
      <c r="C822" s="26"/>
      <c r="D822" s="15"/>
      <c r="E822" s="15"/>
      <c r="F822" s="3"/>
      <c r="G822" s="26"/>
      <c r="H822" s="15"/>
      <c r="I822" s="26"/>
      <c r="J822" s="15"/>
      <c r="K822" s="26"/>
      <c r="L822" s="15"/>
      <c r="M822" s="26"/>
      <c r="N822" s="26"/>
      <c r="O822" s="26"/>
      <c r="P822" s="26"/>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row>
    <row r="823" spans="1:40" ht="12.75">
      <c r="A823" s="15"/>
      <c r="B823" s="15"/>
      <c r="C823" s="26"/>
      <c r="D823" s="15"/>
      <c r="E823" s="15"/>
      <c r="F823" s="3"/>
      <c r="G823" s="26"/>
      <c r="H823" s="15"/>
      <c r="I823" s="26"/>
      <c r="J823" s="15"/>
      <c r="K823" s="26"/>
      <c r="L823" s="15"/>
      <c r="M823" s="26"/>
      <c r="N823" s="26"/>
      <c r="O823" s="26"/>
      <c r="P823" s="26"/>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row>
    <row r="824" spans="1:40" ht="12.75">
      <c r="A824" s="15"/>
      <c r="B824" s="15"/>
      <c r="C824" s="26"/>
      <c r="D824" s="15"/>
      <c r="E824" s="15"/>
      <c r="F824" s="3"/>
      <c r="G824" s="26"/>
      <c r="H824" s="15"/>
      <c r="I824" s="26"/>
      <c r="J824" s="15"/>
      <c r="K824" s="26"/>
      <c r="L824" s="15"/>
      <c r="M824" s="26"/>
      <c r="N824" s="26"/>
      <c r="O824" s="26"/>
      <c r="P824" s="26"/>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row>
    <row r="825" spans="1:40" ht="12.75">
      <c r="A825" s="15"/>
      <c r="B825" s="15"/>
      <c r="C825" s="26"/>
      <c r="D825" s="15"/>
      <c r="E825" s="15"/>
      <c r="F825" s="3"/>
      <c r="G825" s="26"/>
      <c r="H825" s="15"/>
      <c r="I825" s="26"/>
      <c r="J825" s="15"/>
      <c r="K825" s="26"/>
      <c r="L825" s="15"/>
      <c r="M825" s="26"/>
      <c r="N825" s="26"/>
      <c r="O825" s="26"/>
      <c r="P825" s="26"/>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row>
    <row r="826" spans="1:40" ht="12.75">
      <c r="A826" s="15"/>
      <c r="B826" s="15"/>
      <c r="C826" s="26"/>
      <c r="D826" s="15"/>
      <c r="E826" s="15"/>
      <c r="F826" s="3"/>
      <c r="G826" s="26"/>
      <c r="H826" s="15"/>
      <c r="I826" s="26"/>
      <c r="J826" s="15"/>
      <c r="K826" s="26"/>
      <c r="L826" s="15"/>
      <c r="M826" s="26"/>
      <c r="N826" s="26"/>
      <c r="O826" s="26"/>
      <c r="P826" s="26"/>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row>
    <row r="827" spans="1:40" ht="12.75">
      <c r="A827" s="15"/>
      <c r="B827" s="15"/>
      <c r="C827" s="26"/>
      <c r="D827" s="15"/>
      <c r="E827" s="15"/>
      <c r="F827" s="3"/>
      <c r="G827" s="26"/>
      <c r="H827" s="15"/>
      <c r="I827" s="26"/>
      <c r="J827" s="15"/>
      <c r="K827" s="26"/>
      <c r="L827" s="15"/>
      <c r="M827" s="26"/>
      <c r="N827" s="26"/>
      <c r="O827" s="26"/>
      <c r="P827" s="26"/>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row>
    <row r="828" spans="1:40" ht="12.75">
      <c r="A828" s="15"/>
      <c r="B828" s="15"/>
      <c r="C828" s="26"/>
      <c r="D828" s="15"/>
      <c r="E828" s="15"/>
      <c r="F828" s="3"/>
      <c r="G828" s="26"/>
      <c r="H828" s="15"/>
      <c r="I828" s="26"/>
      <c r="J828" s="15"/>
      <c r="K828" s="26"/>
      <c r="L828" s="15"/>
      <c r="M828" s="26"/>
      <c r="N828" s="26"/>
      <c r="O828" s="26"/>
      <c r="P828" s="26"/>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row>
    <row r="829" spans="1:40" ht="12.75">
      <c r="A829" s="15"/>
      <c r="B829" s="15"/>
      <c r="C829" s="26"/>
      <c r="D829" s="15"/>
      <c r="E829" s="15"/>
      <c r="F829" s="3"/>
      <c r="G829" s="26"/>
      <c r="H829" s="15"/>
      <c r="I829" s="26"/>
      <c r="J829" s="15"/>
      <c r="K829" s="26"/>
      <c r="L829" s="15"/>
      <c r="M829" s="26"/>
      <c r="N829" s="26"/>
      <c r="O829" s="26"/>
      <c r="P829" s="26"/>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row>
    <row r="830" spans="1:40" ht="12.75">
      <c r="A830" s="15"/>
      <c r="B830" s="15"/>
      <c r="C830" s="26"/>
      <c r="D830" s="15"/>
      <c r="E830" s="15"/>
      <c r="F830" s="3"/>
      <c r="G830" s="26"/>
      <c r="H830" s="15"/>
      <c r="I830" s="26"/>
      <c r="J830" s="15"/>
      <c r="K830" s="26"/>
      <c r="L830" s="15"/>
      <c r="M830" s="26"/>
      <c r="N830" s="26"/>
      <c r="O830" s="26"/>
      <c r="P830" s="26"/>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row>
    <row r="831" spans="1:40" ht="12.75">
      <c r="A831" s="15"/>
      <c r="B831" s="15"/>
      <c r="C831" s="26"/>
      <c r="D831" s="15"/>
      <c r="E831" s="15"/>
      <c r="F831" s="3"/>
      <c r="G831" s="26"/>
      <c r="H831" s="15"/>
      <c r="I831" s="26"/>
      <c r="J831" s="15"/>
      <c r="K831" s="26"/>
      <c r="L831" s="15"/>
      <c r="M831" s="26"/>
      <c r="N831" s="26"/>
      <c r="O831" s="26"/>
      <c r="P831" s="26"/>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row>
    <row r="832" spans="1:40" ht="12.75">
      <c r="A832" s="15"/>
      <c r="B832" s="15"/>
      <c r="C832" s="26"/>
      <c r="D832" s="15"/>
      <c r="E832" s="15"/>
      <c r="F832" s="3"/>
      <c r="G832" s="26"/>
      <c r="H832" s="15"/>
      <c r="I832" s="26"/>
      <c r="J832" s="15"/>
      <c r="K832" s="26"/>
      <c r="L832" s="15"/>
      <c r="M832" s="26"/>
      <c r="N832" s="26"/>
      <c r="O832" s="26"/>
      <c r="P832" s="26"/>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row>
    <row r="833" spans="1:40" ht="12.75">
      <c r="A833" s="15"/>
      <c r="B833" s="15"/>
      <c r="C833" s="26"/>
      <c r="D833" s="15"/>
      <c r="E833" s="15"/>
      <c r="F833" s="3"/>
      <c r="G833" s="26"/>
      <c r="H833" s="15"/>
      <c r="I833" s="26"/>
      <c r="J833" s="15"/>
      <c r="K833" s="26"/>
      <c r="L833" s="15"/>
      <c r="M833" s="26"/>
      <c r="N833" s="26"/>
      <c r="O833" s="26"/>
      <c r="P833" s="26"/>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row>
    <row r="834" spans="1:40" ht="12.75">
      <c r="A834" s="15"/>
      <c r="B834" s="15"/>
      <c r="C834" s="26"/>
      <c r="D834" s="15"/>
      <c r="E834" s="15"/>
      <c r="F834" s="3"/>
      <c r="G834" s="26"/>
      <c r="H834" s="15"/>
      <c r="I834" s="26"/>
      <c r="J834" s="15"/>
      <c r="K834" s="26"/>
      <c r="L834" s="15"/>
      <c r="M834" s="26"/>
      <c r="N834" s="26"/>
      <c r="O834" s="26"/>
      <c r="P834" s="26"/>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row>
    <row r="835" spans="1:40" ht="12.75">
      <c r="A835" s="15"/>
      <c r="B835" s="15"/>
      <c r="C835" s="26"/>
      <c r="D835" s="15"/>
      <c r="E835" s="15"/>
      <c r="F835" s="3"/>
      <c r="G835" s="26"/>
      <c r="H835" s="15"/>
      <c r="I835" s="26"/>
      <c r="J835" s="15"/>
      <c r="K835" s="26"/>
      <c r="L835" s="15"/>
      <c r="M835" s="26"/>
      <c r="N835" s="26"/>
      <c r="O835" s="26"/>
      <c r="P835" s="26"/>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row>
    <row r="836" spans="1:40" ht="12.75">
      <c r="A836" s="15"/>
      <c r="B836" s="15"/>
      <c r="C836" s="26"/>
      <c r="D836" s="15"/>
      <c r="E836" s="15"/>
      <c r="F836" s="3"/>
      <c r="G836" s="26"/>
      <c r="H836" s="15"/>
      <c r="I836" s="26"/>
      <c r="J836" s="15"/>
      <c r="K836" s="26"/>
      <c r="L836" s="15"/>
      <c r="M836" s="26"/>
      <c r="N836" s="26"/>
      <c r="O836" s="26"/>
      <c r="P836" s="26"/>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row>
    <row r="837" spans="1:40" ht="12.75">
      <c r="A837" s="15"/>
      <c r="B837" s="15"/>
      <c r="C837" s="26"/>
      <c r="D837" s="15"/>
      <c r="E837" s="15"/>
      <c r="F837" s="3"/>
      <c r="G837" s="26"/>
      <c r="H837" s="15"/>
      <c r="I837" s="26"/>
      <c r="J837" s="15"/>
      <c r="K837" s="26"/>
      <c r="L837" s="15"/>
      <c r="M837" s="26"/>
      <c r="N837" s="26"/>
      <c r="O837" s="26"/>
      <c r="P837" s="26"/>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row>
    <row r="838" spans="1:40" ht="12.75">
      <c r="A838" s="15"/>
      <c r="B838" s="15"/>
      <c r="C838" s="26"/>
      <c r="D838" s="15"/>
      <c r="E838" s="15"/>
      <c r="F838" s="3"/>
      <c r="G838" s="26"/>
      <c r="H838" s="15"/>
      <c r="I838" s="26"/>
      <c r="J838" s="15"/>
      <c r="K838" s="26"/>
      <c r="L838" s="15"/>
      <c r="M838" s="26"/>
      <c r="N838" s="26"/>
      <c r="O838" s="26"/>
      <c r="P838" s="26"/>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row>
    <row r="839" spans="1:40" ht="12.75">
      <c r="A839" s="15"/>
      <c r="B839" s="15"/>
      <c r="C839" s="26"/>
      <c r="D839" s="15"/>
      <c r="E839" s="15"/>
      <c r="F839" s="3"/>
      <c r="G839" s="26"/>
      <c r="H839" s="15"/>
      <c r="I839" s="26"/>
      <c r="J839" s="15"/>
      <c r="K839" s="26"/>
      <c r="L839" s="15"/>
      <c r="M839" s="26"/>
      <c r="N839" s="26"/>
      <c r="O839" s="26"/>
      <c r="P839" s="26"/>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row>
    <row r="840" spans="1:40" ht="12.75">
      <c r="A840" s="15"/>
      <c r="B840" s="15"/>
      <c r="C840" s="26"/>
      <c r="D840" s="15"/>
      <c r="E840" s="15"/>
      <c r="F840" s="3"/>
      <c r="G840" s="26"/>
      <c r="H840" s="15"/>
      <c r="I840" s="26"/>
      <c r="J840" s="15"/>
      <c r="K840" s="26"/>
      <c r="L840" s="15"/>
      <c r="M840" s="26"/>
      <c r="N840" s="26"/>
      <c r="O840" s="26"/>
      <c r="P840" s="26"/>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row>
    <row r="841" spans="1:40" ht="12.75">
      <c r="A841" s="15"/>
      <c r="B841" s="15"/>
      <c r="C841" s="26"/>
      <c r="D841" s="15"/>
      <c r="E841" s="15"/>
      <c r="F841" s="3"/>
      <c r="G841" s="26"/>
      <c r="H841" s="15"/>
      <c r="I841" s="26"/>
      <c r="J841" s="15"/>
      <c r="K841" s="26"/>
      <c r="L841" s="15"/>
      <c r="M841" s="26"/>
      <c r="N841" s="26"/>
      <c r="O841" s="26"/>
      <c r="P841" s="26"/>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row>
    <row r="842" spans="1:40" ht="12.75">
      <c r="A842" s="15"/>
      <c r="B842" s="15"/>
      <c r="C842" s="26"/>
      <c r="D842" s="15"/>
      <c r="E842" s="15"/>
      <c r="F842" s="3"/>
      <c r="G842" s="26"/>
      <c r="H842" s="15"/>
      <c r="I842" s="26"/>
      <c r="J842" s="15"/>
      <c r="K842" s="26"/>
      <c r="L842" s="15"/>
      <c r="M842" s="26"/>
      <c r="N842" s="26"/>
      <c r="O842" s="26"/>
      <c r="P842" s="26"/>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row>
    <row r="843" spans="1:40" ht="12.75">
      <c r="A843" s="15"/>
      <c r="B843" s="15"/>
      <c r="C843" s="26"/>
      <c r="D843" s="15"/>
      <c r="E843" s="15"/>
      <c r="F843" s="3"/>
      <c r="G843" s="26"/>
      <c r="H843" s="15"/>
      <c r="I843" s="26"/>
      <c r="J843" s="15"/>
      <c r="K843" s="26"/>
      <c r="L843" s="15"/>
      <c r="M843" s="26"/>
      <c r="N843" s="26"/>
      <c r="O843" s="26"/>
      <c r="P843" s="26"/>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row>
    <row r="844" spans="1:40" ht="12.75">
      <c r="A844" s="15"/>
      <c r="B844" s="15"/>
      <c r="C844" s="26"/>
      <c r="D844" s="15"/>
      <c r="E844" s="15"/>
      <c r="F844" s="3"/>
      <c r="G844" s="26"/>
      <c r="H844" s="15"/>
      <c r="I844" s="26"/>
      <c r="J844" s="15"/>
      <c r="K844" s="26"/>
      <c r="L844" s="15"/>
      <c r="M844" s="26"/>
      <c r="N844" s="26"/>
      <c r="O844" s="26"/>
      <c r="P844" s="26"/>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row>
    <row r="845" spans="1:40" ht="12.75">
      <c r="A845" s="15"/>
      <c r="B845" s="15"/>
      <c r="C845" s="26"/>
      <c r="D845" s="15"/>
      <c r="E845" s="15"/>
      <c r="F845" s="3"/>
      <c r="G845" s="26"/>
      <c r="H845" s="15"/>
      <c r="I845" s="26"/>
      <c r="J845" s="15"/>
      <c r="K845" s="26"/>
      <c r="L845" s="15"/>
      <c r="M845" s="26"/>
      <c r="N845" s="26"/>
      <c r="O845" s="26"/>
      <c r="P845" s="26"/>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row>
    <row r="846" spans="1:40" ht="12.75">
      <c r="A846" s="15"/>
      <c r="B846" s="15"/>
      <c r="C846" s="26"/>
      <c r="D846" s="15"/>
      <c r="E846" s="15"/>
      <c r="F846" s="3"/>
      <c r="G846" s="26"/>
      <c r="H846" s="15"/>
      <c r="I846" s="26"/>
      <c r="J846" s="15"/>
      <c r="K846" s="26"/>
      <c r="L846" s="15"/>
      <c r="M846" s="26"/>
      <c r="N846" s="26"/>
      <c r="O846" s="26"/>
      <c r="P846" s="26"/>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row>
    <row r="847" spans="1:40" ht="12.75">
      <c r="A847" s="15"/>
      <c r="B847" s="15"/>
      <c r="C847" s="26"/>
      <c r="D847" s="15"/>
      <c r="E847" s="15"/>
      <c r="F847" s="3"/>
      <c r="G847" s="26"/>
      <c r="H847" s="15"/>
      <c r="I847" s="26"/>
      <c r="J847" s="15"/>
      <c r="K847" s="26"/>
      <c r="L847" s="15"/>
      <c r="M847" s="26"/>
      <c r="N847" s="26"/>
      <c r="O847" s="26"/>
      <c r="P847" s="26"/>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row>
    <row r="848" spans="1:40" ht="12.75">
      <c r="A848" s="15"/>
      <c r="B848" s="15"/>
      <c r="C848" s="26"/>
      <c r="D848" s="15"/>
      <c r="E848" s="15"/>
      <c r="F848" s="3"/>
      <c r="G848" s="26"/>
      <c r="H848" s="15"/>
      <c r="I848" s="26"/>
      <c r="J848" s="15"/>
      <c r="K848" s="26"/>
      <c r="L848" s="15"/>
      <c r="M848" s="26"/>
      <c r="N848" s="26"/>
      <c r="O848" s="26"/>
      <c r="P848" s="26"/>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row>
    <row r="849" spans="1:40" ht="12.75">
      <c r="A849" s="15"/>
      <c r="B849" s="15"/>
      <c r="C849" s="26"/>
      <c r="D849" s="15"/>
      <c r="E849" s="15"/>
      <c r="F849" s="3"/>
      <c r="G849" s="26"/>
      <c r="H849" s="15"/>
      <c r="I849" s="26"/>
      <c r="J849" s="15"/>
      <c r="K849" s="26"/>
      <c r="L849" s="15"/>
      <c r="M849" s="26"/>
      <c r="N849" s="26"/>
      <c r="O849" s="26"/>
      <c r="P849" s="26"/>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row>
    <row r="850" spans="1:40" ht="12.75">
      <c r="A850" s="15"/>
      <c r="B850" s="15"/>
      <c r="C850" s="26"/>
      <c r="D850" s="15"/>
      <c r="E850" s="15"/>
      <c r="F850" s="3"/>
      <c r="G850" s="26"/>
      <c r="H850" s="15"/>
      <c r="I850" s="26"/>
      <c r="J850" s="15"/>
      <c r="K850" s="26"/>
      <c r="L850" s="15"/>
      <c r="M850" s="26"/>
      <c r="N850" s="26"/>
      <c r="O850" s="26"/>
      <c r="P850" s="26"/>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row>
    <row r="851" spans="1:40" ht="12.75">
      <c r="A851" s="15"/>
      <c r="B851" s="15"/>
      <c r="C851" s="26"/>
      <c r="D851" s="15"/>
      <c r="E851" s="15"/>
      <c r="F851" s="3"/>
      <c r="G851" s="26"/>
      <c r="H851" s="15"/>
      <c r="I851" s="26"/>
      <c r="J851" s="15"/>
      <c r="K851" s="26"/>
      <c r="L851" s="15"/>
      <c r="M851" s="26"/>
      <c r="N851" s="26"/>
      <c r="O851" s="26"/>
      <c r="P851" s="26"/>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row>
    <row r="852" spans="1:40" ht="12.75">
      <c r="A852" s="15"/>
      <c r="B852" s="15"/>
      <c r="C852" s="26"/>
      <c r="D852" s="15"/>
      <c r="E852" s="15"/>
      <c r="F852" s="3"/>
      <c r="G852" s="26"/>
      <c r="H852" s="15"/>
      <c r="I852" s="26"/>
      <c r="J852" s="15"/>
      <c r="K852" s="26"/>
      <c r="L852" s="15"/>
      <c r="M852" s="26"/>
      <c r="N852" s="26"/>
      <c r="O852" s="26"/>
      <c r="P852" s="26"/>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row>
    <row r="853" spans="1:40" ht="12.75">
      <c r="A853" s="15"/>
      <c r="B853" s="15"/>
      <c r="C853" s="26"/>
      <c r="D853" s="15"/>
      <c r="E853" s="15"/>
      <c r="F853" s="3"/>
      <c r="G853" s="26"/>
      <c r="H853" s="15"/>
      <c r="I853" s="26"/>
      <c r="J853" s="15"/>
      <c r="K853" s="26"/>
      <c r="L853" s="15"/>
      <c r="M853" s="26"/>
      <c r="N853" s="26"/>
      <c r="O853" s="26"/>
      <c r="P853" s="26"/>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row>
    <row r="854" spans="1:40" ht="12.75">
      <c r="A854" s="15"/>
      <c r="B854" s="15"/>
      <c r="C854" s="26"/>
      <c r="D854" s="15"/>
      <c r="E854" s="15"/>
      <c r="F854" s="3"/>
      <c r="G854" s="26"/>
      <c r="H854" s="15"/>
      <c r="I854" s="26"/>
      <c r="J854" s="15"/>
      <c r="K854" s="26"/>
      <c r="L854" s="15"/>
      <c r="M854" s="26"/>
      <c r="N854" s="26"/>
      <c r="O854" s="26"/>
      <c r="P854" s="26"/>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row>
    <row r="855" spans="1:40" ht="12.75">
      <c r="A855" s="15"/>
      <c r="B855" s="15"/>
      <c r="C855" s="26"/>
      <c r="D855" s="15"/>
      <c r="E855" s="15"/>
      <c r="F855" s="3"/>
      <c r="G855" s="26"/>
      <c r="H855" s="15"/>
      <c r="I855" s="26"/>
      <c r="J855" s="15"/>
      <c r="K855" s="26"/>
      <c r="L855" s="15"/>
      <c r="M855" s="26"/>
      <c r="N855" s="26"/>
      <c r="O855" s="26"/>
      <c r="P855" s="26"/>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row>
    <row r="856" spans="1:40" ht="12.75">
      <c r="A856" s="15"/>
      <c r="B856" s="15"/>
      <c r="C856" s="26"/>
      <c r="D856" s="15"/>
      <c r="E856" s="15"/>
      <c r="F856" s="3"/>
      <c r="G856" s="26"/>
      <c r="H856" s="15"/>
      <c r="I856" s="26"/>
      <c r="J856" s="15"/>
      <c r="K856" s="26"/>
      <c r="L856" s="15"/>
      <c r="M856" s="26"/>
      <c r="N856" s="26"/>
      <c r="O856" s="26"/>
      <c r="P856" s="26"/>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row>
    <row r="857" spans="1:40" ht="12.75">
      <c r="A857" s="15"/>
      <c r="B857" s="15"/>
      <c r="C857" s="26"/>
      <c r="D857" s="15"/>
      <c r="E857" s="15"/>
      <c r="F857" s="3"/>
      <c r="G857" s="26"/>
      <c r="H857" s="15"/>
      <c r="I857" s="26"/>
      <c r="J857" s="15"/>
      <c r="K857" s="26"/>
      <c r="L857" s="15"/>
      <c r="M857" s="26"/>
      <c r="N857" s="26"/>
      <c r="O857" s="26"/>
      <c r="P857" s="26"/>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row>
    <row r="858" spans="1:40" ht="12.75">
      <c r="A858" s="15"/>
      <c r="B858" s="15"/>
      <c r="C858" s="26"/>
      <c r="D858" s="15"/>
      <c r="E858" s="15"/>
      <c r="F858" s="3"/>
      <c r="G858" s="26"/>
      <c r="H858" s="15"/>
      <c r="I858" s="26"/>
      <c r="J858" s="15"/>
      <c r="K858" s="26"/>
      <c r="L858" s="15"/>
      <c r="M858" s="26"/>
      <c r="N858" s="26"/>
      <c r="O858" s="26"/>
      <c r="P858" s="26"/>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row>
    <row r="859" spans="1:40" ht="12.75">
      <c r="A859" s="15"/>
      <c r="B859" s="15"/>
      <c r="C859" s="26"/>
      <c r="D859" s="15"/>
      <c r="E859" s="15"/>
      <c r="F859" s="3"/>
      <c r="G859" s="26"/>
      <c r="H859" s="15"/>
      <c r="I859" s="26"/>
      <c r="J859" s="15"/>
      <c r="K859" s="26"/>
      <c r="L859" s="15"/>
      <c r="M859" s="26"/>
      <c r="N859" s="26"/>
      <c r="O859" s="26"/>
      <c r="P859" s="26"/>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row>
    <row r="860" spans="1:40" ht="12.75">
      <c r="A860" s="15"/>
      <c r="B860" s="15"/>
      <c r="C860" s="26"/>
      <c r="D860" s="15"/>
      <c r="E860" s="15"/>
      <c r="F860" s="3"/>
      <c r="G860" s="26"/>
      <c r="H860" s="15"/>
      <c r="I860" s="26"/>
      <c r="J860" s="15"/>
      <c r="K860" s="26"/>
      <c r="L860" s="15"/>
      <c r="M860" s="26"/>
      <c r="N860" s="26"/>
      <c r="O860" s="26"/>
      <c r="P860" s="26"/>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row>
    <row r="861" spans="1:40" ht="12.75">
      <c r="A861" s="15"/>
      <c r="B861" s="15"/>
      <c r="C861" s="26"/>
      <c r="D861" s="15"/>
      <c r="E861" s="15"/>
      <c r="F861" s="3"/>
      <c r="G861" s="26"/>
      <c r="H861" s="15"/>
      <c r="I861" s="26"/>
      <c r="J861" s="15"/>
      <c r="K861" s="26"/>
      <c r="L861" s="15"/>
      <c r="M861" s="26"/>
      <c r="N861" s="26"/>
      <c r="O861" s="26"/>
      <c r="P861" s="26"/>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row>
    <row r="862" spans="1:40" ht="12.75">
      <c r="A862" s="15"/>
      <c r="B862" s="15"/>
      <c r="C862" s="26"/>
      <c r="D862" s="15"/>
      <c r="E862" s="15"/>
      <c r="F862" s="3"/>
      <c r="G862" s="26"/>
      <c r="H862" s="15"/>
      <c r="I862" s="26"/>
      <c r="J862" s="15"/>
      <c r="K862" s="26"/>
      <c r="L862" s="15"/>
      <c r="M862" s="26"/>
      <c r="N862" s="26"/>
      <c r="O862" s="26"/>
      <c r="P862" s="26"/>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row>
    <row r="863" spans="1:40" ht="12.75">
      <c r="A863" s="15"/>
      <c r="B863" s="15"/>
      <c r="C863" s="26"/>
      <c r="D863" s="15"/>
      <c r="E863" s="15"/>
      <c r="F863" s="3"/>
      <c r="G863" s="26"/>
      <c r="H863" s="15"/>
      <c r="I863" s="26"/>
      <c r="J863" s="15"/>
      <c r="K863" s="26"/>
      <c r="L863" s="15"/>
      <c r="M863" s="26"/>
      <c r="N863" s="26"/>
      <c r="O863" s="26"/>
      <c r="P863" s="26"/>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row>
    <row r="864" spans="1:40" ht="12.75">
      <c r="A864" s="15"/>
      <c r="B864" s="15"/>
      <c r="C864" s="26"/>
      <c r="D864" s="15"/>
      <c r="E864" s="15"/>
      <c r="F864" s="3"/>
      <c r="G864" s="26"/>
      <c r="H864" s="15"/>
      <c r="I864" s="26"/>
      <c r="J864" s="15"/>
      <c r="K864" s="26"/>
      <c r="L864" s="15"/>
      <c r="M864" s="26"/>
      <c r="N864" s="26"/>
      <c r="O864" s="26"/>
      <c r="P864" s="26"/>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row>
    <row r="865" spans="1:40" ht="12.75">
      <c r="A865" s="15"/>
      <c r="B865" s="15"/>
      <c r="C865" s="26"/>
      <c r="D865" s="15"/>
      <c r="E865" s="15"/>
      <c r="F865" s="3"/>
      <c r="G865" s="26"/>
      <c r="H865" s="15"/>
      <c r="I865" s="26"/>
      <c r="J865" s="15"/>
      <c r="K865" s="26"/>
      <c r="L865" s="15"/>
      <c r="M865" s="26"/>
      <c r="N865" s="26"/>
      <c r="O865" s="26"/>
      <c r="P865" s="26"/>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row>
    <row r="866" spans="1:40" ht="12.75">
      <c r="A866" s="15"/>
      <c r="B866" s="15"/>
      <c r="C866" s="26"/>
      <c r="D866" s="15"/>
      <c r="E866" s="15"/>
      <c r="F866" s="3"/>
      <c r="G866" s="26"/>
      <c r="H866" s="15"/>
      <c r="I866" s="26"/>
      <c r="J866" s="15"/>
      <c r="K866" s="26"/>
      <c r="L866" s="15"/>
      <c r="M866" s="26"/>
      <c r="N866" s="26"/>
      <c r="O866" s="26"/>
      <c r="P866" s="26"/>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row>
    <row r="867" spans="1:40" ht="12.75">
      <c r="A867" s="15"/>
      <c r="B867" s="15"/>
      <c r="C867" s="26"/>
      <c r="D867" s="15"/>
      <c r="E867" s="15"/>
      <c r="F867" s="3"/>
      <c r="G867" s="26"/>
      <c r="H867" s="15"/>
      <c r="I867" s="26"/>
      <c r="J867" s="15"/>
      <c r="K867" s="26"/>
      <c r="L867" s="15"/>
      <c r="M867" s="26"/>
      <c r="N867" s="26"/>
      <c r="O867" s="26"/>
      <c r="P867" s="26"/>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row>
    <row r="868" spans="1:40" ht="12.75">
      <c r="A868" s="15"/>
      <c r="B868" s="15"/>
      <c r="C868" s="26"/>
      <c r="D868" s="15"/>
      <c r="E868" s="15"/>
      <c r="F868" s="3"/>
      <c r="G868" s="26"/>
      <c r="H868" s="15"/>
      <c r="I868" s="26"/>
      <c r="J868" s="15"/>
      <c r="K868" s="26"/>
      <c r="L868" s="15"/>
      <c r="M868" s="26"/>
      <c r="N868" s="26"/>
      <c r="O868" s="26"/>
      <c r="P868" s="26"/>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row>
    <row r="869" spans="1:40" ht="12.75">
      <c r="A869" s="15"/>
      <c r="B869" s="15"/>
      <c r="C869" s="26"/>
      <c r="D869" s="15"/>
      <c r="E869" s="15"/>
      <c r="F869" s="3"/>
      <c r="G869" s="26"/>
      <c r="H869" s="15"/>
      <c r="I869" s="26"/>
      <c r="J869" s="15"/>
      <c r="K869" s="26"/>
      <c r="L869" s="15"/>
      <c r="M869" s="26"/>
      <c r="N869" s="26"/>
      <c r="O869" s="26"/>
      <c r="P869" s="26"/>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row>
    <row r="870" spans="1:40" ht="12.75">
      <c r="A870" s="15"/>
      <c r="B870" s="15"/>
      <c r="C870" s="26"/>
      <c r="D870" s="15"/>
      <c r="E870" s="15"/>
      <c r="F870" s="3"/>
      <c r="G870" s="26"/>
      <c r="H870" s="15"/>
      <c r="I870" s="26"/>
      <c r="J870" s="15"/>
      <c r="K870" s="26"/>
      <c r="L870" s="15"/>
      <c r="M870" s="26"/>
      <c r="N870" s="26"/>
      <c r="O870" s="26"/>
      <c r="P870" s="26"/>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row>
    <row r="871" spans="1:40" ht="12.75">
      <c r="A871" s="15"/>
      <c r="B871" s="15"/>
      <c r="C871" s="26"/>
      <c r="D871" s="15"/>
      <c r="E871" s="15"/>
      <c r="F871" s="3"/>
      <c r="G871" s="26"/>
      <c r="H871" s="15"/>
      <c r="I871" s="26"/>
      <c r="J871" s="15"/>
      <c r="K871" s="26"/>
      <c r="L871" s="15"/>
      <c r="M871" s="26"/>
      <c r="N871" s="26"/>
      <c r="O871" s="26"/>
      <c r="P871" s="26"/>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row>
    <row r="872" spans="1:40" ht="12.75">
      <c r="A872" s="15"/>
      <c r="B872" s="15"/>
      <c r="C872" s="26"/>
      <c r="D872" s="15"/>
      <c r="E872" s="15"/>
      <c r="F872" s="3"/>
      <c r="G872" s="26"/>
      <c r="H872" s="15"/>
      <c r="I872" s="26"/>
      <c r="J872" s="15"/>
      <c r="K872" s="26"/>
      <c r="L872" s="15"/>
      <c r="M872" s="26"/>
      <c r="N872" s="26"/>
      <c r="O872" s="26"/>
      <c r="P872" s="26"/>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row>
    <row r="873" spans="1:40" ht="12.75">
      <c r="A873" s="15"/>
      <c r="B873" s="15"/>
      <c r="C873" s="26"/>
      <c r="D873" s="15"/>
      <c r="E873" s="15"/>
      <c r="F873" s="3"/>
      <c r="G873" s="26"/>
      <c r="H873" s="15"/>
      <c r="I873" s="26"/>
      <c r="J873" s="15"/>
      <c r="K873" s="26"/>
      <c r="L873" s="15"/>
      <c r="M873" s="26"/>
      <c r="N873" s="26"/>
      <c r="O873" s="26"/>
      <c r="P873" s="26"/>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row>
    <row r="874" spans="1:40" ht="12.75">
      <c r="A874" s="15"/>
      <c r="B874" s="15"/>
      <c r="C874" s="26"/>
      <c r="D874" s="15"/>
      <c r="E874" s="15"/>
      <c r="F874" s="3"/>
      <c r="G874" s="26"/>
      <c r="H874" s="15"/>
      <c r="I874" s="26"/>
      <c r="J874" s="15"/>
      <c r="K874" s="26"/>
      <c r="L874" s="15"/>
      <c r="M874" s="26"/>
      <c r="N874" s="26"/>
      <c r="O874" s="26"/>
      <c r="P874" s="26"/>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row>
    <row r="875" spans="1:40" ht="12.75">
      <c r="A875" s="15"/>
      <c r="B875" s="15"/>
      <c r="C875" s="26"/>
      <c r="D875" s="15"/>
      <c r="E875" s="15"/>
      <c r="F875" s="3"/>
      <c r="G875" s="26"/>
      <c r="H875" s="15"/>
      <c r="I875" s="26"/>
      <c r="J875" s="15"/>
      <c r="K875" s="26"/>
      <c r="L875" s="15"/>
      <c r="M875" s="26"/>
      <c r="N875" s="26"/>
      <c r="O875" s="26"/>
      <c r="P875" s="26"/>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row>
    <row r="876" spans="1:40" ht="12.75">
      <c r="A876" s="15"/>
      <c r="B876" s="15"/>
      <c r="C876" s="26"/>
      <c r="D876" s="15"/>
      <c r="E876" s="15"/>
      <c r="F876" s="3"/>
      <c r="G876" s="26"/>
      <c r="H876" s="15"/>
      <c r="I876" s="26"/>
      <c r="J876" s="15"/>
      <c r="K876" s="26"/>
      <c r="L876" s="15"/>
      <c r="M876" s="26"/>
      <c r="N876" s="26"/>
      <c r="O876" s="26"/>
      <c r="P876" s="26"/>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row>
    <row r="877" spans="1:40" ht="12.75">
      <c r="A877" s="15"/>
      <c r="B877" s="15"/>
      <c r="C877" s="26"/>
      <c r="D877" s="15"/>
      <c r="E877" s="15"/>
      <c r="F877" s="3"/>
      <c r="G877" s="26"/>
      <c r="H877" s="15"/>
      <c r="I877" s="26"/>
      <c r="J877" s="15"/>
      <c r="K877" s="26"/>
      <c r="L877" s="15"/>
      <c r="M877" s="26"/>
      <c r="N877" s="26"/>
      <c r="O877" s="26"/>
      <c r="P877" s="26"/>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row>
    <row r="878" spans="1:40" ht="12.75">
      <c r="A878" s="15"/>
      <c r="B878" s="15"/>
      <c r="C878" s="26"/>
      <c r="D878" s="15"/>
      <c r="E878" s="15"/>
      <c r="F878" s="3"/>
      <c r="G878" s="26"/>
      <c r="H878" s="15"/>
      <c r="I878" s="26"/>
      <c r="J878" s="15"/>
      <c r="K878" s="26"/>
      <c r="L878" s="15"/>
      <c r="M878" s="26"/>
      <c r="N878" s="26"/>
      <c r="O878" s="26"/>
      <c r="P878" s="26"/>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row>
    <row r="879" spans="1:40" ht="12.75">
      <c r="A879" s="15"/>
      <c r="B879" s="15"/>
      <c r="C879" s="26"/>
      <c r="D879" s="15"/>
      <c r="E879" s="15"/>
      <c r="F879" s="3"/>
      <c r="G879" s="26"/>
      <c r="H879" s="15"/>
      <c r="I879" s="26"/>
      <c r="J879" s="15"/>
      <c r="K879" s="26"/>
      <c r="L879" s="15"/>
      <c r="M879" s="26"/>
      <c r="N879" s="26"/>
      <c r="O879" s="26"/>
      <c r="P879" s="26"/>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row>
    <row r="880" spans="1:40" ht="12.75">
      <c r="A880" s="15"/>
      <c r="B880" s="15"/>
      <c r="C880" s="26"/>
      <c r="D880" s="15"/>
      <c r="E880" s="15"/>
      <c r="F880" s="3"/>
      <c r="G880" s="26"/>
      <c r="H880" s="15"/>
      <c r="I880" s="26"/>
      <c r="J880" s="15"/>
      <c r="K880" s="26"/>
      <c r="L880" s="15"/>
      <c r="M880" s="26"/>
      <c r="N880" s="26"/>
      <c r="O880" s="26"/>
      <c r="P880" s="26"/>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row>
    <row r="881" spans="1:40" ht="12.75">
      <c r="A881" s="15"/>
      <c r="B881" s="15"/>
      <c r="C881" s="26"/>
      <c r="D881" s="15"/>
      <c r="E881" s="15"/>
      <c r="F881" s="3"/>
      <c r="G881" s="26"/>
      <c r="H881" s="15"/>
      <c r="I881" s="26"/>
      <c r="J881" s="15"/>
      <c r="K881" s="26"/>
      <c r="L881" s="15"/>
      <c r="M881" s="26"/>
      <c r="N881" s="26"/>
      <c r="O881" s="26"/>
      <c r="P881" s="26"/>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row>
    <row r="882" spans="1:40" ht="12.75">
      <c r="A882" s="15"/>
      <c r="B882" s="15"/>
      <c r="C882" s="26"/>
      <c r="D882" s="15"/>
      <c r="E882" s="15"/>
      <c r="F882" s="3"/>
      <c r="G882" s="26"/>
      <c r="H882" s="15"/>
      <c r="I882" s="26"/>
      <c r="J882" s="15"/>
      <c r="K882" s="26"/>
      <c r="L882" s="15"/>
      <c r="M882" s="26"/>
      <c r="N882" s="26"/>
      <c r="O882" s="26"/>
      <c r="P882" s="26"/>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row>
    <row r="883" spans="1:40" ht="12.75">
      <c r="A883" s="15"/>
      <c r="B883" s="15"/>
      <c r="C883" s="26"/>
      <c r="D883" s="15"/>
      <c r="E883" s="15"/>
      <c r="F883" s="3"/>
      <c r="G883" s="26"/>
      <c r="H883" s="15"/>
      <c r="I883" s="26"/>
      <c r="J883" s="15"/>
      <c r="K883" s="26"/>
      <c r="L883" s="15"/>
      <c r="M883" s="26"/>
      <c r="N883" s="26"/>
      <c r="O883" s="26"/>
      <c r="P883" s="26"/>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row>
    <row r="884" spans="1:40" ht="12.75">
      <c r="A884" s="15"/>
      <c r="B884" s="15"/>
      <c r="C884" s="26"/>
      <c r="D884" s="15"/>
      <c r="E884" s="15"/>
      <c r="F884" s="3"/>
      <c r="G884" s="26"/>
      <c r="H884" s="15"/>
      <c r="I884" s="26"/>
      <c r="J884" s="15"/>
      <c r="K884" s="26"/>
      <c r="L884" s="15"/>
      <c r="M884" s="26"/>
      <c r="N884" s="26"/>
      <c r="O884" s="26"/>
      <c r="P884" s="26"/>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row>
    <row r="885" spans="1:40" ht="12.75">
      <c r="A885" s="15"/>
      <c r="B885" s="15"/>
      <c r="C885" s="26"/>
      <c r="D885" s="15"/>
      <c r="E885" s="15"/>
      <c r="F885" s="3"/>
      <c r="G885" s="26"/>
      <c r="H885" s="15"/>
      <c r="I885" s="26"/>
      <c r="J885" s="15"/>
      <c r="K885" s="26"/>
      <c r="L885" s="15"/>
      <c r="M885" s="26"/>
      <c r="N885" s="26"/>
      <c r="O885" s="26"/>
      <c r="P885" s="26"/>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row>
    <row r="886" spans="1:40" ht="12.75">
      <c r="A886" s="15"/>
      <c r="B886" s="15"/>
      <c r="C886" s="26"/>
      <c r="D886" s="15"/>
      <c r="E886" s="15"/>
      <c r="F886" s="3"/>
      <c r="G886" s="26"/>
      <c r="H886" s="15"/>
      <c r="I886" s="26"/>
      <c r="J886" s="15"/>
      <c r="K886" s="26"/>
      <c r="L886" s="15"/>
      <c r="M886" s="26"/>
      <c r="N886" s="26"/>
      <c r="O886" s="26"/>
      <c r="P886" s="26"/>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row>
    <row r="887" spans="1:40" ht="12.75">
      <c r="A887" s="15"/>
      <c r="B887" s="15"/>
      <c r="C887" s="26"/>
      <c r="D887" s="15"/>
      <c r="E887" s="15"/>
      <c r="F887" s="3"/>
      <c r="G887" s="26"/>
      <c r="H887" s="15"/>
      <c r="I887" s="26"/>
      <c r="J887" s="15"/>
      <c r="K887" s="26"/>
      <c r="L887" s="15"/>
      <c r="M887" s="26"/>
      <c r="N887" s="26"/>
      <c r="O887" s="26"/>
      <c r="P887" s="26"/>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row>
    <row r="888" spans="1:40" ht="12.75">
      <c r="A888" s="15"/>
      <c r="B888" s="15"/>
      <c r="C888" s="26"/>
      <c r="D888" s="15"/>
      <c r="E888" s="15"/>
      <c r="F888" s="3"/>
      <c r="G888" s="26"/>
      <c r="H888" s="15"/>
      <c r="I888" s="26"/>
      <c r="J888" s="15"/>
      <c r="K888" s="26"/>
      <c r="L888" s="15"/>
      <c r="M888" s="26"/>
      <c r="N888" s="26"/>
      <c r="O888" s="26"/>
      <c r="P888" s="26"/>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row>
    <row r="889" spans="1:40" ht="12.75">
      <c r="A889" s="15"/>
      <c r="B889" s="15"/>
      <c r="C889" s="26"/>
      <c r="D889" s="15"/>
      <c r="E889" s="15"/>
      <c r="F889" s="3"/>
      <c r="G889" s="26"/>
      <c r="H889" s="15"/>
      <c r="I889" s="26"/>
      <c r="J889" s="15"/>
      <c r="K889" s="26"/>
      <c r="L889" s="15"/>
      <c r="M889" s="26"/>
      <c r="N889" s="26"/>
      <c r="O889" s="26"/>
      <c r="P889" s="26"/>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row>
    <row r="890" spans="1:40" ht="12.75">
      <c r="A890" s="15"/>
      <c r="B890" s="15"/>
      <c r="C890" s="26"/>
      <c r="D890" s="15"/>
      <c r="E890" s="15"/>
      <c r="F890" s="3"/>
      <c r="G890" s="26"/>
      <c r="H890" s="15"/>
      <c r="I890" s="26"/>
      <c r="J890" s="15"/>
      <c r="K890" s="26"/>
      <c r="L890" s="15"/>
      <c r="M890" s="26"/>
      <c r="N890" s="26"/>
      <c r="O890" s="26"/>
      <c r="P890" s="26"/>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row>
    <row r="891" spans="1:40" ht="12.75">
      <c r="A891" s="15"/>
      <c r="B891" s="15"/>
      <c r="C891" s="26"/>
      <c r="D891" s="15"/>
      <c r="E891" s="15"/>
      <c r="F891" s="3"/>
      <c r="G891" s="26"/>
      <c r="H891" s="15"/>
      <c r="I891" s="26"/>
      <c r="J891" s="15"/>
      <c r="K891" s="26"/>
      <c r="L891" s="15"/>
      <c r="M891" s="26"/>
      <c r="N891" s="26"/>
      <c r="O891" s="26"/>
      <c r="P891" s="26"/>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row>
    <row r="892" spans="1:40" ht="12.75">
      <c r="A892" s="15"/>
      <c r="B892" s="15"/>
      <c r="C892" s="26"/>
      <c r="D892" s="15"/>
      <c r="E892" s="15"/>
      <c r="F892" s="3"/>
      <c r="G892" s="26"/>
      <c r="H892" s="15"/>
      <c r="I892" s="26"/>
      <c r="J892" s="15"/>
      <c r="K892" s="26"/>
      <c r="L892" s="15"/>
      <c r="M892" s="26"/>
      <c r="N892" s="26"/>
      <c r="O892" s="26"/>
      <c r="P892" s="26"/>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row>
    <row r="893" spans="1:40" ht="12.75">
      <c r="A893" s="15"/>
      <c r="B893" s="15"/>
      <c r="C893" s="26"/>
      <c r="D893" s="15"/>
      <c r="E893" s="15"/>
      <c r="F893" s="3"/>
      <c r="G893" s="26"/>
      <c r="H893" s="15"/>
      <c r="I893" s="26"/>
      <c r="J893" s="15"/>
      <c r="K893" s="26"/>
      <c r="L893" s="15"/>
      <c r="M893" s="26"/>
      <c r="N893" s="26"/>
      <c r="O893" s="26"/>
      <c r="P893" s="26"/>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row>
    <row r="894" spans="1:40" ht="12.75">
      <c r="A894" s="15"/>
      <c r="B894" s="15"/>
      <c r="C894" s="26"/>
      <c r="D894" s="15"/>
      <c r="E894" s="15"/>
      <c r="F894" s="3"/>
      <c r="G894" s="26"/>
      <c r="H894" s="15"/>
      <c r="I894" s="26"/>
      <c r="J894" s="15"/>
      <c r="K894" s="26"/>
      <c r="L894" s="15"/>
      <c r="M894" s="26"/>
      <c r="N894" s="26"/>
      <c r="O894" s="26"/>
      <c r="P894" s="26"/>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row>
    <row r="895" spans="1:40" ht="12.75">
      <c r="A895" s="15"/>
      <c r="B895" s="15"/>
      <c r="C895" s="26"/>
      <c r="D895" s="15"/>
      <c r="E895" s="15"/>
      <c r="F895" s="3"/>
      <c r="G895" s="26"/>
      <c r="H895" s="15"/>
      <c r="I895" s="26"/>
      <c r="J895" s="15"/>
      <c r="K895" s="26"/>
      <c r="L895" s="15"/>
      <c r="M895" s="26"/>
      <c r="N895" s="26"/>
      <c r="O895" s="26"/>
      <c r="P895" s="26"/>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row>
    <row r="896" spans="1:40" ht="12.75">
      <c r="A896" s="15"/>
      <c r="B896" s="15"/>
      <c r="C896" s="26"/>
      <c r="D896" s="15"/>
      <c r="E896" s="15"/>
      <c r="F896" s="3"/>
      <c r="G896" s="26"/>
      <c r="H896" s="15"/>
      <c r="I896" s="26"/>
      <c r="J896" s="15"/>
      <c r="K896" s="26"/>
      <c r="L896" s="15"/>
      <c r="M896" s="26"/>
      <c r="N896" s="26"/>
      <c r="O896" s="26"/>
      <c r="P896" s="26"/>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row>
    <row r="897" spans="1:40" ht="12.75">
      <c r="A897" s="15"/>
      <c r="B897" s="15"/>
      <c r="C897" s="26"/>
      <c r="D897" s="15"/>
      <c r="E897" s="15"/>
      <c r="F897" s="3"/>
      <c r="G897" s="26"/>
      <c r="H897" s="15"/>
      <c r="I897" s="26"/>
      <c r="J897" s="15"/>
      <c r="K897" s="26"/>
      <c r="L897" s="15"/>
      <c r="M897" s="26"/>
      <c r="N897" s="26"/>
      <c r="O897" s="26"/>
      <c r="P897" s="26"/>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row>
    <row r="898" spans="1:40" ht="12.75">
      <c r="A898" s="15"/>
      <c r="B898" s="15"/>
      <c r="C898" s="26"/>
      <c r="D898" s="15"/>
      <c r="E898" s="15"/>
      <c r="F898" s="3"/>
      <c r="G898" s="26"/>
      <c r="H898" s="15"/>
      <c r="I898" s="26"/>
      <c r="J898" s="15"/>
      <c r="K898" s="26"/>
      <c r="L898" s="15"/>
      <c r="M898" s="26"/>
      <c r="N898" s="26"/>
      <c r="O898" s="26"/>
      <c r="P898" s="26"/>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row>
    <row r="899" spans="1:40" ht="12.75">
      <c r="A899" s="15"/>
      <c r="B899" s="15"/>
      <c r="C899" s="26"/>
      <c r="D899" s="15"/>
      <c r="E899" s="15"/>
      <c r="F899" s="3"/>
      <c r="G899" s="26"/>
      <c r="H899" s="15"/>
      <c r="I899" s="26"/>
      <c r="J899" s="15"/>
      <c r="K899" s="26"/>
      <c r="L899" s="15"/>
      <c r="M899" s="26"/>
      <c r="N899" s="26"/>
      <c r="O899" s="26"/>
      <c r="P899" s="26"/>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row>
    <row r="900" spans="1:40" ht="12.75">
      <c r="A900" s="15"/>
      <c r="B900" s="15"/>
      <c r="C900" s="26"/>
      <c r="D900" s="15"/>
      <c r="E900" s="15"/>
      <c r="F900" s="3"/>
      <c r="G900" s="26"/>
      <c r="H900" s="15"/>
      <c r="I900" s="26"/>
      <c r="J900" s="15"/>
      <c r="K900" s="26"/>
      <c r="L900" s="15"/>
      <c r="M900" s="26"/>
      <c r="N900" s="26"/>
      <c r="O900" s="26"/>
      <c r="P900" s="26"/>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row>
    <row r="901" spans="1:40" ht="12.75">
      <c r="A901" s="15"/>
      <c r="B901" s="15"/>
      <c r="C901" s="26"/>
      <c r="D901" s="15"/>
      <c r="E901" s="15"/>
      <c r="F901" s="3"/>
      <c r="G901" s="26"/>
      <c r="H901" s="15"/>
      <c r="I901" s="26"/>
      <c r="J901" s="15"/>
      <c r="K901" s="26"/>
      <c r="L901" s="15"/>
      <c r="M901" s="26"/>
      <c r="N901" s="26"/>
      <c r="O901" s="26"/>
      <c r="P901" s="26"/>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row>
    <row r="902" spans="1:40" ht="12.75">
      <c r="A902" s="15"/>
      <c r="B902" s="15"/>
      <c r="C902" s="26"/>
      <c r="D902" s="15"/>
      <c r="E902" s="15"/>
      <c r="F902" s="3"/>
      <c r="G902" s="26"/>
      <c r="H902" s="15"/>
      <c r="I902" s="26"/>
      <c r="J902" s="15"/>
      <c r="K902" s="26"/>
      <c r="L902" s="15"/>
      <c r="M902" s="26"/>
      <c r="N902" s="26"/>
      <c r="O902" s="26"/>
      <c r="P902" s="26"/>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row>
    <row r="903" spans="1:40" ht="12.75">
      <c r="A903" s="15"/>
      <c r="B903" s="15"/>
      <c r="C903" s="26"/>
      <c r="D903" s="15"/>
      <c r="E903" s="15"/>
      <c r="F903" s="3"/>
      <c r="G903" s="26"/>
      <c r="H903" s="15"/>
      <c r="I903" s="26"/>
      <c r="J903" s="15"/>
      <c r="K903" s="26"/>
      <c r="L903" s="15"/>
      <c r="M903" s="26"/>
      <c r="N903" s="26"/>
      <c r="O903" s="26"/>
      <c r="P903" s="26"/>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row>
    <row r="904" spans="1:40" ht="12.75">
      <c r="A904" s="15"/>
      <c r="B904" s="15"/>
      <c r="C904" s="26"/>
      <c r="D904" s="15"/>
      <c r="E904" s="15"/>
      <c r="F904" s="3"/>
      <c r="G904" s="26"/>
      <c r="H904" s="15"/>
      <c r="I904" s="26"/>
      <c r="J904" s="15"/>
      <c r="K904" s="26"/>
      <c r="L904" s="15"/>
      <c r="M904" s="26"/>
      <c r="N904" s="26"/>
      <c r="O904" s="26"/>
      <c r="P904" s="26"/>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row>
    <row r="905" spans="1:40" ht="12.75">
      <c r="A905" s="15"/>
      <c r="B905" s="15"/>
      <c r="C905" s="26"/>
      <c r="D905" s="15"/>
      <c r="E905" s="15"/>
      <c r="F905" s="3"/>
      <c r="G905" s="26"/>
      <c r="H905" s="15"/>
      <c r="I905" s="26"/>
      <c r="J905" s="15"/>
      <c r="K905" s="26"/>
      <c r="L905" s="15"/>
      <c r="M905" s="26"/>
      <c r="N905" s="26"/>
      <c r="O905" s="26"/>
      <c r="P905" s="26"/>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row>
    <row r="906" spans="1:40" ht="12.75">
      <c r="A906" s="15"/>
      <c r="B906" s="15"/>
      <c r="C906" s="26"/>
      <c r="D906" s="15"/>
      <c r="E906" s="15"/>
      <c r="F906" s="3"/>
      <c r="G906" s="26"/>
      <c r="H906" s="15"/>
      <c r="I906" s="26"/>
      <c r="J906" s="15"/>
      <c r="K906" s="26"/>
      <c r="L906" s="15"/>
      <c r="M906" s="26"/>
      <c r="N906" s="26"/>
      <c r="O906" s="26"/>
      <c r="P906" s="26"/>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row>
    <row r="907" spans="1:40" ht="12.75">
      <c r="A907" s="15"/>
      <c r="B907" s="15"/>
      <c r="C907" s="26"/>
      <c r="D907" s="15"/>
      <c r="E907" s="15"/>
      <c r="F907" s="3"/>
      <c r="G907" s="26"/>
      <c r="H907" s="15"/>
      <c r="I907" s="26"/>
      <c r="J907" s="15"/>
      <c r="K907" s="26"/>
      <c r="L907" s="15"/>
      <c r="M907" s="26"/>
      <c r="N907" s="26"/>
      <c r="O907" s="26"/>
      <c r="P907" s="26"/>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row>
    <row r="908" spans="1:40" ht="12.75">
      <c r="A908" s="15"/>
      <c r="B908" s="15"/>
      <c r="C908" s="26"/>
      <c r="D908" s="15"/>
      <c r="E908" s="15"/>
      <c r="F908" s="3"/>
      <c r="G908" s="26"/>
      <c r="H908" s="15"/>
      <c r="I908" s="26"/>
      <c r="J908" s="15"/>
      <c r="K908" s="26"/>
      <c r="L908" s="15"/>
      <c r="M908" s="26"/>
      <c r="N908" s="26"/>
      <c r="O908" s="26"/>
      <c r="P908" s="26"/>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row>
    <row r="909" spans="1:40" ht="12.75">
      <c r="A909" s="15"/>
      <c r="B909" s="15"/>
      <c r="C909" s="26"/>
      <c r="D909" s="15"/>
      <c r="E909" s="15"/>
      <c r="F909" s="3"/>
      <c r="G909" s="26"/>
      <c r="H909" s="15"/>
      <c r="I909" s="26"/>
      <c r="J909" s="15"/>
      <c r="K909" s="26"/>
      <c r="L909" s="15"/>
      <c r="M909" s="26"/>
      <c r="N909" s="26"/>
      <c r="O909" s="26"/>
      <c r="P909" s="26"/>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row>
    <row r="910" spans="1:40" ht="12.75">
      <c r="A910" s="15"/>
      <c r="B910" s="15"/>
      <c r="C910" s="26"/>
      <c r="D910" s="15"/>
      <c r="E910" s="15"/>
      <c r="F910" s="3"/>
      <c r="G910" s="26"/>
      <c r="H910" s="15"/>
      <c r="I910" s="26"/>
      <c r="J910" s="15"/>
      <c r="K910" s="26"/>
      <c r="L910" s="15"/>
      <c r="M910" s="26"/>
      <c r="N910" s="26"/>
      <c r="O910" s="26"/>
      <c r="P910" s="26"/>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row>
    <row r="911" spans="1:40" ht="12.75">
      <c r="A911" s="15"/>
      <c r="B911" s="15"/>
      <c r="C911" s="26"/>
      <c r="D911" s="15"/>
      <c r="E911" s="15"/>
      <c r="F911" s="3"/>
      <c r="G911" s="26"/>
      <c r="H911" s="15"/>
      <c r="I911" s="26"/>
      <c r="J911" s="15"/>
      <c r="K911" s="26"/>
      <c r="L911" s="15"/>
      <c r="M911" s="26"/>
      <c r="N911" s="26"/>
      <c r="O911" s="26"/>
      <c r="P911" s="26"/>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row>
    <row r="912" spans="1:40" ht="12.75">
      <c r="A912" s="15"/>
      <c r="B912" s="15"/>
      <c r="C912" s="26"/>
      <c r="D912" s="15"/>
      <c r="E912" s="15"/>
      <c r="F912" s="3"/>
      <c r="G912" s="26"/>
      <c r="H912" s="15"/>
      <c r="I912" s="26"/>
      <c r="J912" s="15"/>
      <c r="K912" s="26"/>
      <c r="L912" s="15"/>
      <c r="M912" s="26"/>
      <c r="N912" s="26"/>
      <c r="O912" s="26"/>
      <c r="P912" s="26"/>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row>
    <row r="913" spans="1:40" ht="12.75">
      <c r="A913" s="15"/>
      <c r="B913" s="15"/>
      <c r="C913" s="26"/>
      <c r="D913" s="15"/>
      <c r="E913" s="15"/>
      <c r="F913" s="3"/>
      <c r="G913" s="26"/>
      <c r="H913" s="15"/>
      <c r="I913" s="26"/>
      <c r="J913" s="15"/>
      <c r="K913" s="26"/>
      <c r="L913" s="15"/>
      <c r="M913" s="26"/>
      <c r="N913" s="26"/>
      <c r="O913" s="26"/>
      <c r="P913" s="26"/>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row>
    <row r="914" spans="1:40" ht="12.75">
      <c r="A914" s="15"/>
      <c r="B914" s="15"/>
      <c r="C914" s="26"/>
      <c r="D914" s="15"/>
      <c r="E914" s="15"/>
      <c r="F914" s="3"/>
      <c r="G914" s="26"/>
      <c r="H914" s="15"/>
      <c r="I914" s="26"/>
      <c r="J914" s="15"/>
      <c r="K914" s="26"/>
      <c r="L914" s="15"/>
      <c r="M914" s="26"/>
      <c r="N914" s="26"/>
      <c r="O914" s="26"/>
      <c r="P914" s="26"/>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row>
    <row r="915" spans="1:40" ht="12.75">
      <c r="A915" s="15"/>
      <c r="B915" s="15"/>
      <c r="C915" s="26"/>
      <c r="D915" s="15"/>
      <c r="E915" s="15"/>
      <c r="F915" s="3"/>
      <c r="G915" s="26"/>
      <c r="H915" s="15"/>
      <c r="I915" s="26"/>
      <c r="J915" s="15"/>
      <c r="K915" s="26"/>
      <c r="L915" s="15"/>
      <c r="M915" s="26"/>
      <c r="N915" s="26"/>
      <c r="O915" s="26"/>
      <c r="P915" s="26"/>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row>
    <row r="916" spans="1:40" ht="12.75">
      <c r="A916" s="15"/>
      <c r="B916" s="15"/>
      <c r="C916" s="26"/>
      <c r="D916" s="15"/>
      <c r="E916" s="15"/>
      <c r="F916" s="3"/>
      <c r="G916" s="26"/>
      <c r="H916" s="15"/>
      <c r="I916" s="26"/>
      <c r="J916" s="15"/>
      <c r="K916" s="26"/>
      <c r="L916" s="15"/>
      <c r="M916" s="26"/>
      <c r="N916" s="26"/>
      <c r="O916" s="26"/>
      <c r="P916" s="26"/>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row>
    <row r="917" spans="1:40" ht="12.75">
      <c r="A917" s="15"/>
      <c r="B917" s="15"/>
      <c r="C917" s="26"/>
      <c r="D917" s="15"/>
      <c r="E917" s="15"/>
      <c r="F917" s="3"/>
      <c r="G917" s="26"/>
      <c r="H917" s="15"/>
      <c r="I917" s="26"/>
      <c r="J917" s="15"/>
      <c r="K917" s="26"/>
      <c r="L917" s="15"/>
      <c r="M917" s="26"/>
      <c r="N917" s="26"/>
      <c r="O917" s="26"/>
      <c r="P917" s="26"/>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row>
    <row r="918" spans="1:40" ht="12.75">
      <c r="A918" s="15"/>
      <c r="B918" s="15"/>
      <c r="C918" s="26"/>
      <c r="D918" s="15"/>
      <c r="E918" s="15"/>
      <c r="F918" s="3"/>
      <c r="G918" s="26"/>
      <c r="H918" s="15"/>
      <c r="I918" s="26"/>
      <c r="J918" s="15"/>
      <c r="K918" s="26"/>
      <c r="L918" s="15"/>
      <c r="M918" s="26"/>
      <c r="N918" s="26"/>
      <c r="O918" s="26"/>
      <c r="P918" s="26"/>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row>
    <row r="919" spans="1:40" ht="12.75">
      <c r="A919" s="15"/>
      <c r="B919" s="15"/>
      <c r="C919" s="26"/>
      <c r="D919" s="15"/>
      <c r="E919" s="15"/>
      <c r="F919" s="3"/>
      <c r="G919" s="26"/>
      <c r="H919" s="15"/>
      <c r="I919" s="26"/>
      <c r="J919" s="15"/>
      <c r="K919" s="26"/>
      <c r="L919" s="15"/>
      <c r="M919" s="26"/>
      <c r="N919" s="26"/>
      <c r="O919" s="26"/>
      <c r="P919" s="26"/>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row>
    <row r="920" spans="1:40" ht="12.75">
      <c r="A920" s="15"/>
      <c r="B920" s="15"/>
      <c r="C920" s="26"/>
      <c r="D920" s="15"/>
      <c r="E920" s="15"/>
      <c r="F920" s="3"/>
      <c r="G920" s="26"/>
      <c r="H920" s="15"/>
      <c r="I920" s="26"/>
      <c r="J920" s="15"/>
      <c r="K920" s="26"/>
      <c r="L920" s="15"/>
      <c r="M920" s="26"/>
      <c r="N920" s="26"/>
      <c r="O920" s="26"/>
      <c r="P920" s="26"/>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row>
    <row r="921" spans="1:40" ht="12.75">
      <c r="A921" s="15"/>
      <c r="B921" s="15"/>
      <c r="C921" s="26"/>
      <c r="D921" s="15"/>
      <c r="E921" s="15"/>
      <c r="F921" s="3"/>
      <c r="G921" s="26"/>
      <c r="H921" s="15"/>
      <c r="I921" s="26"/>
      <c r="J921" s="15"/>
      <c r="K921" s="26"/>
      <c r="L921" s="15"/>
      <c r="M921" s="26"/>
      <c r="N921" s="26"/>
      <c r="O921" s="26"/>
      <c r="P921" s="26"/>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row>
    <row r="922" spans="1:40" ht="12.75">
      <c r="A922" s="15"/>
      <c r="B922" s="15"/>
      <c r="C922" s="26"/>
      <c r="D922" s="15"/>
      <c r="E922" s="15"/>
      <c r="F922" s="3"/>
      <c r="G922" s="26"/>
      <c r="H922" s="15"/>
      <c r="I922" s="26"/>
      <c r="J922" s="15"/>
      <c r="K922" s="26"/>
      <c r="L922" s="15"/>
      <c r="M922" s="26"/>
      <c r="N922" s="26"/>
      <c r="O922" s="26"/>
      <c r="P922" s="26"/>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row>
    <row r="923" spans="1:40" ht="12.75">
      <c r="A923" s="15"/>
      <c r="B923" s="15"/>
      <c r="C923" s="26"/>
      <c r="D923" s="15"/>
      <c r="E923" s="15"/>
      <c r="F923" s="3"/>
      <c r="G923" s="26"/>
      <c r="H923" s="15"/>
      <c r="I923" s="26"/>
      <c r="J923" s="15"/>
      <c r="K923" s="26"/>
      <c r="L923" s="15"/>
      <c r="M923" s="26"/>
      <c r="N923" s="26"/>
      <c r="O923" s="26"/>
      <c r="P923" s="26"/>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row>
    <row r="924" spans="1:40" ht="12.75">
      <c r="A924" s="15"/>
      <c r="B924" s="15"/>
      <c r="C924" s="26"/>
      <c r="D924" s="15"/>
      <c r="E924" s="15"/>
      <c r="F924" s="3"/>
      <c r="G924" s="26"/>
      <c r="H924" s="15"/>
      <c r="I924" s="26"/>
      <c r="J924" s="15"/>
      <c r="K924" s="26"/>
      <c r="L924" s="15"/>
      <c r="M924" s="26"/>
      <c r="N924" s="26"/>
      <c r="O924" s="26"/>
      <c r="P924" s="26"/>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row>
    <row r="925" spans="1:40" ht="12.75">
      <c r="A925" s="15"/>
      <c r="B925" s="15"/>
      <c r="C925" s="26"/>
      <c r="D925" s="15"/>
      <c r="E925" s="15"/>
      <c r="F925" s="3"/>
      <c r="G925" s="26"/>
      <c r="H925" s="15"/>
      <c r="I925" s="26"/>
      <c r="J925" s="15"/>
      <c r="K925" s="26"/>
      <c r="L925" s="15"/>
      <c r="M925" s="26"/>
      <c r="N925" s="26"/>
      <c r="O925" s="26"/>
      <c r="P925" s="26"/>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row>
    <row r="926" spans="1:40" ht="12.75">
      <c r="A926" s="15"/>
      <c r="B926" s="15"/>
      <c r="C926" s="26"/>
      <c r="D926" s="15"/>
      <c r="E926" s="15"/>
      <c r="F926" s="3"/>
      <c r="G926" s="26"/>
      <c r="H926" s="15"/>
      <c r="I926" s="26"/>
      <c r="J926" s="15"/>
      <c r="K926" s="26"/>
      <c r="L926" s="15"/>
      <c r="M926" s="26"/>
      <c r="N926" s="26"/>
      <c r="O926" s="26"/>
      <c r="P926" s="26"/>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row>
    <row r="927" spans="1:40" ht="12.75">
      <c r="A927" s="15"/>
      <c r="B927" s="15"/>
      <c r="C927" s="26"/>
      <c r="D927" s="15"/>
      <c r="E927" s="15"/>
      <c r="F927" s="3"/>
      <c r="G927" s="26"/>
      <c r="H927" s="15"/>
      <c r="I927" s="26"/>
      <c r="J927" s="15"/>
      <c r="K927" s="26"/>
      <c r="L927" s="15"/>
      <c r="M927" s="26"/>
      <c r="N927" s="26"/>
      <c r="O927" s="26"/>
      <c r="P927" s="26"/>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row>
    <row r="928" spans="1:40" ht="12.75">
      <c r="A928" s="15"/>
      <c r="B928" s="15"/>
      <c r="C928" s="26"/>
      <c r="D928" s="15"/>
      <c r="E928" s="15"/>
      <c r="F928" s="3"/>
      <c r="G928" s="26"/>
      <c r="H928" s="15"/>
      <c r="I928" s="26"/>
      <c r="J928" s="15"/>
      <c r="K928" s="26"/>
      <c r="L928" s="15"/>
      <c r="M928" s="26"/>
      <c r="N928" s="26"/>
      <c r="O928" s="26"/>
      <c r="P928" s="26"/>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row>
    <row r="929" spans="1:40" ht="12.75">
      <c r="A929" s="15"/>
      <c r="B929" s="15"/>
      <c r="C929" s="26"/>
      <c r="D929" s="15"/>
      <c r="E929" s="15"/>
      <c r="F929" s="3"/>
      <c r="G929" s="26"/>
      <c r="H929" s="15"/>
      <c r="I929" s="26"/>
      <c r="J929" s="15"/>
      <c r="K929" s="26"/>
      <c r="L929" s="15"/>
      <c r="M929" s="26"/>
      <c r="N929" s="26"/>
      <c r="O929" s="26"/>
      <c r="P929" s="26"/>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row>
    <row r="930" spans="1:40" ht="12.75">
      <c r="A930" s="15"/>
      <c r="B930" s="15"/>
      <c r="C930" s="26"/>
      <c r="D930" s="15"/>
      <c r="E930" s="15"/>
      <c r="F930" s="3"/>
      <c r="G930" s="26"/>
      <c r="H930" s="15"/>
      <c r="I930" s="26"/>
      <c r="J930" s="15"/>
      <c r="K930" s="26"/>
      <c r="L930" s="15"/>
      <c r="M930" s="26"/>
      <c r="N930" s="26"/>
      <c r="O930" s="26"/>
      <c r="P930" s="26"/>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row>
    <row r="931" spans="1:40" ht="12.75">
      <c r="A931" s="15"/>
      <c r="B931" s="15"/>
      <c r="C931" s="26"/>
      <c r="D931" s="15"/>
      <c r="E931" s="15"/>
      <c r="F931" s="3"/>
      <c r="G931" s="26"/>
      <c r="H931" s="15"/>
      <c r="I931" s="26"/>
      <c r="J931" s="15"/>
      <c r="K931" s="26"/>
      <c r="L931" s="15"/>
      <c r="M931" s="26"/>
      <c r="N931" s="26"/>
      <c r="O931" s="26"/>
      <c r="P931" s="26"/>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row>
    <row r="932" spans="1:40" ht="12.75">
      <c r="A932" s="15"/>
      <c r="B932" s="15"/>
      <c r="C932" s="26"/>
      <c r="D932" s="15"/>
      <c r="E932" s="15"/>
      <c r="F932" s="3"/>
      <c r="G932" s="26"/>
      <c r="H932" s="15"/>
      <c r="I932" s="26"/>
      <c r="J932" s="15"/>
      <c r="K932" s="26"/>
      <c r="L932" s="15"/>
      <c r="M932" s="26"/>
      <c r="N932" s="26"/>
      <c r="O932" s="26"/>
      <c r="P932" s="26"/>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row>
    <row r="933" spans="1:40" ht="12.75">
      <c r="A933" s="15"/>
      <c r="B933" s="15"/>
      <c r="C933" s="26"/>
      <c r="D933" s="15"/>
      <c r="E933" s="15"/>
      <c r="F933" s="3"/>
      <c r="G933" s="26"/>
      <c r="H933" s="15"/>
      <c r="I933" s="26"/>
      <c r="J933" s="15"/>
      <c r="K933" s="26"/>
      <c r="L933" s="15"/>
      <c r="M933" s="26"/>
      <c r="N933" s="26"/>
      <c r="O933" s="26"/>
      <c r="P933" s="26"/>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row>
    <row r="934" spans="1:40" ht="12.75">
      <c r="A934" s="15"/>
      <c r="B934" s="15"/>
      <c r="C934" s="26"/>
      <c r="D934" s="15"/>
      <c r="E934" s="15"/>
      <c r="F934" s="3"/>
      <c r="G934" s="26"/>
      <c r="H934" s="15"/>
      <c r="I934" s="26"/>
      <c r="J934" s="15"/>
      <c r="K934" s="26"/>
      <c r="L934" s="15"/>
      <c r="M934" s="26"/>
      <c r="N934" s="26"/>
      <c r="O934" s="26"/>
      <c r="P934" s="26"/>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row>
    <row r="935" spans="1:40" ht="12.75">
      <c r="A935" s="15"/>
      <c r="B935" s="15"/>
      <c r="C935" s="26"/>
      <c r="D935" s="15"/>
      <c r="E935" s="15"/>
      <c r="F935" s="3"/>
      <c r="G935" s="26"/>
      <c r="H935" s="15"/>
      <c r="I935" s="26"/>
      <c r="J935" s="15"/>
      <c r="K935" s="26"/>
      <c r="L935" s="15"/>
      <c r="M935" s="26"/>
      <c r="N935" s="26"/>
      <c r="O935" s="26"/>
      <c r="P935" s="26"/>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row>
    <row r="936" spans="1:40" ht="12.75">
      <c r="A936" s="15"/>
      <c r="B936" s="15"/>
      <c r="C936" s="26"/>
      <c r="D936" s="15"/>
      <c r="E936" s="15"/>
      <c r="F936" s="3"/>
      <c r="G936" s="26"/>
      <c r="H936" s="15"/>
      <c r="I936" s="26"/>
      <c r="J936" s="15"/>
      <c r="K936" s="26"/>
      <c r="L936" s="15"/>
      <c r="M936" s="26"/>
      <c r="N936" s="26"/>
      <c r="O936" s="26"/>
      <c r="P936" s="26"/>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row>
    <row r="937" spans="1:40" ht="12.75">
      <c r="A937" s="15"/>
      <c r="B937" s="15"/>
      <c r="C937" s="26"/>
      <c r="D937" s="15"/>
      <c r="E937" s="15"/>
      <c r="F937" s="3"/>
      <c r="G937" s="26"/>
      <c r="H937" s="15"/>
      <c r="I937" s="26"/>
      <c r="J937" s="15"/>
      <c r="K937" s="26"/>
      <c r="L937" s="15"/>
      <c r="M937" s="26"/>
      <c r="N937" s="26"/>
      <c r="O937" s="26"/>
      <c r="P937" s="26"/>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row>
    <row r="938" spans="1:40" ht="12.75">
      <c r="A938" s="15"/>
      <c r="B938" s="15"/>
      <c r="C938" s="26"/>
      <c r="D938" s="15"/>
      <c r="E938" s="15"/>
      <c r="F938" s="3"/>
      <c r="G938" s="26"/>
      <c r="H938" s="15"/>
      <c r="I938" s="26"/>
      <c r="J938" s="15"/>
      <c r="K938" s="26"/>
      <c r="L938" s="15"/>
      <c r="M938" s="26"/>
      <c r="N938" s="26"/>
      <c r="O938" s="26"/>
      <c r="P938" s="26"/>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row>
    <row r="939" spans="1:40" ht="12.75">
      <c r="A939" s="15"/>
      <c r="B939" s="15"/>
      <c r="C939" s="26"/>
      <c r="D939" s="15"/>
      <c r="E939" s="15"/>
      <c r="F939" s="3"/>
      <c r="G939" s="26"/>
      <c r="H939" s="15"/>
      <c r="I939" s="26"/>
      <c r="J939" s="15"/>
      <c r="K939" s="26"/>
      <c r="L939" s="15"/>
      <c r="M939" s="26"/>
      <c r="N939" s="26"/>
      <c r="O939" s="26"/>
      <c r="P939" s="26"/>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row>
    <row r="940" spans="1:40" ht="12.75">
      <c r="A940" s="15"/>
      <c r="B940" s="15"/>
      <c r="C940" s="26"/>
      <c r="D940" s="15"/>
      <c r="E940" s="15"/>
      <c r="F940" s="3"/>
      <c r="G940" s="26"/>
      <c r="H940" s="15"/>
      <c r="I940" s="26"/>
      <c r="J940" s="15"/>
      <c r="K940" s="26"/>
      <c r="L940" s="15"/>
      <c r="M940" s="26"/>
      <c r="N940" s="26"/>
      <c r="O940" s="26"/>
      <c r="P940" s="26"/>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row>
    <row r="941" spans="1:40" ht="12.75">
      <c r="A941" s="15"/>
      <c r="B941" s="15"/>
      <c r="C941" s="26"/>
      <c r="D941" s="15"/>
      <c r="E941" s="15"/>
      <c r="F941" s="3"/>
      <c r="G941" s="26"/>
      <c r="H941" s="15"/>
      <c r="I941" s="26"/>
      <c r="J941" s="15"/>
      <c r="K941" s="26"/>
      <c r="L941" s="15"/>
      <c r="M941" s="26"/>
      <c r="N941" s="26"/>
      <c r="O941" s="26"/>
      <c r="P941" s="26"/>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row>
    <row r="942" spans="1:40" ht="12.75">
      <c r="A942" s="15"/>
      <c r="B942" s="15"/>
      <c r="C942" s="26"/>
      <c r="D942" s="15"/>
      <c r="E942" s="15"/>
      <c r="F942" s="3"/>
      <c r="G942" s="26"/>
      <c r="H942" s="15"/>
      <c r="I942" s="26"/>
      <c r="J942" s="15"/>
      <c r="K942" s="26"/>
      <c r="L942" s="15"/>
      <c r="M942" s="26"/>
      <c r="N942" s="26"/>
      <c r="O942" s="26"/>
      <c r="P942" s="26"/>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row>
    <row r="943" spans="1:40" ht="12.75">
      <c r="A943" s="15"/>
      <c r="B943" s="15"/>
      <c r="C943" s="26"/>
      <c r="D943" s="15"/>
      <c r="E943" s="15"/>
      <c r="F943" s="3"/>
      <c r="G943" s="26"/>
      <c r="H943" s="15"/>
      <c r="I943" s="26"/>
      <c r="J943" s="15"/>
      <c r="K943" s="26"/>
      <c r="L943" s="15"/>
      <c r="M943" s="26"/>
      <c r="N943" s="26"/>
      <c r="O943" s="26"/>
      <c r="P943" s="26"/>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row>
    <row r="944" spans="1:40" ht="12.75">
      <c r="A944" s="15"/>
      <c r="B944" s="15"/>
      <c r="C944" s="26"/>
      <c r="D944" s="15"/>
      <c r="E944" s="15"/>
      <c r="F944" s="3"/>
      <c r="G944" s="26"/>
      <c r="H944" s="15"/>
      <c r="I944" s="26"/>
      <c r="J944" s="15"/>
      <c r="K944" s="26"/>
      <c r="L944" s="15"/>
      <c r="M944" s="26"/>
      <c r="N944" s="26"/>
      <c r="O944" s="26"/>
      <c r="P944" s="26"/>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row>
    <row r="945" spans="1:40" ht="12.75">
      <c r="A945" s="15"/>
      <c r="B945" s="15"/>
      <c r="C945" s="26"/>
      <c r="D945" s="15"/>
      <c r="E945" s="15"/>
      <c r="F945" s="3"/>
      <c r="G945" s="26"/>
      <c r="H945" s="15"/>
      <c r="I945" s="26"/>
      <c r="J945" s="15"/>
      <c r="K945" s="26"/>
      <c r="L945" s="15"/>
      <c r="M945" s="26"/>
      <c r="N945" s="26"/>
      <c r="O945" s="26"/>
      <c r="P945" s="26"/>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row>
    <row r="946" spans="1:40" ht="12.75">
      <c r="A946" s="15"/>
      <c r="B946" s="15"/>
      <c r="C946" s="26"/>
      <c r="D946" s="15"/>
      <c r="E946" s="15"/>
      <c r="F946" s="3"/>
      <c r="G946" s="26"/>
      <c r="H946" s="15"/>
      <c r="I946" s="26"/>
      <c r="J946" s="15"/>
      <c r="K946" s="26"/>
      <c r="L946" s="15"/>
      <c r="M946" s="26"/>
      <c r="N946" s="26"/>
      <c r="O946" s="26"/>
      <c r="P946" s="26"/>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row>
    <row r="947" spans="1:40" ht="12.75">
      <c r="A947" s="15"/>
      <c r="B947" s="15"/>
      <c r="C947" s="26"/>
      <c r="D947" s="15"/>
      <c r="E947" s="15"/>
      <c r="F947" s="3"/>
      <c r="G947" s="26"/>
      <c r="H947" s="15"/>
      <c r="I947" s="26"/>
      <c r="J947" s="15"/>
      <c r="K947" s="26"/>
      <c r="L947" s="15"/>
      <c r="M947" s="26"/>
      <c r="N947" s="26"/>
      <c r="O947" s="26"/>
      <c r="P947" s="26"/>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row>
    <row r="948" spans="1:40" ht="12.75">
      <c r="A948" s="15"/>
      <c r="B948" s="15"/>
      <c r="C948" s="26"/>
      <c r="D948" s="15"/>
      <c r="E948" s="15"/>
      <c r="F948" s="3"/>
      <c r="G948" s="26"/>
      <c r="H948" s="15"/>
      <c r="I948" s="26"/>
      <c r="J948" s="15"/>
      <c r="K948" s="26"/>
      <c r="L948" s="15"/>
      <c r="M948" s="26"/>
      <c r="N948" s="26"/>
      <c r="O948" s="26"/>
      <c r="P948" s="26"/>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row>
    <row r="949" spans="1:40" ht="12.75">
      <c r="A949" s="15"/>
      <c r="B949" s="15"/>
      <c r="C949" s="26"/>
      <c r="D949" s="15"/>
      <c r="E949" s="15"/>
      <c r="F949" s="3"/>
      <c r="G949" s="26"/>
      <c r="H949" s="15"/>
      <c r="I949" s="26"/>
      <c r="J949" s="15"/>
      <c r="K949" s="26"/>
      <c r="L949" s="15"/>
      <c r="M949" s="26"/>
      <c r="N949" s="26"/>
      <c r="O949" s="26"/>
      <c r="P949" s="26"/>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row>
    <row r="950" spans="1:40" ht="12.75">
      <c r="A950" s="15"/>
      <c r="B950" s="15"/>
      <c r="C950" s="26"/>
      <c r="D950" s="15"/>
      <c r="E950" s="15"/>
      <c r="F950" s="3"/>
      <c r="G950" s="26"/>
      <c r="H950" s="15"/>
      <c r="I950" s="26"/>
      <c r="J950" s="15"/>
      <c r="K950" s="26"/>
      <c r="L950" s="15"/>
      <c r="M950" s="26"/>
      <c r="N950" s="26"/>
      <c r="O950" s="26"/>
      <c r="P950" s="26"/>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row>
    <row r="951" spans="1:40" ht="12.75">
      <c r="A951" s="15"/>
      <c r="B951" s="15"/>
      <c r="C951" s="26"/>
      <c r="D951" s="15"/>
      <c r="E951" s="15"/>
      <c r="F951" s="3"/>
      <c r="G951" s="26"/>
      <c r="H951" s="15"/>
      <c r="I951" s="26"/>
      <c r="J951" s="15"/>
      <c r="K951" s="26"/>
      <c r="L951" s="15"/>
      <c r="M951" s="26"/>
      <c r="N951" s="26"/>
      <c r="O951" s="26"/>
      <c r="P951" s="26"/>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row>
    <row r="952" spans="1:40" ht="12.75">
      <c r="A952" s="15"/>
      <c r="B952" s="15"/>
      <c r="C952" s="26"/>
      <c r="D952" s="15"/>
      <c r="E952" s="15"/>
      <c r="F952" s="3"/>
      <c r="G952" s="26"/>
      <c r="H952" s="15"/>
      <c r="I952" s="26"/>
      <c r="J952" s="15"/>
      <c r="K952" s="26"/>
      <c r="L952" s="15"/>
      <c r="M952" s="26"/>
      <c r="N952" s="26"/>
      <c r="O952" s="26"/>
      <c r="P952" s="26"/>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row>
    <row r="953" spans="1:40" ht="12.75">
      <c r="A953" s="15"/>
      <c r="B953" s="15"/>
      <c r="C953" s="26"/>
      <c r="D953" s="15"/>
      <c r="E953" s="15"/>
      <c r="F953" s="3"/>
      <c r="G953" s="26"/>
      <c r="H953" s="15"/>
      <c r="I953" s="26"/>
      <c r="J953" s="15"/>
      <c r="K953" s="26"/>
      <c r="L953" s="15"/>
      <c r="M953" s="26"/>
      <c r="N953" s="26"/>
      <c r="O953" s="26"/>
      <c r="P953" s="26"/>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row>
    <row r="954" spans="1:40" ht="12.75">
      <c r="A954" s="15"/>
      <c r="B954" s="15"/>
      <c r="C954" s="26"/>
      <c r="D954" s="15"/>
      <c r="E954" s="15"/>
      <c r="F954" s="3"/>
      <c r="G954" s="26"/>
      <c r="H954" s="15"/>
      <c r="I954" s="26"/>
      <c r="J954" s="15"/>
      <c r="K954" s="26"/>
      <c r="L954" s="15"/>
      <c r="M954" s="26"/>
      <c r="N954" s="26"/>
      <c r="O954" s="26"/>
      <c r="P954" s="26"/>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row>
    <row r="955" spans="1:40" ht="12.75">
      <c r="A955" s="15"/>
      <c r="B955" s="15"/>
      <c r="C955" s="26"/>
      <c r="D955" s="15"/>
      <c r="E955" s="15"/>
      <c r="F955" s="3"/>
      <c r="G955" s="26"/>
      <c r="H955" s="15"/>
      <c r="I955" s="26"/>
      <c r="J955" s="15"/>
      <c r="K955" s="26"/>
      <c r="L955" s="15"/>
      <c r="M955" s="26"/>
      <c r="N955" s="26"/>
      <c r="O955" s="26"/>
      <c r="P955" s="26"/>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row>
    <row r="956" spans="1:40" ht="12.75">
      <c r="A956" s="15"/>
      <c r="B956" s="15"/>
      <c r="C956" s="26"/>
      <c r="D956" s="15"/>
      <c r="E956" s="15"/>
      <c r="F956" s="3"/>
      <c r="G956" s="26"/>
      <c r="H956" s="15"/>
      <c r="I956" s="26"/>
      <c r="J956" s="15"/>
      <c r="K956" s="26"/>
      <c r="L956" s="15"/>
      <c r="M956" s="26"/>
      <c r="N956" s="26"/>
      <c r="O956" s="26"/>
      <c r="P956" s="26"/>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row>
    <row r="957" spans="1:40" ht="12.75">
      <c r="A957" s="15"/>
      <c r="B957" s="15"/>
      <c r="C957" s="26"/>
      <c r="D957" s="15"/>
      <c r="E957" s="15"/>
      <c r="F957" s="3"/>
      <c r="G957" s="26"/>
      <c r="H957" s="15"/>
      <c r="I957" s="26"/>
      <c r="J957" s="15"/>
      <c r="K957" s="26"/>
      <c r="L957" s="15"/>
      <c r="M957" s="26"/>
      <c r="N957" s="26"/>
      <c r="O957" s="26"/>
      <c r="P957" s="26"/>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row>
    <row r="958" spans="1:40" ht="12.75">
      <c r="A958" s="15"/>
      <c r="B958" s="15"/>
      <c r="C958" s="26"/>
      <c r="D958" s="15"/>
      <c r="E958" s="15"/>
      <c r="F958" s="3"/>
      <c r="G958" s="26"/>
      <c r="H958" s="15"/>
      <c r="I958" s="26"/>
      <c r="J958" s="15"/>
      <c r="K958" s="26"/>
      <c r="L958" s="15"/>
      <c r="M958" s="26"/>
      <c r="N958" s="26"/>
      <c r="O958" s="26"/>
      <c r="P958" s="26"/>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row>
    <row r="959" spans="1:40" ht="12.75">
      <c r="A959" s="15"/>
      <c r="B959" s="15"/>
      <c r="C959" s="26"/>
      <c r="D959" s="15"/>
      <c r="E959" s="15"/>
      <c r="F959" s="3"/>
      <c r="G959" s="26"/>
      <c r="H959" s="15"/>
      <c r="I959" s="26"/>
      <c r="J959" s="15"/>
      <c r="K959" s="26"/>
      <c r="L959" s="15"/>
      <c r="M959" s="26"/>
      <c r="N959" s="26"/>
      <c r="O959" s="26"/>
      <c r="P959" s="26"/>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row>
    <row r="960" spans="1:40" ht="12.75">
      <c r="A960" s="15"/>
      <c r="B960" s="15"/>
      <c r="C960" s="26"/>
      <c r="D960" s="15"/>
      <c r="E960" s="15"/>
      <c r="F960" s="3"/>
      <c r="G960" s="26"/>
      <c r="H960" s="15"/>
      <c r="I960" s="26"/>
      <c r="J960" s="15"/>
      <c r="K960" s="26"/>
      <c r="L960" s="15"/>
      <c r="M960" s="26"/>
      <c r="N960" s="26"/>
      <c r="O960" s="26"/>
      <c r="P960" s="26"/>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row>
    <row r="961" spans="1:40" ht="12.75">
      <c r="A961" s="15"/>
      <c r="B961" s="15"/>
      <c r="C961" s="26"/>
      <c r="D961" s="15"/>
      <c r="E961" s="15"/>
      <c r="F961" s="3"/>
      <c r="G961" s="26"/>
      <c r="H961" s="15"/>
      <c r="I961" s="26"/>
      <c r="J961" s="15"/>
      <c r="K961" s="26"/>
      <c r="L961" s="15"/>
      <c r="M961" s="26"/>
      <c r="N961" s="26"/>
      <c r="O961" s="26"/>
      <c r="P961" s="26"/>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row>
    <row r="962" spans="1:40" ht="12.75">
      <c r="A962" s="15"/>
      <c r="B962" s="15"/>
      <c r="C962" s="26"/>
      <c r="D962" s="15"/>
      <c r="E962" s="15"/>
      <c r="F962" s="3"/>
      <c r="G962" s="26"/>
      <c r="H962" s="15"/>
      <c r="I962" s="26"/>
      <c r="J962" s="15"/>
      <c r="K962" s="26"/>
      <c r="L962" s="15"/>
      <c r="M962" s="26"/>
      <c r="N962" s="26"/>
      <c r="O962" s="26"/>
      <c r="P962" s="26"/>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row>
    <row r="963" spans="1:40" ht="12.75">
      <c r="A963" s="15"/>
      <c r="B963" s="15"/>
      <c r="C963" s="26"/>
      <c r="D963" s="15"/>
      <c r="E963" s="15"/>
      <c r="F963" s="3"/>
      <c r="G963" s="26"/>
      <c r="H963" s="15"/>
      <c r="I963" s="26"/>
      <c r="J963" s="15"/>
      <c r="K963" s="26"/>
      <c r="L963" s="15"/>
      <c r="M963" s="26"/>
      <c r="N963" s="26"/>
      <c r="O963" s="26"/>
      <c r="P963" s="26"/>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row>
    <row r="964" spans="1:40" ht="12.75">
      <c r="A964" s="15"/>
      <c r="B964" s="15"/>
      <c r="C964" s="26"/>
      <c r="D964" s="15"/>
      <c r="E964" s="15"/>
      <c r="F964" s="3"/>
      <c r="G964" s="26"/>
      <c r="H964" s="15"/>
      <c r="I964" s="26"/>
      <c r="J964" s="15"/>
      <c r="K964" s="26"/>
      <c r="L964" s="15"/>
      <c r="M964" s="26"/>
      <c r="N964" s="26"/>
      <c r="O964" s="26"/>
      <c r="P964" s="26"/>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row>
    <row r="965" spans="1:40" ht="12.75">
      <c r="A965" s="15"/>
      <c r="B965" s="15"/>
      <c r="C965" s="26"/>
      <c r="D965" s="15"/>
      <c r="E965" s="15"/>
      <c r="F965" s="3"/>
      <c r="G965" s="26"/>
      <c r="H965" s="15"/>
      <c r="I965" s="26"/>
      <c r="J965" s="15"/>
      <c r="K965" s="26"/>
      <c r="L965" s="15"/>
      <c r="M965" s="26"/>
      <c r="N965" s="26"/>
      <c r="O965" s="26"/>
      <c r="P965" s="26"/>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row>
  </sheetData>
  <dataValidations count="1">
    <dataValidation type="list" allowBlank="1" showErrorMessage="1" sqref="W3:W19" xr:uid="{00000000-0002-0000-0300-000000000000}">
      <formula1>"Open,Inprogress,Closed,In Testing"</formula1>
    </dataValidation>
  </dataValidations>
  <pageMargins left="0" right="0" top="0" bottom="0" header="0" footer="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election activeCell="I2" sqref="I2"/>
    </sheetView>
  </sheetViews>
  <sheetFormatPr defaultColWidth="12.5703125" defaultRowHeight="15.75" customHeight="1"/>
  <cols>
    <col min="6" max="6" width="33.85546875" customWidth="1"/>
  </cols>
  <sheetData>
    <row r="1" spans="1:26">
      <c r="A1" s="7" t="s">
        <v>243</v>
      </c>
      <c r="B1" s="21" t="s">
        <v>11</v>
      </c>
      <c r="C1" s="21" t="s">
        <v>297</v>
      </c>
      <c r="D1" s="21" t="s">
        <v>245</v>
      </c>
      <c r="E1" s="22" t="s">
        <v>299</v>
      </c>
      <c r="F1" s="22" t="s">
        <v>300</v>
      </c>
      <c r="G1" s="21" t="s">
        <v>301</v>
      </c>
      <c r="H1" s="21" t="s">
        <v>303</v>
      </c>
      <c r="I1" s="21" t="s">
        <v>248</v>
      </c>
      <c r="J1" s="23" t="s">
        <v>305</v>
      </c>
      <c r="K1" s="24" t="s">
        <v>269</v>
      </c>
      <c r="L1" s="25"/>
      <c r="M1" s="25"/>
      <c r="N1" s="25"/>
      <c r="O1" s="25"/>
      <c r="P1" s="25"/>
      <c r="Q1" s="25"/>
      <c r="R1" s="25"/>
      <c r="S1" s="25"/>
      <c r="T1" s="25"/>
      <c r="U1" s="25"/>
      <c r="V1" s="25"/>
      <c r="W1" s="25"/>
      <c r="X1" s="25"/>
      <c r="Y1" s="25"/>
      <c r="Z1" s="25"/>
    </row>
    <row r="2" spans="1:26">
      <c r="A2" s="29">
        <v>1</v>
      </c>
      <c r="B2" s="10" t="s">
        <v>26</v>
      </c>
      <c r="C2" s="18">
        <v>22744</v>
      </c>
      <c r="D2" s="30" t="s">
        <v>287</v>
      </c>
      <c r="E2" s="30" t="s">
        <v>715</v>
      </c>
      <c r="F2" s="19" t="s">
        <v>1457</v>
      </c>
      <c r="G2" s="30" t="s">
        <v>784</v>
      </c>
      <c r="H2" s="30" t="s">
        <v>311</v>
      </c>
      <c r="I2" s="30" t="s">
        <v>780</v>
      </c>
      <c r="J2" s="30" t="s">
        <v>859</v>
      </c>
      <c r="K2" s="30"/>
      <c r="L2" s="25"/>
      <c r="M2" s="25"/>
      <c r="N2" s="25"/>
      <c r="O2" s="25"/>
      <c r="P2" s="25"/>
      <c r="Q2" s="25"/>
      <c r="R2" s="25"/>
      <c r="S2" s="25"/>
      <c r="T2" s="25"/>
      <c r="U2" s="25"/>
      <c r="V2" s="25"/>
    </row>
    <row r="3" spans="1:26">
      <c r="A3" s="29">
        <v>2</v>
      </c>
      <c r="B3" s="10" t="s">
        <v>1458</v>
      </c>
      <c r="C3" s="18">
        <v>22803</v>
      </c>
      <c r="D3" s="30" t="s">
        <v>1019</v>
      </c>
      <c r="E3" s="30" t="s">
        <v>715</v>
      </c>
      <c r="F3" s="19" t="s">
        <v>1459</v>
      </c>
      <c r="G3" s="30" t="s">
        <v>784</v>
      </c>
      <c r="H3" s="30" t="s">
        <v>311</v>
      </c>
      <c r="I3" s="30" t="s">
        <v>780</v>
      </c>
      <c r="J3" s="30" t="s">
        <v>859</v>
      </c>
      <c r="K3" s="30"/>
      <c r="L3" s="25"/>
      <c r="M3" s="25"/>
      <c r="N3" s="25"/>
      <c r="O3" s="25"/>
      <c r="P3" s="25"/>
      <c r="Q3" s="25"/>
      <c r="R3" s="25"/>
      <c r="S3" s="25"/>
      <c r="T3" s="25"/>
      <c r="U3" s="25"/>
      <c r="V3" s="25"/>
    </row>
    <row r="4" spans="1:26">
      <c r="A4" s="29">
        <v>3</v>
      </c>
      <c r="B4" s="10" t="s">
        <v>1458</v>
      </c>
      <c r="C4" s="18">
        <v>22746</v>
      </c>
      <c r="D4" s="30" t="s">
        <v>287</v>
      </c>
      <c r="E4" s="30" t="s">
        <v>715</v>
      </c>
      <c r="F4" s="19" t="s">
        <v>1460</v>
      </c>
      <c r="G4" s="30" t="s">
        <v>784</v>
      </c>
      <c r="H4" s="30" t="s">
        <v>311</v>
      </c>
      <c r="I4" s="30" t="s">
        <v>780</v>
      </c>
      <c r="J4" s="30" t="s">
        <v>859</v>
      </c>
      <c r="K4" s="30"/>
      <c r="L4" s="25"/>
      <c r="M4" s="25"/>
      <c r="N4" s="25"/>
      <c r="O4" s="25"/>
      <c r="P4" s="25"/>
      <c r="Q4" s="25"/>
      <c r="R4" s="25"/>
      <c r="S4" s="25"/>
      <c r="T4" s="25"/>
      <c r="U4" s="25"/>
      <c r="V4" s="25"/>
    </row>
    <row r="5" spans="1:26">
      <c r="A5" s="29"/>
      <c r="B5" s="31"/>
      <c r="C5" s="18"/>
      <c r="D5" s="30"/>
      <c r="E5" s="30"/>
      <c r="F5" s="32"/>
      <c r="G5" s="30"/>
      <c r="H5" s="30"/>
      <c r="I5" s="30"/>
      <c r="J5" s="30"/>
      <c r="K5" s="30"/>
      <c r="L5" s="25"/>
      <c r="M5" s="25"/>
      <c r="N5" s="25"/>
      <c r="O5" s="25"/>
      <c r="P5" s="25"/>
      <c r="Q5" s="25"/>
      <c r="R5" s="25"/>
      <c r="S5" s="25"/>
      <c r="T5" s="25"/>
      <c r="U5" s="25"/>
      <c r="V5" s="25"/>
    </row>
    <row r="6" spans="1:26">
      <c r="A6" s="29"/>
      <c r="B6" s="31"/>
      <c r="C6" s="18"/>
      <c r="D6" s="30"/>
      <c r="E6" s="30"/>
      <c r="F6" s="32"/>
      <c r="G6" s="30"/>
      <c r="H6" s="30"/>
      <c r="I6" s="30"/>
      <c r="J6" s="30"/>
      <c r="K6" s="33"/>
      <c r="L6" s="25"/>
      <c r="M6" s="25"/>
      <c r="N6" s="25"/>
      <c r="O6" s="25"/>
      <c r="P6" s="25"/>
      <c r="Q6" s="25"/>
      <c r="R6" s="25"/>
      <c r="S6" s="25"/>
      <c r="T6" s="25"/>
      <c r="U6" s="25"/>
      <c r="V6" s="25"/>
    </row>
    <row r="7" spans="1:26">
      <c r="A7" s="29"/>
      <c r="B7" s="31"/>
      <c r="C7" s="18"/>
      <c r="D7" s="30"/>
      <c r="E7" s="30"/>
      <c r="F7" s="32"/>
      <c r="G7" s="30"/>
      <c r="H7" s="30"/>
      <c r="I7" s="30"/>
      <c r="J7" s="30"/>
      <c r="K7" s="33"/>
      <c r="L7" s="25"/>
      <c r="M7" s="25"/>
      <c r="N7" s="25"/>
      <c r="O7" s="25"/>
      <c r="P7" s="25"/>
      <c r="Q7" s="25"/>
      <c r="R7" s="25"/>
      <c r="S7" s="25"/>
      <c r="T7" s="25"/>
      <c r="U7" s="25"/>
      <c r="V7" s="25"/>
    </row>
    <row r="8" spans="1:26">
      <c r="A8" s="29"/>
      <c r="B8" s="31"/>
      <c r="C8" s="18"/>
      <c r="D8" s="30"/>
      <c r="E8" s="30"/>
      <c r="F8" s="32"/>
      <c r="G8" s="30"/>
      <c r="H8" s="30"/>
      <c r="I8" s="30"/>
      <c r="J8" s="30"/>
      <c r="K8" s="30"/>
    </row>
    <row r="9" spans="1:26">
      <c r="A9" s="29"/>
      <c r="B9" s="31"/>
      <c r="C9" s="18"/>
      <c r="D9" s="30"/>
      <c r="E9" s="30"/>
      <c r="F9" s="32"/>
      <c r="G9" s="30"/>
      <c r="H9" s="30"/>
      <c r="I9" s="30"/>
      <c r="J9" s="30"/>
      <c r="K9" s="30"/>
    </row>
    <row r="10" spans="1:26">
      <c r="A10" s="29"/>
      <c r="B10" s="31"/>
      <c r="C10" s="18"/>
      <c r="D10" s="30"/>
      <c r="E10" s="30"/>
      <c r="F10" s="32"/>
      <c r="G10" s="30"/>
      <c r="H10" s="30"/>
      <c r="I10" s="30"/>
      <c r="J10" s="30"/>
      <c r="K10" s="30"/>
    </row>
    <row r="11" spans="1:26">
      <c r="A11" s="29"/>
      <c r="B11" s="31"/>
      <c r="C11" s="18"/>
      <c r="D11" s="30"/>
      <c r="E11" s="30"/>
      <c r="F11" s="32"/>
      <c r="G11" s="30"/>
      <c r="H11" s="30"/>
      <c r="I11" s="30"/>
      <c r="J11" s="30"/>
      <c r="K11" s="30"/>
    </row>
    <row r="12" spans="1:26">
      <c r="A12" s="29"/>
      <c r="B12" s="31"/>
      <c r="C12" s="18"/>
      <c r="D12" s="30"/>
      <c r="E12" s="30"/>
      <c r="F12" s="32"/>
      <c r="G12" s="30"/>
      <c r="H12" s="30"/>
      <c r="I12" s="30"/>
      <c r="J12" s="30"/>
      <c r="K12" s="30"/>
    </row>
    <row r="13" spans="1:26">
      <c r="A13" s="29"/>
      <c r="B13" s="31"/>
      <c r="C13" s="18"/>
      <c r="D13" s="30"/>
      <c r="E13" s="30"/>
      <c r="F13" s="32"/>
      <c r="G13" s="30"/>
      <c r="H13" s="30"/>
      <c r="I13" s="30"/>
      <c r="J13" s="30"/>
      <c r="K13" s="30"/>
    </row>
    <row r="14" spans="1:26">
      <c r="C14" s="34"/>
    </row>
    <row r="15" spans="1:26">
      <c r="C15" s="34"/>
    </row>
    <row r="16" spans="1:26">
      <c r="C16" s="34"/>
    </row>
    <row r="17" spans="3:3">
      <c r="C17" s="34"/>
    </row>
    <row r="18" spans="3:3">
      <c r="C18" s="34"/>
    </row>
    <row r="19" spans="3:3">
      <c r="C19" s="34"/>
    </row>
    <row r="20" spans="3:3">
      <c r="C20" s="34"/>
    </row>
    <row r="21" spans="3:3">
      <c r="C21" s="34"/>
    </row>
    <row r="22" spans="3:3">
      <c r="C22" s="34"/>
    </row>
    <row r="23" spans="3:3">
      <c r="C23" s="34"/>
    </row>
    <row r="24" spans="3:3">
      <c r="C24" s="34"/>
    </row>
    <row r="25" spans="3:3">
      <c r="C25" s="34"/>
    </row>
    <row r="26" spans="3:3">
      <c r="C26" s="34"/>
    </row>
    <row r="27" spans="3:3">
      <c r="C27" s="34"/>
    </row>
    <row r="28" spans="3:3">
      <c r="C28" s="34"/>
    </row>
    <row r="29" spans="3:3">
      <c r="C29" s="34"/>
    </row>
    <row r="30" spans="3:3">
      <c r="C30" s="34"/>
    </row>
    <row r="31" spans="3:3">
      <c r="C31" s="34"/>
    </row>
    <row r="32" spans="3:3">
      <c r="C32" s="34"/>
    </row>
    <row r="33" spans="3:3">
      <c r="C33" s="34"/>
    </row>
    <row r="34" spans="3:3">
      <c r="C34" s="34"/>
    </row>
    <row r="35" spans="3:3">
      <c r="C35" s="34"/>
    </row>
    <row r="36" spans="3:3">
      <c r="C36" s="34"/>
    </row>
    <row r="37" spans="3:3">
      <c r="C37" s="34"/>
    </row>
    <row r="38" spans="3:3">
      <c r="C38" s="34"/>
    </row>
    <row r="39" spans="3:3">
      <c r="C39" s="34"/>
    </row>
    <row r="40" spans="3:3">
      <c r="C40" s="34"/>
    </row>
    <row r="41" spans="3:3">
      <c r="C41" s="34"/>
    </row>
    <row r="42" spans="3:3">
      <c r="C42" s="34"/>
    </row>
    <row r="43" spans="3:3">
      <c r="C43" s="34"/>
    </row>
    <row r="44" spans="3:3">
      <c r="C44" s="34"/>
    </row>
    <row r="45" spans="3:3">
      <c r="C45" s="34"/>
    </row>
    <row r="46" spans="3:3">
      <c r="C46" s="34"/>
    </row>
    <row r="47" spans="3:3">
      <c r="C47" s="34"/>
    </row>
    <row r="48" spans="3:3">
      <c r="C48" s="34"/>
    </row>
    <row r="49" spans="3:3">
      <c r="C49" s="34"/>
    </row>
    <row r="50" spans="3:3">
      <c r="C50" s="34"/>
    </row>
    <row r="51" spans="3:3">
      <c r="C51" s="34"/>
    </row>
    <row r="52" spans="3:3">
      <c r="C52" s="34"/>
    </row>
    <row r="53" spans="3:3">
      <c r="C53" s="34"/>
    </row>
    <row r="54" spans="3:3">
      <c r="C54" s="34"/>
    </row>
    <row r="55" spans="3:3">
      <c r="C55" s="34"/>
    </row>
    <row r="56" spans="3:3">
      <c r="C56" s="34"/>
    </row>
    <row r="57" spans="3:3">
      <c r="C57" s="34"/>
    </row>
    <row r="58" spans="3:3">
      <c r="C58" s="34"/>
    </row>
    <row r="59" spans="3:3">
      <c r="C59" s="34"/>
    </row>
    <row r="60" spans="3:3">
      <c r="C60" s="34"/>
    </row>
    <row r="61" spans="3:3">
      <c r="C61" s="34"/>
    </row>
    <row r="62" spans="3:3">
      <c r="C62" s="34"/>
    </row>
    <row r="63" spans="3:3">
      <c r="C63" s="34"/>
    </row>
    <row r="64" spans="3:3">
      <c r="C64" s="34"/>
    </row>
    <row r="65" spans="3:3">
      <c r="C65" s="34"/>
    </row>
    <row r="66" spans="3:3">
      <c r="C66" s="34"/>
    </row>
    <row r="67" spans="3:3">
      <c r="C67" s="34"/>
    </row>
    <row r="68" spans="3:3">
      <c r="C68" s="34"/>
    </row>
    <row r="69" spans="3:3">
      <c r="C69" s="34"/>
    </row>
    <row r="70" spans="3:3">
      <c r="C70" s="34"/>
    </row>
    <row r="71" spans="3:3">
      <c r="C71" s="34"/>
    </row>
    <row r="72" spans="3:3">
      <c r="C72" s="34"/>
    </row>
    <row r="73" spans="3:3">
      <c r="C73" s="34"/>
    </row>
    <row r="74" spans="3:3">
      <c r="C74" s="34"/>
    </row>
    <row r="75" spans="3:3">
      <c r="C75" s="34"/>
    </row>
    <row r="76" spans="3:3">
      <c r="C76" s="34"/>
    </row>
    <row r="77" spans="3:3">
      <c r="C77" s="34"/>
    </row>
    <row r="78" spans="3:3">
      <c r="C78" s="34"/>
    </row>
    <row r="79" spans="3:3">
      <c r="C79" s="34"/>
    </row>
    <row r="80" spans="3:3">
      <c r="C80" s="34"/>
    </row>
    <row r="81" spans="3:3">
      <c r="C81" s="34"/>
    </row>
    <row r="82" spans="3:3">
      <c r="C82" s="34"/>
    </row>
    <row r="83" spans="3:3">
      <c r="C83" s="34"/>
    </row>
    <row r="84" spans="3:3">
      <c r="C84" s="34"/>
    </row>
    <row r="85" spans="3:3">
      <c r="C85" s="34"/>
    </row>
    <row r="86" spans="3:3">
      <c r="C86" s="34"/>
    </row>
    <row r="87" spans="3:3">
      <c r="C87" s="34"/>
    </row>
    <row r="88" spans="3:3">
      <c r="C88" s="34"/>
    </row>
    <row r="89" spans="3:3">
      <c r="C89" s="34"/>
    </row>
    <row r="90" spans="3:3">
      <c r="C90" s="34"/>
    </row>
    <row r="91" spans="3:3">
      <c r="C91" s="34"/>
    </row>
    <row r="92" spans="3:3">
      <c r="C92" s="34"/>
    </row>
    <row r="93" spans="3:3">
      <c r="C93" s="34"/>
    </row>
    <row r="94" spans="3:3">
      <c r="C94" s="34"/>
    </row>
    <row r="95" spans="3:3">
      <c r="C95" s="34"/>
    </row>
    <row r="96" spans="3:3">
      <c r="C96" s="34"/>
    </row>
    <row r="97" spans="3:3">
      <c r="C97" s="34"/>
    </row>
    <row r="98" spans="3:3">
      <c r="C98" s="34"/>
    </row>
    <row r="99" spans="3:3">
      <c r="C99" s="34"/>
    </row>
    <row r="100" spans="3:3">
      <c r="C100" s="34"/>
    </row>
    <row r="101" spans="3:3">
      <c r="C101" s="34"/>
    </row>
    <row r="102" spans="3:3">
      <c r="C102" s="34"/>
    </row>
    <row r="103" spans="3:3">
      <c r="C103" s="34"/>
    </row>
    <row r="104" spans="3:3">
      <c r="C104" s="34"/>
    </row>
    <row r="105" spans="3:3">
      <c r="C105" s="34"/>
    </row>
    <row r="106" spans="3:3">
      <c r="C106" s="34"/>
    </row>
    <row r="107" spans="3:3">
      <c r="C107" s="34"/>
    </row>
    <row r="108" spans="3:3">
      <c r="C108" s="34"/>
    </row>
    <row r="109" spans="3:3">
      <c r="C109" s="34"/>
    </row>
    <row r="110" spans="3:3">
      <c r="C110" s="34"/>
    </row>
    <row r="111" spans="3:3">
      <c r="C111" s="34"/>
    </row>
    <row r="112" spans="3:3">
      <c r="C112" s="34"/>
    </row>
    <row r="113" spans="3:3">
      <c r="C113" s="34"/>
    </row>
    <row r="114" spans="3:3">
      <c r="C114" s="34"/>
    </row>
    <row r="115" spans="3:3">
      <c r="C115" s="34"/>
    </row>
    <row r="116" spans="3:3">
      <c r="C116" s="34"/>
    </row>
    <row r="117" spans="3:3">
      <c r="C117" s="34"/>
    </row>
    <row r="118" spans="3:3">
      <c r="C118" s="34"/>
    </row>
    <row r="119" spans="3:3">
      <c r="C119" s="34"/>
    </row>
    <row r="120" spans="3:3">
      <c r="C120" s="34"/>
    </row>
    <row r="121" spans="3:3">
      <c r="C121" s="34"/>
    </row>
    <row r="122" spans="3:3">
      <c r="C122" s="34"/>
    </row>
    <row r="123" spans="3:3">
      <c r="C123" s="34"/>
    </row>
    <row r="124" spans="3:3">
      <c r="C124" s="34"/>
    </row>
    <row r="125" spans="3:3">
      <c r="C125" s="34"/>
    </row>
    <row r="126" spans="3:3">
      <c r="C126" s="34"/>
    </row>
    <row r="127" spans="3:3">
      <c r="C127" s="34"/>
    </row>
    <row r="128" spans="3:3">
      <c r="C128" s="34"/>
    </row>
    <row r="129" spans="3:3">
      <c r="C129" s="34"/>
    </row>
    <row r="130" spans="3:3">
      <c r="C130" s="34"/>
    </row>
    <row r="131" spans="3:3">
      <c r="C131" s="34"/>
    </row>
    <row r="132" spans="3:3">
      <c r="C132" s="34"/>
    </row>
    <row r="133" spans="3:3">
      <c r="C133" s="34"/>
    </row>
    <row r="134" spans="3:3">
      <c r="C134" s="34"/>
    </row>
    <row r="135" spans="3:3">
      <c r="C135" s="34"/>
    </row>
    <row r="136" spans="3:3">
      <c r="C136" s="34"/>
    </row>
    <row r="137" spans="3:3">
      <c r="C137" s="34"/>
    </row>
    <row r="138" spans="3:3">
      <c r="C138" s="34"/>
    </row>
    <row r="139" spans="3:3">
      <c r="C139" s="34"/>
    </row>
    <row r="140" spans="3:3">
      <c r="C140" s="34"/>
    </row>
    <row r="141" spans="3:3">
      <c r="C141" s="34"/>
    </row>
    <row r="142" spans="3:3">
      <c r="C142" s="34"/>
    </row>
    <row r="143" spans="3:3">
      <c r="C143" s="34"/>
    </row>
    <row r="144" spans="3:3">
      <c r="C144" s="34"/>
    </row>
    <row r="145" spans="3:3">
      <c r="C145" s="34"/>
    </row>
    <row r="146" spans="3:3">
      <c r="C146" s="34"/>
    </row>
    <row r="147" spans="3:3">
      <c r="C147" s="34"/>
    </row>
    <row r="148" spans="3:3">
      <c r="C148" s="34"/>
    </row>
    <row r="149" spans="3:3">
      <c r="C149" s="34"/>
    </row>
    <row r="150" spans="3:3">
      <c r="C150" s="34"/>
    </row>
    <row r="151" spans="3:3">
      <c r="C151" s="34"/>
    </row>
    <row r="152" spans="3:3">
      <c r="C152" s="34"/>
    </row>
    <row r="153" spans="3:3">
      <c r="C153" s="34"/>
    </row>
    <row r="154" spans="3:3">
      <c r="C154" s="34"/>
    </row>
    <row r="155" spans="3:3">
      <c r="C155" s="34"/>
    </row>
    <row r="156" spans="3:3">
      <c r="C156" s="34"/>
    </row>
    <row r="157" spans="3:3">
      <c r="C157" s="34"/>
    </row>
    <row r="158" spans="3:3">
      <c r="C158" s="34"/>
    </row>
    <row r="159" spans="3:3">
      <c r="C159" s="34"/>
    </row>
    <row r="160" spans="3:3">
      <c r="C160" s="34"/>
    </row>
    <row r="161" spans="3:3">
      <c r="C161" s="34"/>
    </row>
    <row r="162" spans="3:3">
      <c r="C162" s="34"/>
    </row>
    <row r="163" spans="3:3">
      <c r="C163" s="34"/>
    </row>
    <row r="164" spans="3:3">
      <c r="C164" s="34"/>
    </row>
    <row r="165" spans="3:3">
      <c r="C165" s="34"/>
    </row>
    <row r="166" spans="3:3">
      <c r="C166" s="34"/>
    </row>
    <row r="167" spans="3:3">
      <c r="C167" s="34"/>
    </row>
    <row r="168" spans="3:3">
      <c r="C168" s="34"/>
    </row>
    <row r="169" spans="3:3">
      <c r="C169" s="34"/>
    </row>
    <row r="170" spans="3:3">
      <c r="C170" s="34"/>
    </row>
    <row r="171" spans="3:3">
      <c r="C171" s="34"/>
    </row>
    <row r="172" spans="3:3">
      <c r="C172" s="34"/>
    </row>
    <row r="173" spans="3:3">
      <c r="C173" s="34"/>
    </row>
    <row r="174" spans="3:3">
      <c r="C174" s="34"/>
    </row>
    <row r="175" spans="3:3">
      <c r="C175" s="34"/>
    </row>
    <row r="176" spans="3:3">
      <c r="C176" s="34"/>
    </row>
    <row r="177" spans="3:3">
      <c r="C177" s="34"/>
    </row>
    <row r="178" spans="3:3">
      <c r="C178" s="34"/>
    </row>
    <row r="179" spans="3:3">
      <c r="C179" s="34"/>
    </row>
    <row r="180" spans="3:3">
      <c r="C180" s="34"/>
    </row>
    <row r="181" spans="3:3">
      <c r="C181" s="34"/>
    </row>
    <row r="182" spans="3:3">
      <c r="C182" s="34"/>
    </row>
    <row r="183" spans="3:3">
      <c r="C183" s="34"/>
    </row>
    <row r="184" spans="3:3">
      <c r="C184" s="34"/>
    </row>
    <row r="185" spans="3:3">
      <c r="C185" s="34"/>
    </row>
    <row r="186" spans="3:3">
      <c r="C186" s="34"/>
    </row>
    <row r="187" spans="3:3">
      <c r="C187" s="34"/>
    </row>
    <row r="188" spans="3:3">
      <c r="C188" s="34"/>
    </row>
    <row r="189" spans="3:3">
      <c r="C189" s="34"/>
    </row>
    <row r="190" spans="3:3">
      <c r="C190" s="34"/>
    </row>
    <row r="191" spans="3:3">
      <c r="C191" s="34"/>
    </row>
    <row r="192" spans="3:3">
      <c r="C192" s="34"/>
    </row>
    <row r="193" spans="3:3">
      <c r="C193" s="34"/>
    </row>
    <row r="194" spans="3:3">
      <c r="C194" s="34"/>
    </row>
    <row r="195" spans="3:3">
      <c r="C195" s="34"/>
    </row>
    <row r="196" spans="3:3">
      <c r="C196" s="34"/>
    </row>
    <row r="197" spans="3:3">
      <c r="C197" s="34"/>
    </row>
    <row r="198" spans="3:3">
      <c r="C198" s="34"/>
    </row>
    <row r="199" spans="3:3">
      <c r="C199" s="34"/>
    </row>
    <row r="200" spans="3:3">
      <c r="C200" s="34"/>
    </row>
    <row r="201" spans="3:3">
      <c r="C201" s="34"/>
    </row>
    <row r="202" spans="3:3">
      <c r="C202" s="34"/>
    </row>
    <row r="203" spans="3:3">
      <c r="C203" s="34"/>
    </row>
    <row r="204" spans="3:3">
      <c r="C204" s="34"/>
    </row>
    <row r="205" spans="3:3">
      <c r="C205" s="34"/>
    </row>
    <row r="206" spans="3:3">
      <c r="C206" s="34"/>
    </row>
    <row r="207" spans="3:3">
      <c r="C207" s="34"/>
    </row>
    <row r="208" spans="3:3">
      <c r="C208" s="34"/>
    </row>
    <row r="209" spans="3:3">
      <c r="C209" s="34"/>
    </row>
    <row r="210" spans="3:3">
      <c r="C210" s="34"/>
    </row>
    <row r="211" spans="3:3">
      <c r="C211" s="34"/>
    </row>
    <row r="212" spans="3:3">
      <c r="C212" s="34"/>
    </row>
    <row r="213" spans="3:3">
      <c r="C213" s="34"/>
    </row>
    <row r="214" spans="3:3">
      <c r="C214" s="34"/>
    </row>
    <row r="215" spans="3:3">
      <c r="C215" s="34"/>
    </row>
    <row r="216" spans="3:3">
      <c r="C216" s="34"/>
    </row>
    <row r="217" spans="3:3">
      <c r="C217" s="34"/>
    </row>
    <row r="218" spans="3:3">
      <c r="C218" s="34"/>
    </row>
    <row r="219" spans="3:3">
      <c r="C219" s="34"/>
    </row>
    <row r="220" spans="3:3">
      <c r="C220" s="34"/>
    </row>
    <row r="221" spans="3:3">
      <c r="C221" s="34"/>
    </row>
    <row r="222" spans="3:3">
      <c r="C222" s="34"/>
    </row>
    <row r="223" spans="3:3">
      <c r="C223" s="34"/>
    </row>
    <row r="224" spans="3:3">
      <c r="C224" s="34"/>
    </row>
    <row r="225" spans="3:3">
      <c r="C225" s="34"/>
    </row>
    <row r="226" spans="3:3">
      <c r="C226" s="34"/>
    </row>
    <row r="227" spans="3:3">
      <c r="C227" s="34"/>
    </row>
    <row r="228" spans="3:3">
      <c r="C228" s="34"/>
    </row>
    <row r="229" spans="3:3">
      <c r="C229" s="34"/>
    </row>
    <row r="230" spans="3:3">
      <c r="C230" s="34"/>
    </row>
    <row r="231" spans="3:3">
      <c r="C231" s="34"/>
    </row>
    <row r="232" spans="3:3">
      <c r="C232" s="34"/>
    </row>
    <row r="233" spans="3:3">
      <c r="C233" s="34"/>
    </row>
    <row r="234" spans="3:3">
      <c r="C234" s="34"/>
    </row>
    <row r="235" spans="3:3">
      <c r="C235" s="34"/>
    </row>
    <row r="236" spans="3:3">
      <c r="C236" s="34"/>
    </row>
    <row r="237" spans="3:3">
      <c r="C237" s="34"/>
    </row>
    <row r="238" spans="3:3">
      <c r="C238" s="34"/>
    </row>
    <row r="239" spans="3:3">
      <c r="C239" s="34"/>
    </row>
    <row r="240" spans="3:3">
      <c r="C240" s="34"/>
    </row>
    <row r="241" spans="3:3">
      <c r="C241" s="34"/>
    </row>
    <row r="242" spans="3:3">
      <c r="C242" s="34"/>
    </row>
    <row r="243" spans="3:3">
      <c r="C243" s="34"/>
    </row>
    <row r="244" spans="3:3">
      <c r="C244" s="34"/>
    </row>
    <row r="245" spans="3:3">
      <c r="C245" s="34"/>
    </row>
    <row r="246" spans="3:3">
      <c r="C246" s="34"/>
    </row>
    <row r="247" spans="3:3">
      <c r="C247" s="34"/>
    </row>
    <row r="248" spans="3:3">
      <c r="C248" s="34"/>
    </row>
    <row r="249" spans="3:3">
      <c r="C249" s="34"/>
    </row>
    <row r="250" spans="3:3">
      <c r="C250" s="34"/>
    </row>
    <row r="251" spans="3:3">
      <c r="C251" s="34"/>
    </row>
    <row r="252" spans="3:3">
      <c r="C252" s="34"/>
    </row>
    <row r="253" spans="3:3">
      <c r="C253" s="34"/>
    </row>
    <row r="254" spans="3:3">
      <c r="C254" s="34"/>
    </row>
    <row r="255" spans="3:3">
      <c r="C255" s="34"/>
    </row>
    <row r="256" spans="3:3">
      <c r="C256" s="34"/>
    </row>
    <row r="257" spans="3:3">
      <c r="C257" s="34"/>
    </row>
    <row r="258" spans="3:3">
      <c r="C258" s="34"/>
    </row>
    <row r="259" spans="3:3">
      <c r="C259" s="34"/>
    </row>
    <row r="260" spans="3:3">
      <c r="C260" s="34"/>
    </row>
    <row r="261" spans="3:3">
      <c r="C261" s="34"/>
    </row>
    <row r="262" spans="3:3">
      <c r="C262" s="34"/>
    </row>
    <row r="263" spans="3:3">
      <c r="C263" s="34"/>
    </row>
    <row r="264" spans="3:3">
      <c r="C264" s="34"/>
    </row>
    <row r="265" spans="3:3">
      <c r="C265" s="34"/>
    </row>
    <row r="266" spans="3:3">
      <c r="C266" s="34"/>
    </row>
    <row r="267" spans="3:3">
      <c r="C267" s="34"/>
    </row>
    <row r="268" spans="3:3">
      <c r="C268" s="34"/>
    </row>
    <row r="269" spans="3:3">
      <c r="C269" s="34"/>
    </row>
    <row r="270" spans="3:3">
      <c r="C270" s="34"/>
    </row>
    <row r="271" spans="3:3">
      <c r="C271" s="34"/>
    </row>
    <row r="272" spans="3:3">
      <c r="C272" s="34"/>
    </row>
    <row r="273" spans="3:3">
      <c r="C273" s="34"/>
    </row>
    <row r="274" spans="3:3">
      <c r="C274" s="34"/>
    </row>
    <row r="275" spans="3:3">
      <c r="C275" s="34"/>
    </row>
    <row r="276" spans="3:3">
      <c r="C276" s="34"/>
    </row>
    <row r="277" spans="3:3">
      <c r="C277" s="34"/>
    </row>
    <row r="278" spans="3:3">
      <c r="C278" s="34"/>
    </row>
    <row r="279" spans="3:3">
      <c r="C279" s="34"/>
    </row>
    <row r="280" spans="3:3">
      <c r="C280" s="34"/>
    </row>
    <row r="281" spans="3:3">
      <c r="C281" s="34"/>
    </row>
    <row r="282" spans="3:3">
      <c r="C282" s="34"/>
    </row>
    <row r="283" spans="3:3">
      <c r="C283" s="34"/>
    </row>
    <row r="284" spans="3:3">
      <c r="C284" s="34"/>
    </row>
    <row r="285" spans="3:3">
      <c r="C285" s="34"/>
    </row>
    <row r="286" spans="3:3">
      <c r="C286" s="34"/>
    </row>
    <row r="287" spans="3:3">
      <c r="C287" s="34"/>
    </row>
    <row r="288" spans="3:3">
      <c r="C288" s="34"/>
    </row>
    <row r="289" spans="3:3">
      <c r="C289" s="34"/>
    </row>
    <row r="290" spans="3:3">
      <c r="C290" s="34"/>
    </row>
    <row r="291" spans="3:3">
      <c r="C291" s="34"/>
    </row>
    <row r="292" spans="3:3">
      <c r="C292" s="34"/>
    </row>
    <row r="293" spans="3:3">
      <c r="C293" s="34"/>
    </row>
    <row r="294" spans="3:3">
      <c r="C294" s="34"/>
    </row>
    <row r="295" spans="3:3">
      <c r="C295" s="34"/>
    </row>
    <row r="296" spans="3:3">
      <c r="C296" s="34"/>
    </row>
    <row r="297" spans="3:3">
      <c r="C297" s="34"/>
    </row>
    <row r="298" spans="3:3">
      <c r="C298" s="34"/>
    </row>
    <row r="299" spans="3:3">
      <c r="C299" s="34"/>
    </row>
    <row r="300" spans="3:3">
      <c r="C300" s="34"/>
    </row>
    <row r="301" spans="3:3">
      <c r="C301" s="34"/>
    </row>
    <row r="302" spans="3:3">
      <c r="C302" s="34"/>
    </row>
    <row r="303" spans="3:3">
      <c r="C303" s="34"/>
    </row>
    <row r="304" spans="3:3">
      <c r="C304" s="34"/>
    </row>
    <row r="305" spans="3:3">
      <c r="C305" s="34"/>
    </row>
    <row r="306" spans="3:3">
      <c r="C306" s="34"/>
    </row>
    <row r="307" spans="3:3">
      <c r="C307" s="34"/>
    </row>
    <row r="308" spans="3:3">
      <c r="C308" s="34"/>
    </row>
    <row r="309" spans="3:3">
      <c r="C309" s="34"/>
    </row>
    <row r="310" spans="3:3">
      <c r="C310" s="34"/>
    </row>
    <row r="311" spans="3:3">
      <c r="C311" s="34"/>
    </row>
    <row r="312" spans="3:3">
      <c r="C312" s="34"/>
    </row>
    <row r="313" spans="3:3">
      <c r="C313" s="34"/>
    </row>
    <row r="314" spans="3:3">
      <c r="C314" s="34"/>
    </row>
    <row r="315" spans="3:3">
      <c r="C315" s="34"/>
    </row>
    <row r="316" spans="3:3">
      <c r="C316" s="34"/>
    </row>
    <row r="317" spans="3:3">
      <c r="C317" s="34"/>
    </row>
    <row r="318" spans="3:3">
      <c r="C318" s="34"/>
    </row>
    <row r="319" spans="3:3">
      <c r="C319" s="34"/>
    </row>
    <row r="320" spans="3:3">
      <c r="C320" s="34"/>
    </row>
    <row r="321" spans="3:3">
      <c r="C321" s="34"/>
    </row>
    <row r="322" spans="3:3">
      <c r="C322" s="34"/>
    </row>
    <row r="323" spans="3:3">
      <c r="C323" s="34"/>
    </row>
    <row r="324" spans="3:3">
      <c r="C324" s="34"/>
    </row>
    <row r="325" spans="3:3">
      <c r="C325" s="34"/>
    </row>
    <row r="326" spans="3:3">
      <c r="C326" s="34"/>
    </row>
    <row r="327" spans="3:3">
      <c r="C327" s="34"/>
    </row>
    <row r="328" spans="3:3">
      <c r="C328" s="34"/>
    </row>
    <row r="329" spans="3:3">
      <c r="C329" s="34"/>
    </row>
    <row r="330" spans="3:3">
      <c r="C330" s="34"/>
    </row>
    <row r="331" spans="3:3">
      <c r="C331" s="34"/>
    </row>
    <row r="332" spans="3:3">
      <c r="C332" s="34"/>
    </row>
    <row r="333" spans="3:3">
      <c r="C333" s="34"/>
    </row>
    <row r="334" spans="3:3">
      <c r="C334" s="34"/>
    </row>
    <row r="335" spans="3:3">
      <c r="C335" s="34"/>
    </row>
    <row r="336" spans="3:3">
      <c r="C336" s="34"/>
    </row>
    <row r="337" spans="3:3">
      <c r="C337" s="34"/>
    </row>
    <row r="338" spans="3:3">
      <c r="C338" s="34"/>
    </row>
    <row r="339" spans="3:3">
      <c r="C339" s="34"/>
    </row>
    <row r="340" spans="3:3">
      <c r="C340" s="34"/>
    </row>
    <row r="341" spans="3:3">
      <c r="C341" s="34"/>
    </row>
    <row r="342" spans="3:3">
      <c r="C342" s="34"/>
    </row>
    <row r="343" spans="3:3">
      <c r="C343" s="34"/>
    </row>
    <row r="344" spans="3:3">
      <c r="C344" s="34"/>
    </row>
    <row r="345" spans="3:3">
      <c r="C345" s="34"/>
    </row>
    <row r="346" spans="3:3">
      <c r="C346" s="34"/>
    </row>
    <row r="347" spans="3:3">
      <c r="C347" s="34"/>
    </row>
    <row r="348" spans="3:3">
      <c r="C348" s="34"/>
    </row>
    <row r="349" spans="3:3">
      <c r="C349" s="34"/>
    </row>
    <row r="350" spans="3:3">
      <c r="C350" s="34"/>
    </row>
    <row r="351" spans="3:3">
      <c r="C351" s="34"/>
    </row>
    <row r="352" spans="3:3">
      <c r="C352" s="34"/>
    </row>
    <row r="353" spans="3:3">
      <c r="C353" s="34"/>
    </row>
    <row r="354" spans="3:3">
      <c r="C354" s="34"/>
    </row>
    <row r="355" spans="3:3">
      <c r="C355" s="34"/>
    </row>
    <row r="356" spans="3:3">
      <c r="C356" s="34"/>
    </row>
    <row r="357" spans="3:3">
      <c r="C357" s="34"/>
    </row>
    <row r="358" spans="3:3">
      <c r="C358" s="34"/>
    </row>
    <row r="359" spans="3:3">
      <c r="C359" s="34"/>
    </row>
    <row r="360" spans="3:3">
      <c r="C360" s="34"/>
    </row>
    <row r="361" spans="3:3">
      <c r="C361" s="34"/>
    </row>
    <row r="362" spans="3:3">
      <c r="C362" s="34"/>
    </row>
    <row r="363" spans="3:3">
      <c r="C363" s="34"/>
    </row>
    <row r="364" spans="3:3">
      <c r="C364" s="34"/>
    </row>
    <row r="365" spans="3:3">
      <c r="C365" s="34"/>
    </row>
    <row r="366" spans="3:3">
      <c r="C366" s="34"/>
    </row>
    <row r="367" spans="3:3">
      <c r="C367" s="34"/>
    </row>
    <row r="368" spans="3:3">
      <c r="C368" s="34"/>
    </row>
    <row r="369" spans="3:3">
      <c r="C369" s="34"/>
    </row>
    <row r="370" spans="3:3">
      <c r="C370" s="34"/>
    </row>
    <row r="371" spans="3:3">
      <c r="C371" s="34"/>
    </row>
    <row r="372" spans="3:3">
      <c r="C372" s="34"/>
    </row>
    <row r="373" spans="3:3">
      <c r="C373" s="34"/>
    </row>
    <row r="374" spans="3:3">
      <c r="C374" s="34"/>
    </row>
    <row r="375" spans="3:3">
      <c r="C375" s="34"/>
    </row>
    <row r="376" spans="3:3">
      <c r="C376" s="34"/>
    </row>
    <row r="377" spans="3:3">
      <c r="C377" s="34"/>
    </row>
    <row r="378" spans="3:3">
      <c r="C378" s="34"/>
    </row>
    <row r="379" spans="3:3">
      <c r="C379" s="34"/>
    </row>
    <row r="380" spans="3:3">
      <c r="C380" s="34"/>
    </row>
    <row r="381" spans="3:3">
      <c r="C381" s="34"/>
    </row>
    <row r="382" spans="3:3">
      <c r="C382" s="34"/>
    </row>
    <row r="383" spans="3:3">
      <c r="C383" s="34"/>
    </row>
    <row r="384" spans="3:3">
      <c r="C384" s="34"/>
    </row>
    <row r="385" spans="3:3">
      <c r="C385" s="34"/>
    </row>
    <row r="386" spans="3:3">
      <c r="C386" s="34"/>
    </row>
    <row r="387" spans="3:3">
      <c r="C387" s="34"/>
    </row>
    <row r="388" spans="3:3">
      <c r="C388" s="34"/>
    </row>
    <row r="389" spans="3:3">
      <c r="C389" s="34"/>
    </row>
    <row r="390" spans="3:3">
      <c r="C390" s="34"/>
    </row>
    <row r="391" spans="3:3">
      <c r="C391" s="34"/>
    </row>
    <row r="392" spans="3:3">
      <c r="C392" s="34"/>
    </row>
    <row r="393" spans="3:3">
      <c r="C393" s="34"/>
    </row>
    <row r="394" spans="3:3">
      <c r="C394" s="34"/>
    </row>
    <row r="395" spans="3:3">
      <c r="C395" s="34"/>
    </row>
    <row r="396" spans="3:3">
      <c r="C396" s="34"/>
    </row>
    <row r="397" spans="3:3">
      <c r="C397" s="34"/>
    </row>
    <row r="398" spans="3:3">
      <c r="C398" s="34"/>
    </row>
    <row r="399" spans="3:3">
      <c r="C399" s="34"/>
    </row>
    <row r="400" spans="3:3">
      <c r="C400" s="34"/>
    </row>
    <row r="401" spans="3:3">
      <c r="C401" s="34"/>
    </row>
    <row r="402" spans="3:3">
      <c r="C402" s="34"/>
    </row>
    <row r="403" spans="3:3">
      <c r="C403" s="34"/>
    </row>
    <row r="404" spans="3:3">
      <c r="C404" s="34"/>
    </row>
    <row r="405" spans="3:3">
      <c r="C405" s="34"/>
    </row>
    <row r="406" spans="3:3">
      <c r="C406" s="34"/>
    </row>
    <row r="407" spans="3:3">
      <c r="C407" s="34"/>
    </row>
    <row r="408" spans="3:3">
      <c r="C408" s="34"/>
    </row>
    <row r="409" spans="3:3">
      <c r="C409" s="34"/>
    </row>
    <row r="410" spans="3:3">
      <c r="C410" s="34"/>
    </row>
    <row r="411" spans="3:3">
      <c r="C411" s="34"/>
    </row>
    <row r="412" spans="3:3">
      <c r="C412" s="34"/>
    </row>
    <row r="413" spans="3:3">
      <c r="C413" s="34"/>
    </row>
    <row r="414" spans="3:3">
      <c r="C414" s="34"/>
    </row>
    <row r="415" spans="3:3">
      <c r="C415" s="34"/>
    </row>
    <row r="416" spans="3:3">
      <c r="C416" s="34"/>
    </row>
    <row r="417" spans="3:3">
      <c r="C417" s="34"/>
    </row>
    <row r="418" spans="3:3">
      <c r="C418" s="34"/>
    </row>
    <row r="419" spans="3:3">
      <c r="C419" s="34"/>
    </row>
    <row r="420" spans="3:3">
      <c r="C420" s="34"/>
    </row>
    <row r="421" spans="3:3">
      <c r="C421" s="34"/>
    </row>
    <row r="422" spans="3:3">
      <c r="C422" s="34"/>
    </row>
    <row r="423" spans="3:3">
      <c r="C423" s="34"/>
    </row>
    <row r="424" spans="3:3">
      <c r="C424" s="34"/>
    </row>
    <row r="425" spans="3:3">
      <c r="C425" s="34"/>
    </row>
    <row r="426" spans="3:3">
      <c r="C426" s="34"/>
    </row>
    <row r="427" spans="3:3">
      <c r="C427" s="34"/>
    </row>
    <row r="428" spans="3:3">
      <c r="C428" s="34"/>
    </row>
    <row r="429" spans="3:3">
      <c r="C429" s="34"/>
    </row>
    <row r="430" spans="3:3">
      <c r="C430" s="34"/>
    </row>
    <row r="431" spans="3:3">
      <c r="C431" s="34"/>
    </row>
    <row r="432" spans="3:3">
      <c r="C432" s="34"/>
    </row>
    <row r="433" spans="3:3">
      <c r="C433" s="34"/>
    </row>
    <row r="434" spans="3:3">
      <c r="C434" s="34"/>
    </row>
    <row r="435" spans="3:3">
      <c r="C435" s="34"/>
    </row>
    <row r="436" spans="3:3">
      <c r="C436" s="34"/>
    </row>
    <row r="437" spans="3:3">
      <c r="C437" s="34"/>
    </row>
    <row r="438" spans="3:3">
      <c r="C438" s="34"/>
    </row>
    <row r="439" spans="3:3">
      <c r="C439" s="34"/>
    </row>
    <row r="440" spans="3:3">
      <c r="C440" s="34"/>
    </row>
    <row r="441" spans="3:3">
      <c r="C441" s="34"/>
    </row>
    <row r="442" spans="3:3">
      <c r="C442" s="34"/>
    </row>
    <row r="443" spans="3:3">
      <c r="C443" s="34"/>
    </row>
    <row r="444" spans="3:3">
      <c r="C444" s="34"/>
    </row>
    <row r="445" spans="3:3">
      <c r="C445" s="34"/>
    </row>
    <row r="446" spans="3:3">
      <c r="C446" s="34"/>
    </row>
    <row r="447" spans="3:3">
      <c r="C447" s="34"/>
    </row>
    <row r="448" spans="3:3">
      <c r="C448" s="34"/>
    </row>
    <row r="449" spans="3:3">
      <c r="C449" s="34"/>
    </row>
    <row r="450" spans="3:3">
      <c r="C450" s="34"/>
    </row>
    <row r="451" spans="3:3">
      <c r="C451" s="34"/>
    </row>
    <row r="452" spans="3:3">
      <c r="C452" s="34"/>
    </row>
    <row r="453" spans="3:3">
      <c r="C453" s="34"/>
    </row>
    <row r="454" spans="3:3">
      <c r="C454" s="34"/>
    </row>
    <row r="455" spans="3:3">
      <c r="C455" s="34"/>
    </row>
    <row r="456" spans="3:3">
      <c r="C456" s="34"/>
    </row>
    <row r="457" spans="3:3">
      <c r="C457" s="34"/>
    </row>
    <row r="458" spans="3:3">
      <c r="C458" s="34"/>
    </row>
    <row r="459" spans="3:3">
      <c r="C459" s="34"/>
    </row>
    <row r="460" spans="3:3">
      <c r="C460" s="34"/>
    </row>
    <row r="461" spans="3:3">
      <c r="C461" s="34"/>
    </row>
    <row r="462" spans="3:3">
      <c r="C462" s="34"/>
    </row>
    <row r="463" spans="3:3">
      <c r="C463" s="34"/>
    </row>
    <row r="464" spans="3:3">
      <c r="C464" s="34"/>
    </row>
    <row r="465" spans="3:3">
      <c r="C465" s="34"/>
    </row>
    <row r="466" spans="3:3">
      <c r="C466" s="34"/>
    </row>
    <row r="467" spans="3:3">
      <c r="C467" s="34"/>
    </row>
    <row r="468" spans="3:3">
      <c r="C468" s="34"/>
    </row>
    <row r="469" spans="3:3">
      <c r="C469" s="34"/>
    </row>
    <row r="470" spans="3:3">
      <c r="C470" s="34"/>
    </row>
    <row r="471" spans="3:3">
      <c r="C471" s="34"/>
    </row>
    <row r="472" spans="3:3">
      <c r="C472" s="34"/>
    </row>
    <row r="473" spans="3:3">
      <c r="C473" s="34"/>
    </row>
    <row r="474" spans="3:3">
      <c r="C474" s="34"/>
    </row>
    <row r="475" spans="3:3">
      <c r="C475" s="34"/>
    </row>
    <row r="476" spans="3:3">
      <c r="C476" s="34"/>
    </row>
    <row r="477" spans="3:3">
      <c r="C477" s="34"/>
    </row>
    <row r="478" spans="3:3">
      <c r="C478" s="34"/>
    </row>
    <row r="479" spans="3:3">
      <c r="C479" s="34"/>
    </row>
    <row r="480" spans="3:3">
      <c r="C480" s="34"/>
    </row>
    <row r="481" spans="3:3">
      <c r="C481" s="34"/>
    </row>
    <row r="482" spans="3:3">
      <c r="C482" s="34"/>
    </row>
    <row r="483" spans="3:3">
      <c r="C483" s="34"/>
    </row>
    <row r="484" spans="3:3">
      <c r="C484" s="34"/>
    </row>
    <row r="485" spans="3:3">
      <c r="C485" s="34"/>
    </row>
    <row r="486" spans="3:3">
      <c r="C486" s="34"/>
    </row>
    <row r="487" spans="3:3">
      <c r="C487" s="34"/>
    </row>
    <row r="488" spans="3:3">
      <c r="C488" s="34"/>
    </row>
    <row r="489" spans="3:3">
      <c r="C489" s="34"/>
    </row>
    <row r="490" spans="3:3">
      <c r="C490" s="34"/>
    </row>
    <row r="491" spans="3:3">
      <c r="C491" s="34"/>
    </row>
    <row r="492" spans="3:3">
      <c r="C492" s="34"/>
    </row>
    <row r="493" spans="3:3">
      <c r="C493" s="34"/>
    </row>
    <row r="494" spans="3:3">
      <c r="C494" s="34"/>
    </row>
    <row r="495" spans="3:3">
      <c r="C495" s="34"/>
    </row>
    <row r="496" spans="3:3">
      <c r="C496" s="34"/>
    </row>
    <row r="497" spans="3:3">
      <c r="C497" s="34"/>
    </row>
    <row r="498" spans="3:3">
      <c r="C498" s="34"/>
    </row>
    <row r="499" spans="3:3">
      <c r="C499" s="34"/>
    </row>
    <row r="500" spans="3:3">
      <c r="C500" s="34"/>
    </row>
    <row r="501" spans="3:3">
      <c r="C501" s="34"/>
    </row>
    <row r="502" spans="3:3">
      <c r="C502" s="34"/>
    </row>
    <row r="503" spans="3:3">
      <c r="C503" s="34"/>
    </row>
    <row r="504" spans="3:3">
      <c r="C504" s="34"/>
    </row>
    <row r="505" spans="3:3">
      <c r="C505" s="34"/>
    </row>
    <row r="506" spans="3:3">
      <c r="C506" s="34"/>
    </row>
    <row r="507" spans="3:3">
      <c r="C507" s="34"/>
    </row>
    <row r="508" spans="3:3">
      <c r="C508" s="34"/>
    </row>
    <row r="509" spans="3:3">
      <c r="C509" s="34"/>
    </row>
    <row r="510" spans="3:3">
      <c r="C510" s="34"/>
    </row>
    <row r="511" spans="3:3">
      <c r="C511" s="34"/>
    </row>
    <row r="512" spans="3:3">
      <c r="C512" s="34"/>
    </row>
    <row r="513" spans="3:3">
      <c r="C513" s="34"/>
    </row>
    <row r="514" spans="3:3">
      <c r="C514" s="34"/>
    </row>
    <row r="515" spans="3:3">
      <c r="C515" s="34"/>
    </row>
    <row r="516" spans="3:3">
      <c r="C516" s="34"/>
    </row>
    <row r="517" spans="3:3">
      <c r="C517" s="34"/>
    </row>
    <row r="518" spans="3:3">
      <c r="C518" s="34"/>
    </row>
    <row r="519" spans="3:3">
      <c r="C519" s="34"/>
    </row>
    <row r="520" spans="3:3">
      <c r="C520" s="34"/>
    </row>
    <row r="521" spans="3:3">
      <c r="C521" s="34"/>
    </row>
    <row r="522" spans="3:3">
      <c r="C522" s="34"/>
    </row>
    <row r="523" spans="3:3">
      <c r="C523" s="34"/>
    </row>
    <row r="524" spans="3:3">
      <c r="C524" s="34"/>
    </row>
    <row r="525" spans="3:3">
      <c r="C525" s="34"/>
    </row>
    <row r="526" spans="3:3">
      <c r="C526" s="34"/>
    </row>
    <row r="527" spans="3:3">
      <c r="C527" s="34"/>
    </row>
    <row r="528" spans="3:3">
      <c r="C528" s="34"/>
    </row>
    <row r="529" spans="3:3">
      <c r="C529" s="34"/>
    </row>
    <row r="530" spans="3:3">
      <c r="C530" s="34"/>
    </row>
    <row r="531" spans="3:3">
      <c r="C531" s="34"/>
    </row>
    <row r="532" spans="3:3">
      <c r="C532" s="34"/>
    </row>
    <row r="533" spans="3:3">
      <c r="C533" s="34"/>
    </row>
    <row r="534" spans="3:3">
      <c r="C534" s="34"/>
    </row>
    <row r="535" spans="3:3">
      <c r="C535" s="34"/>
    </row>
    <row r="536" spans="3:3">
      <c r="C536" s="34"/>
    </row>
    <row r="537" spans="3:3">
      <c r="C537" s="34"/>
    </row>
    <row r="538" spans="3:3">
      <c r="C538" s="34"/>
    </row>
    <row r="539" spans="3:3">
      <c r="C539" s="34"/>
    </row>
    <row r="540" spans="3:3">
      <c r="C540" s="34"/>
    </row>
    <row r="541" spans="3:3">
      <c r="C541" s="34"/>
    </row>
    <row r="542" spans="3:3">
      <c r="C542" s="34"/>
    </row>
    <row r="543" spans="3:3">
      <c r="C543" s="34"/>
    </row>
    <row r="544" spans="3:3">
      <c r="C544" s="34"/>
    </row>
    <row r="545" spans="3:3">
      <c r="C545" s="34"/>
    </row>
    <row r="546" spans="3:3">
      <c r="C546" s="34"/>
    </row>
    <row r="547" spans="3:3">
      <c r="C547" s="34"/>
    </row>
    <row r="548" spans="3:3">
      <c r="C548" s="34"/>
    </row>
    <row r="549" spans="3:3">
      <c r="C549" s="34"/>
    </row>
    <row r="550" spans="3:3">
      <c r="C550" s="34"/>
    </row>
    <row r="551" spans="3:3">
      <c r="C551" s="34"/>
    </row>
    <row r="552" spans="3:3">
      <c r="C552" s="34"/>
    </row>
    <row r="553" spans="3:3">
      <c r="C553" s="34"/>
    </row>
    <row r="554" spans="3:3">
      <c r="C554" s="34"/>
    </row>
    <row r="555" spans="3:3">
      <c r="C555" s="34"/>
    </row>
    <row r="556" spans="3:3">
      <c r="C556" s="34"/>
    </row>
    <row r="557" spans="3:3">
      <c r="C557" s="34"/>
    </row>
    <row r="558" spans="3:3">
      <c r="C558" s="34"/>
    </row>
    <row r="559" spans="3:3">
      <c r="C559" s="34"/>
    </row>
    <row r="560" spans="3:3">
      <c r="C560" s="34"/>
    </row>
    <row r="561" spans="3:3">
      <c r="C561" s="34"/>
    </row>
    <row r="562" spans="3:3">
      <c r="C562" s="34"/>
    </row>
    <row r="563" spans="3:3">
      <c r="C563" s="34"/>
    </row>
    <row r="564" spans="3:3">
      <c r="C564" s="34"/>
    </row>
    <row r="565" spans="3:3">
      <c r="C565" s="34"/>
    </row>
    <row r="566" spans="3:3">
      <c r="C566" s="34"/>
    </row>
    <row r="567" spans="3:3">
      <c r="C567" s="34"/>
    </row>
    <row r="568" spans="3:3">
      <c r="C568" s="34"/>
    </row>
    <row r="569" spans="3:3">
      <c r="C569" s="34"/>
    </row>
    <row r="570" spans="3:3">
      <c r="C570" s="34"/>
    </row>
    <row r="571" spans="3:3">
      <c r="C571" s="34"/>
    </row>
    <row r="572" spans="3:3">
      <c r="C572" s="34"/>
    </row>
    <row r="573" spans="3:3">
      <c r="C573" s="34"/>
    </row>
    <row r="574" spans="3:3">
      <c r="C574" s="34"/>
    </row>
    <row r="575" spans="3:3">
      <c r="C575" s="34"/>
    </row>
    <row r="576" spans="3:3">
      <c r="C576" s="34"/>
    </row>
    <row r="577" spans="3:3">
      <c r="C577" s="34"/>
    </row>
    <row r="578" spans="3:3">
      <c r="C578" s="34"/>
    </row>
    <row r="579" spans="3:3">
      <c r="C579" s="34"/>
    </row>
    <row r="580" spans="3:3">
      <c r="C580" s="34"/>
    </row>
    <row r="581" spans="3:3">
      <c r="C581" s="34"/>
    </row>
    <row r="582" spans="3:3">
      <c r="C582" s="34"/>
    </row>
    <row r="583" spans="3:3">
      <c r="C583" s="34"/>
    </row>
    <row r="584" spans="3:3">
      <c r="C584" s="34"/>
    </row>
    <row r="585" spans="3:3">
      <c r="C585" s="34"/>
    </row>
    <row r="586" spans="3:3">
      <c r="C586" s="34"/>
    </row>
    <row r="587" spans="3:3">
      <c r="C587" s="34"/>
    </row>
    <row r="588" spans="3:3">
      <c r="C588" s="34"/>
    </row>
    <row r="589" spans="3:3">
      <c r="C589" s="34"/>
    </row>
    <row r="590" spans="3:3">
      <c r="C590" s="34"/>
    </row>
    <row r="591" spans="3:3">
      <c r="C591" s="34"/>
    </row>
    <row r="592" spans="3:3">
      <c r="C592" s="34"/>
    </row>
    <row r="593" spans="3:3">
      <c r="C593" s="34"/>
    </row>
    <row r="594" spans="3:3">
      <c r="C594" s="34"/>
    </row>
    <row r="595" spans="3:3">
      <c r="C595" s="34"/>
    </row>
    <row r="596" spans="3:3">
      <c r="C596" s="34"/>
    </row>
    <row r="597" spans="3:3">
      <c r="C597" s="34"/>
    </row>
    <row r="598" spans="3:3">
      <c r="C598" s="34"/>
    </row>
    <row r="599" spans="3:3">
      <c r="C599" s="34"/>
    </row>
    <row r="600" spans="3:3">
      <c r="C600" s="34"/>
    </row>
    <row r="601" spans="3:3">
      <c r="C601" s="34"/>
    </row>
    <row r="602" spans="3:3">
      <c r="C602" s="34"/>
    </row>
    <row r="603" spans="3:3">
      <c r="C603" s="34"/>
    </row>
    <row r="604" spans="3:3">
      <c r="C604" s="34"/>
    </row>
    <row r="605" spans="3:3">
      <c r="C605" s="34"/>
    </row>
    <row r="606" spans="3:3">
      <c r="C606" s="34"/>
    </row>
    <row r="607" spans="3:3">
      <c r="C607" s="34"/>
    </row>
    <row r="608" spans="3:3">
      <c r="C608" s="34"/>
    </row>
    <row r="609" spans="3:3">
      <c r="C609" s="34"/>
    </row>
    <row r="610" spans="3:3">
      <c r="C610" s="34"/>
    </row>
    <row r="611" spans="3:3">
      <c r="C611" s="34"/>
    </row>
    <row r="612" spans="3:3">
      <c r="C612" s="34"/>
    </row>
    <row r="613" spans="3:3">
      <c r="C613" s="34"/>
    </row>
    <row r="614" spans="3:3">
      <c r="C614" s="34"/>
    </row>
    <row r="615" spans="3:3">
      <c r="C615" s="34"/>
    </row>
    <row r="616" spans="3:3">
      <c r="C616" s="34"/>
    </row>
    <row r="617" spans="3:3">
      <c r="C617" s="34"/>
    </row>
    <row r="618" spans="3:3">
      <c r="C618" s="34"/>
    </row>
    <row r="619" spans="3:3">
      <c r="C619" s="34"/>
    </row>
    <row r="620" spans="3:3">
      <c r="C620" s="34"/>
    </row>
    <row r="621" spans="3:3">
      <c r="C621" s="34"/>
    </row>
    <row r="622" spans="3:3">
      <c r="C622" s="34"/>
    </row>
    <row r="623" spans="3:3">
      <c r="C623" s="34"/>
    </row>
    <row r="624" spans="3:3">
      <c r="C624" s="34"/>
    </row>
    <row r="625" spans="3:3">
      <c r="C625" s="34"/>
    </row>
    <row r="626" spans="3:3">
      <c r="C626" s="34"/>
    </row>
    <row r="627" spans="3:3">
      <c r="C627" s="34"/>
    </row>
    <row r="628" spans="3:3">
      <c r="C628" s="34"/>
    </row>
    <row r="629" spans="3:3">
      <c r="C629" s="34"/>
    </row>
    <row r="630" spans="3:3">
      <c r="C630" s="34"/>
    </row>
    <row r="631" spans="3:3">
      <c r="C631" s="34"/>
    </row>
    <row r="632" spans="3:3">
      <c r="C632" s="34"/>
    </row>
    <row r="633" spans="3:3">
      <c r="C633" s="34"/>
    </row>
    <row r="634" spans="3:3">
      <c r="C634" s="34"/>
    </row>
    <row r="635" spans="3:3">
      <c r="C635" s="34"/>
    </row>
    <row r="636" spans="3:3">
      <c r="C636" s="34"/>
    </row>
    <row r="637" spans="3:3">
      <c r="C637" s="34"/>
    </row>
    <row r="638" spans="3:3">
      <c r="C638" s="34"/>
    </row>
    <row r="639" spans="3:3">
      <c r="C639" s="34"/>
    </row>
    <row r="640" spans="3:3">
      <c r="C640" s="34"/>
    </row>
    <row r="641" spans="3:3">
      <c r="C641" s="34"/>
    </row>
    <row r="642" spans="3:3">
      <c r="C642" s="34"/>
    </row>
    <row r="643" spans="3:3">
      <c r="C643" s="34"/>
    </row>
    <row r="644" spans="3:3">
      <c r="C644" s="34"/>
    </row>
    <row r="645" spans="3:3">
      <c r="C645" s="34"/>
    </row>
    <row r="646" spans="3:3">
      <c r="C646" s="34"/>
    </row>
    <row r="647" spans="3:3">
      <c r="C647" s="34"/>
    </row>
    <row r="648" spans="3:3">
      <c r="C648" s="34"/>
    </row>
    <row r="649" spans="3:3">
      <c r="C649" s="34"/>
    </row>
    <row r="650" spans="3:3">
      <c r="C650" s="34"/>
    </row>
    <row r="651" spans="3:3">
      <c r="C651" s="34"/>
    </row>
    <row r="652" spans="3:3">
      <c r="C652" s="34"/>
    </row>
    <row r="653" spans="3:3">
      <c r="C653" s="34"/>
    </row>
    <row r="654" spans="3:3">
      <c r="C654" s="34"/>
    </row>
    <row r="655" spans="3:3">
      <c r="C655" s="34"/>
    </row>
    <row r="656" spans="3:3">
      <c r="C656" s="34"/>
    </row>
    <row r="657" spans="3:3">
      <c r="C657" s="34"/>
    </row>
    <row r="658" spans="3:3">
      <c r="C658" s="34"/>
    </row>
    <row r="659" spans="3:3">
      <c r="C659" s="34"/>
    </row>
    <row r="660" spans="3:3">
      <c r="C660" s="34"/>
    </row>
    <row r="661" spans="3:3">
      <c r="C661" s="34"/>
    </row>
    <row r="662" spans="3:3">
      <c r="C662" s="34"/>
    </row>
    <row r="663" spans="3:3">
      <c r="C663" s="34"/>
    </row>
    <row r="664" spans="3:3">
      <c r="C664" s="34"/>
    </row>
    <row r="665" spans="3:3">
      <c r="C665" s="34"/>
    </row>
    <row r="666" spans="3:3">
      <c r="C666" s="34"/>
    </row>
    <row r="667" spans="3:3">
      <c r="C667" s="34"/>
    </row>
    <row r="668" spans="3:3">
      <c r="C668" s="34"/>
    </row>
    <row r="669" spans="3:3">
      <c r="C669" s="34"/>
    </row>
    <row r="670" spans="3:3">
      <c r="C670" s="34"/>
    </row>
    <row r="671" spans="3:3">
      <c r="C671" s="34"/>
    </row>
    <row r="672" spans="3:3">
      <c r="C672" s="34"/>
    </row>
    <row r="673" spans="3:3">
      <c r="C673" s="34"/>
    </row>
    <row r="674" spans="3:3">
      <c r="C674" s="34"/>
    </row>
    <row r="675" spans="3:3">
      <c r="C675" s="34"/>
    </row>
    <row r="676" spans="3:3">
      <c r="C676" s="34"/>
    </row>
    <row r="677" spans="3:3">
      <c r="C677" s="34"/>
    </row>
    <row r="678" spans="3:3">
      <c r="C678" s="34"/>
    </row>
    <row r="679" spans="3:3">
      <c r="C679" s="34"/>
    </row>
    <row r="680" spans="3:3">
      <c r="C680" s="34"/>
    </row>
    <row r="681" spans="3:3">
      <c r="C681" s="34"/>
    </row>
    <row r="682" spans="3:3">
      <c r="C682" s="34"/>
    </row>
    <row r="683" spans="3:3">
      <c r="C683" s="34"/>
    </row>
    <row r="684" spans="3:3">
      <c r="C684" s="34"/>
    </row>
    <row r="685" spans="3:3">
      <c r="C685" s="34"/>
    </row>
    <row r="686" spans="3:3">
      <c r="C686" s="34"/>
    </row>
    <row r="687" spans="3:3">
      <c r="C687" s="34"/>
    </row>
    <row r="688" spans="3:3">
      <c r="C688" s="34"/>
    </row>
    <row r="689" spans="3:3">
      <c r="C689" s="34"/>
    </row>
    <row r="690" spans="3:3">
      <c r="C690" s="34"/>
    </row>
    <row r="691" spans="3:3">
      <c r="C691" s="34"/>
    </row>
    <row r="692" spans="3:3">
      <c r="C692" s="34"/>
    </row>
    <row r="693" spans="3:3">
      <c r="C693" s="34"/>
    </row>
    <row r="694" spans="3:3">
      <c r="C694" s="34"/>
    </row>
    <row r="695" spans="3:3">
      <c r="C695" s="34"/>
    </row>
    <row r="696" spans="3:3">
      <c r="C696" s="34"/>
    </row>
    <row r="697" spans="3:3">
      <c r="C697" s="34"/>
    </row>
    <row r="698" spans="3:3">
      <c r="C698" s="34"/>
    </row>
    <row r="699" spans="3:3">
      <c r="C699" s="34"/>
    </row>
    <row r="700" spans="3:3">
      <c r="C700" s="34"/>
    </row>
    <row r="701" spans="3:3">
      <c r="C701" s="34"/>
    </row>
    <row r="702" spans="3:3">
      <c r="C702" s="34"/>
    </row>
    <row r="703" spans="3:3">
      <c r="C703" s="34"/>
    </row>
    <row r="704" spans="3:3">
      <c r="C704" s="34"/>
    </row>
    <row r="705" spans="3:3">
      <c r="C705" s="34"/>
    </row>
    <row r="706" spans="3:3">
      <c r="C706" s="34"/>
    </row>
    <row r="707" spans="3:3">
      <c r="C707" s="34"/>
    </row>
    <row r="708" spans="3:3">
      <c r="C708" s="34"/>
    </row>
    <row r="709" spans="3:3">
      <c r="C709" s="34"/>
    </row>
    <row r="710" spans="3:3">
      <c r="C710" s="34"/>
    </row>
    <row r="711" spans="3:3">
      <c r="C711" s="34"/>
    </row>
    <row r="712" spans="3:3">
      <c r="C712" s="34"/>
    </row>
    <row r="713" spans="3:3">
      <c r="C713" s="34"/>
    </row>
    <row r="714" spans="3:3">
      <c r="C714" s="34"/>
    </row>
    <row r="715" spans="3:3">
      <c r="C715" s="34"/>
    </row>
    <row r="716" spans="3:3">
      <c r="C716" s="34"/>
    </row>
    <row r="717" spans="3:3">
      <c r="C717" s="34"/>
    </row>
    <row r="718" spans="3:3">
      <c r="C718" s="34"/>
    </row>
    <row r="719" spans="3:3">
      <c r="C719" s="34"/>
    </row>
    <row r="720" spans="3:3">
      <c r="C720" s="34"/>
    </row>
    <row r="721" spans="3:3">
      <c r="C721" s="34"/>
    </row>
    <row r="722" spans="3:3">
      <c r="C722" s="34"/>
    </row>
    <row r="723" spans="3:3">
      <c r="C723" s="34"/>
    </row>
    <row r="724" spans="3:3">
      <c r="C724" s="34"/>
    </row>
    <row r="725" spans="3:3">
      <c r="C725" s="34"/>
    </row>
    <row r="726" spans="3:3">
      <c r="C726" s="34"/>
    </row>
    <row r="727" spans="3:3">
      <c r="C727" s="34"/>
    </row>
    <row r="728" spans="3:3">
      <c r="C728" s="34"/>
    </row>
    <row r="729" spans="3:3">
      <c r="C729" s="34"/>
    </row>
    <row r="730" spans="3:3">
      <c r="C730" s="34"/>
    </row>
    <row r="731" spans="3:3">
      <c r="C731" s="34"/>
    </row>
    <row r="732" spans="3:3">
      <c r="C732" s="34"/>
    </row>
    <row r="733" spans="3:3">
      <c r="C733" s="34"/>
    </row>
    <row r="734" spans="3:3">
      <c r="C734" s="34"/>
    </row>
    <row r="735" spans="3:3">
      <c r="C735" s="34"/>
    </row>
    <row r="736" spans="3:3">
      <c r="C736" s="34"/>
    </row>
    <row r="737" spans="3:3">
      <c r="C737" s="34"/>
    </row>
    <row r="738" spans="3:3">
      <c r="C738" s="34"/>
    </row>
    <row r="739" spans="3:3">
      <c r="C739" s="34"/>
    </row>
    <row r="740" spans="3:3">
      <c r="C740" s="34"/>
    </row>
    <row r="741" spans="3:3">
      <c r="C741" s="34"/>
    </row>
    <row r="742" spans="3:3">
      <c r="C742" s="34"/>
    </row>
    <row r="743" spans="3:3">
      <c r="C743" s="34"/>
    </row>
    <row r="744" spans="3:3">
      <c r="C744" s="34"/>
    </row>
    <row r="745" spans="3:3">
      <c r="C745" s="34"/>
    </row>
    <row r="746" spans="3:3">
      <c r="C746" s="34"/>
    </row>
    <row r="747" spans="3:3">
      <c r="C747" s="34"/>
    </row>
    <row r="748" spans="3:3">
      <c r="C748" s="34"/>
    </row>
    <row r="749" spans="3:3">
      <c r="C749" s="34"/>
    </row>
    <row r="750" spans="3:3">
      <c r="C750" s="34"/>
    </row>
    <row r="751" spans="3:3">
      <c r="C751" s="34"/>
    </row>
    <row r="752" spans="3:3">
      <c r="C752" s="34"/>
    </row>
    <row r="753" spans="3:3">
      <c r="C753" s="34"/>
    </row>
    <row r="754" spans="3:3">
      <c r="C754" s="34"/>
    </row>
    <row r="755" spans="3:3">
      <c r="C755" s="34"/>
    </row>
    <row r="756" spans="3:3">
      <c r="C756" s="34"/>
    </row>
    <row r="757" spans="3:3">
      <c r="C757" s="34"/>
    </row>
    <row r="758" spans="3:3">
      <c r="C758" s="34"/>
    </row>
    <row r="759" spans="3:3">
      <c r="C759" s="34"/>
    </row>
    <row r="760" spans="3:3">
      <c r="C760" s="34"/>
    </row>
    <row r="761" spans="3:3">
      <c r="C761" s="34"/>
    </row>
    <row r="762" spans="3:3">
      <c r="C762" s="34"/>
    </row>
    <row r="763" spans="3:3">
      <c r="C763" s="34"/>
    </row>
    <row r="764" spans="3:3">
      <c r="C764" s="34"/>
    </row>
    <row r="765" spans="3:3">
      <c r="C765" s="34"/>
    </row>
    <row r="766" spans="3:3">
      <c r="C766" s="34"/>
    </row>
    <row r="767" spans="3:3">
      <c r="C767" s="34"/>
    </row>
    <row r="768" spans="3:3">
      <c r="C768" s="34"/>
    </row>
    <row r="769" spans="3:3">
      <c r="C769" s="34"/>
    </row>
    <row r="770" spans="3:3">
      <c r="C770" s="34"/>
    </row>
    <row r="771" spans="3:3">
      <c r="C771" s="34"/>
    </row>
    <row r="772" spans="3:3">
      <c r="C772" s="34"/>
    </row>
    <row r="773" spans="3:3">
      <c r="C773" s="34"/>
    </row>
    <row r="774" spans="3:3">
      <c r="C774" s="34"/>
    </row>
    <row r="775" spans="3:3">
      <c r="C775" s="34"/>
    </row>
    <row r="776" spans="3:3">
      <c r="C776" s="34"/>
    </row>
    <row r="777" spans="3:3">
      <c r="C777" s="34"/>
    </row>
    <row r="778" spans="3:3">
      <c r="C778" s="34"/>
    </row>
    <row r="779" spans="3:3">
      <c r="C779" s="34"/>
    </row>
    <row r="780" spans="3:3">
      <c r="C780" s="34"/>
    </row>
    <row r="781" spans="3:3">
      <c r="C781" s="34"/>
    </row>
    <row r="782" spans="3:3">
      <c r="C782" s="34"/>
    </row>
    <row r="783" spans="3:3">
      <c r="C783" s="34"/>
    </row>
    <row r="784" spans="3:3">
      <c r="C784" s="34"/>
    </row>
    <row r="785" spans="3:3">
      <c r="C785" s="34"/>
    </row>
    <row r="786" spans="3:3">
      <c r="C786" s="34"/>
    </row>
    <row r="787" spans="3:3">
      <c r="C787" s="34"/>
    </row>
    <row r="788" spans="3:3">
      <c r="C788" s="34"/>
    </row>
    <row r="789" spans="3:3">
      <c r="C789" s="34"/>
    </row>
    <row r="790" spans="3:3">
      <c r="C790" s="34"/>
    </row>
    <row r="791" spans="3:3">
      <c r="C791" s="34"/>
    </row>
    <row r="792" spans="3:3">
      <c r="C792" s="34"/>
    </row>
    <row r="793" spans="3:3">
      <c r="C793" s="34"/>
    </row>
    <row r="794" spans="3:3">
      <c r="C794" s="34"/>
    </row>
    <row r="795" spans="3:3">
      <c r="C795" s="34"/>
    </row>
    <row r="796" spans="3:3">
      <c r="C796" s="34"/>
    </row>
    <row r="797" spans="3:3">
      <c r="C797" s="34"/>
    </row>
    <row r="798" spans="3:3">
      <c r="C798" s="34"/>
    </row>
    <row r="799" spans="3:3">
      <c r="C799" s="34"/>
    </row>
    <row r="800" spans="3:3">
      <c r="C800" s="34"/>
    </row>
    <row r="801" spans="3:3">
      <c r="C801" s="34"/>
    </row>
    <row r="802" spans="3:3">
      <c r="C802" s="34"/>
    </row>
    <row r="803" spans="3:3">
      <c r="C803" s="34"/>
    </row>
    <row r="804" spans="3:3">
      <c r="C804" s="34"/>
    </row>
    <row r="805" spans="3:3">
      <c r="C805" s="34"/>
    </row>
    <row r="806" spans="3:3">
      <c r="C806" s="34"/>
    </row>
    <row r="807" spans="3:3">
      <c r="C807" s="34"/>
    </row>
    <row r="808" spans="3:3">
      <c r="C808" s="34"/>
    </row>
    <row r="809" spans="3:3">
      <c r="C809" s="34"/>
    </row>
    <row r="810" spans="3:3">
      <c r="C810" s="34"/>
    </row>
    <row r="811" spans="3:3">
      <c r="C811" s="34"/>
    </row>
    <row r="812" spans="3:3">
      <c r="C812" s="34"/>
    </row>
    <row r="813" spans="3:3">
      <c r="C813" s="34"/>
    </row>
    <row r="814" spans="3:3">
      <c r="C814" s="34"/>
    </row>
    <row r="815" spans="3:3">
      <c r="C815" s="34"/>
    </row>
    <row r="816" spans="3:3">
      <c r="C816" s="34"/>
    </row>
    <row r="817" spans="3:3">
      <c r="C817" s="34"/>
    </row>
    <row r="818" spans="3:3">
      <c r="C818" s="34"/>
    </row>
    <row r="819" spans="3:3">
      <c r="C819" s="34"/>
    </row>
    <row r="820" spans="3:3">
      <c r="C820" s="34"/>
    </row>
    <row r="821" spans="3:3">
      <c r="C821" s="34"/>
    </row>
    <row r="822" spans="3:3">
      <c r="C822" s="34"/>
    </row>
    <row r="823" spans="3:3">
      <c r="C823" s="34"/>
    </row>
    <row r="824" spans="3:3">
      <c r="C824" s="34"/>
    </row>
    <row r="825" spans="3:3">
      <c r="C825" s="34"/>
    </row>
    <row r="826" spans="3:3">
      <c r="C826" s="34"/>
    </row>
    <row r="827" spans="3:3">
      <c r="C827" s="34"/>
    </row>
    <row r="828" spans="3:3">
      <c r="C828" s="34"/>
    </row>
    <row r="829" spans="3:3">
      <c r="C829" s="34"/>
    </row>
    <row r="830" spans="3:3">
      <c r="C830" s="34"/>
    </row>
    <row r="831" spans="3:3">
      <c r="C831" s="34"/>
    </row>
    <row r="832" spans="3:3">
      <c r="C832" s="34"/>
    </row>
    <row r="833" spans="3:3">
      <c r="C833" s="34"/>
    </row>
    <row r="834" spans="3:3">
      <c r="C834" s="34"/>
    </row>
    <row r="835" spans="3:3">
      <c r="C835" s="34"/>
    </row>
    <row r="836" spans="3:3">
      <c r="C836" s="34"/>
    </row>
    <row r="837" spans="3:3">
      <c r="C837" s="34"/>
    </row>
    <row r="838" spans="3:3">
      <c r="C838" s="34"/>
    </row>
    <row r="839" spans="3:3">
      <c r="C839" s="34"/>
    </row>
    <row r="840" spans="3:3">
      <c r="C840" s="34"/>
    </row>
    <row r="841" spans="3:3">
      <c r="C841" s="34"/>
    </row>
    <row r="842" spans="3:3">
      <c r="C842" s="34"/>
    </row>
    <row r="843" spans="3:3">
      <c r="C843" s="34"/>
    </row>
    <row r="844" spans="3:3">
      <c r="C844" s="34"/>
    </row>
    <row r="845" spans="3:3">
      <c r="C845" s="34"/>
    </row>
    <row r="846" spans="3:3">
      <c r="C846" s="34"/>
    </row>
    <row r="847" spans="3:3">
      <c r="C847" s="34"/>
    </row>
    <row r="848" spans="3:3">
      <c r="C848" s="34"/>
    </row>
    <row r="849" spans="3:3">
      <c r="C849" s="34"/>
    </row>
    <row r="850" spans="3:3">
      <c r="C850" s="34"/>
    </row>
    <row r="851" spans="3:3">
      <c r="C851" s="34"/>
    </row>
    <row r="852" spans="3:3">
      <c r="C852" s="34"/>
    </row>
    <row r="853" spans="3:3">
      <c r="C853" s="34"/>
    </row>
    <row r="854" spans="3:3">
      <c r="C854" s="34"/>
    </row>
    <row r="855" spans="3:3">
      <c r="C855" s="34"/>
    </row>
    <row r="856" spans="3:3">
      <c r="C856" s="34"/>
    </row>
    <row r="857" spans="3:3">
      <c r="C857" s="34"/>
    </row>
    <row r="858" spans="3:3">
      <c r="C858" s="34"/>
    </row>
    <row r="859" spans="3:3">
      <c r="C859" s="34"/>
    </row>
    <row r="860" spans="3:3">
      <c r="C860" s="34"/>
    </row>
    <row r="861" spans="3:3">
      <c r="C861" s="34"/>
    </row>
    <row r="862" spans="3:3">
      <c r="C862" s="34"/>
    </row>
    <row r="863" spans="3:3">
      <c r="C863" s="34"/>
    </row>
    <row r="864" spans="3:3">
      <c r="C864" s="34"/>
    </row>
    <row r="865" spans="3:3">
      <c r="C865" s="34"/>
    </row>
    <row r="866" spans="3:3">
      <c r="C866" s="34"/>
    </row>
    <row r="867" spans="3:3">
      <c r="C867" s="34"/>
    </row>
    <row r="868" spans="3:3">
      <c r="C868" s="34"/>
    </row>
    <row r="869" spans="3:3">
      <c r="C869" s="34"/>
    </row>
    <row r="870" spans="3:3">
      <c r="C870" s="34"/>
    </row>
    <row r="871" spans="3:3">
      <c r="C871" s="34"/>
    </row>
    <row r="872" spans="3:3">
      <c r="C872" s="34"/>
    </row>
    <row r="873" spans="3:3">
      <c r="C873" s="34"/>
    </row>
    <row r="874" spans="3:3">
      <c r="C874" s="34"/>
    </row>
    <row r="875" spans="3:3">
      <c r="C875" s="34"/>
    </row>
    <row r="876" spans="3:3">
      <c r="C876" s="34"/>
    </row>
    <row r="877" spans="3:3">
      <c r="C877" s="34"/>
    </row>
    <row r="878" spans="3:3">
      <c r="C878" s="34"/>
    </row>
    <row r="879" spans="3:3">
      <c r="C879" s="34"/>
    </row>
    <row r="880" spans="3:3">
      <c r="C880" s="34"/>
    </row>
    <row r="881" spans="3:3">
      <c r="C881" s="34"/>
    </row>
    <row r="882" spans="3:3">
      <c r="C882" s="34"/>
    </row>
    <row r="883" spans="3:3">
      <c r="C883" s="34"/>
    </row>
    <row r="884" spans="3:3">
      <c r="C884" s="34"/>
    </row>
    <row r="885" spans="3:3">
      <c r="C885" s="34"/>
    </row>
    <row r="886" spans="3:3">
      <c r="C886" s="34"/>
    </row>
    <row r="887" spans="3:3">
      <c r="C887" s="34"/>
    </row>
    <row r="888" spans="3:3">
      <c r="C888" s="34"/>
    </row>
    <row r="889" spans="3:3">
      <c r="C889" s="34"/>
    </row>
    <row r="890" spans="3:3">
      <c r="C890" s="34"/>
    </row>
    <row r="891" spans="3:3">
      <c r="C891" s="34"/>
    </row>
    <row r="892" spans="3:3">
      <c r="C892" s="34"/>
    </row>
    <row r="893" spans="3:3">
      <c r="C893" s="34"/>
    </row>
    <row r="894" spans="3:3">
      <c r="C894" s="34"/>
    </row>
    <row r="895" spans="3:3">
      <c r="C895" s="34"/>
    </row>
    <row r="896" spans="3:3">
      <c r="C896" s="34"/>
    </row>
    <row r="897" spans="3:3">
      <c r="C897" s="34"/>
    </row>
    <row r="898" spans="3:3">
      <c r="C898" s="34"/>
    </row>
    <row r="899" spans="3:3">
      <c r="C899" s="34"/>
    </row>
    <row r="900" spans="3:3">
      <c r="C900" s="34"/>
    </row>
    <row r="901" spans="3:3">
      <c r="C901" s="34"/>
    </row>
    <row r="902" spans="3:3">
      <c r="C902" s="34"/>
    </row>
    <row r="903" spans="3:3">
      <c r="C903" s="34"/>
    </row>
    <row r="904" spans="3:3">
      <c r="C904" s="34"/>
    </row>
    <row r="905" spans="3:3">
      <c r="C905" s="34"/>
    </row>
    <row r="906" spans="3:3">
      <c r="C906" s="34"/>
    </row>
    <row r="907" spans="3:3">
      <c r="C907" s="34"/>
    </row>
    <row r="908" spans="3:3">
      <c r="C908" s="34"/>
    </row>
    <row r="909" spans="3:3">
      <c r="C909" s="34"/>
    </row>
    <row r="910" spans="3:3">
      <c r="C910" s="34"/>
    </row>
    <row r="911" spans="3:3">
      <c r="C911" s="34"/>
    </row>
    <row r="912" spans="3:3">
      <c r="C912" s="34"/>
    </row>
    <row r="913" spans="3:3">
      <c r="C913" s="34"/>
    </row>
    <row r="914" spans="3:3">
      <c r="C914" s="34"/>
    </row>
    <row r="915" spans="3:3">
      <c r="C915" s="34"/>
    </row>
    <row r="916" spans="3:3">
      <c r="C916" s="34"/>
    </row>
    <row r="917" spans="3:3">
      <c r="C917" s="34"/>
    </row>
    <row r="918" spans="3:3">
      <c r="C918" s="34"/>
    </row>
    <row r="919" spans="3:3">
      <c r="C919" s="34"/>
    </row>
    <row r="920" spans="3:3">
      <c r="C920" s="34"/>
    </row>
    <row r="921" spans="3:3">
      <c r="C921" s="34"/>
    </row>
    <row r="922" spans="3:3">
      <c r="C922" s="34"/>
    </row>
    <row r="923" spans="3:3">
      <c r="C923" s="34"/>
    </row>
    <row r="924" spans="3:3">
      <c r="C924" s="34"/>
    </row>
    <row r="925" spans="3:3">
      <c r="C925" s="34"/>
    </row>
    <row r="926" spans="3:3">
      <c r="C926" s="34"/>
    </row>
    <row r="927" spans="3:3">
      <c r="C927" s="34"/>
    </row>
    <row r="928" spans="3:3">
      <c r="C928" s="34"/>
    </row>
    <row r="929" spans="3:3">
      <c r="C929" s="34"/>
    </row>
    <row r="930" spans="3:3">
      <c r="C930" s="34"/>
    </row>
    <row r="931" spans="3:3">
      <c r="C931" s="34"/>
    </row>
    <row r="932" spans="3:3">
      <c r="C932" s="34"/>
    </row>
    <row r="933" spans="3:3">
      <c r="C933" s="34"/>
    </row>
    <row r="934" spans="3:3">
      <c r="C934" s="34"/>
    </row>
    <row r="935" spans="3:3">
      <c r="C935" s="34"/>
    </row>
    <row r="936" spans="3:3">
      <c r="C936" s="34"/>
    </row>
    <row r="937" spans="3:3">
      <c r="C937" s="34"/>
    </row>
    <row r="938" spans="3:3">
      <c r="C938" s="34"/>
    </row>
    <row r="939" spans="3:3">
      <c r="C939" s="34"/>
    </row>
    <row r="940" spans="3:3">
      <c r="C940" s="34"/>
    </row>
    <row r="941" spans="3:3">
      <c r="C941" s="34"/>
    </row>
    <row r="942" spans="3:3">
      <c r="C942" s="34"/>
    </row>
    <row r="943" spans="3:3">
      <c r="C943" s="34"/>
    </row>
    <row r="944" spans="3:3">
      <c r="C944" s="34"/>
    </row>
    <row r="945" spans="3:3">
      <c r="C945" s="34"/>
    </row>
    <row r="946" spans="3:3">
      <c r="C946" s="34"/>
    </row>
    <row r="947" spans="3:3">
      <c r="C947" s="34"/>
    </row>
    <row r="948" spans="3:3">
      <c r="C948" s="34"/>
    </row>
    <row r="949" spans="3:3">
      <c r="C949" s="34"/>
    </row>
    <row r="950" spans="3:3">
      <c r="C950" s="34"/>
    </row>
    <row r="951" spans="3:3">
      <c r="C951" s="34"/>
    </row>
    <row r="952" spans="3:3">
      <c r="C952" s="34"/>
    </row>
    <row r="953" spans="3:3">
      <c r="C953" s="34"/>
    </row>
    <row r="954" spans="3:3">
      <c r="C954" s="34"/>
    </row>
    <row r="955" spans="3:3">
      <c r="C955" s="34"/>
    </row>
    <row r="956" spans="3:3">
      <c r="C956" s="34"/>
    </row>
    <row r="957" spans="3:3">
      <c r="C957" s="34"/>
    </row>
    <row r="958" spans="3:3">
      <c r="C958" s="34"/>
    </row>
    <row r="959" spans="3:3">
      <c r="C959" s="34"/>
    </row>
    <row r="960" spans="3:3">
      <c r="C960" s="34"/>
    </row>
    <row r="961" spans="3:3">
      <c r="C961" s="34"/>
    </row>
    <row r="962" spans="3:3">
      <c r="C962" s="34"/>
    </row>
    <row r="963" spans="3:3">
      <c r="C963" s="34"/>
    </row>
    <row r="964" spans="3:3">
      <c r="C964" s="34"/>
    </row>
    <row r="965" spans="3:3">
      <c r="C965" s="34"/>
    </row>
    <row r="966" spans="3:3">
      <c r="C966" s="34"/>
    </row>
    <row r="967" spans="3:3">
      <c r="C967" s="34"/>
    </row>
    <row r="968" spans="3:3">
      <c r="C968" s="34"/>
    </row>
    <row r="969" spans="3:3">
      <c r="C969" s="34"/>
    </row>
    <row r="970" spans="3:3">
      <c r="C970" s="34"/>
    </row>
    <row r="971" spans="3:3">
      <c r="C971" s="34"/>
    </row>
    <row r="972" spans="3:3">
      <c r="C972" s="34"/>
    </row>
    <row r="973" spans="3:3">
      <c r="C973" s="34"/>
    </row>
    <row r="974" spans="3:3">
      <c r="C974" s="34"/>
    </row>
    <row r="975" spans="3:3">
      <c r="C975" s="34"/>
    </row>
    <row r="976" spans="3:3">
      <c r="C976" s="34"/>
    </row>
    <row r="977" spans="3:3">
      <c r="C977" s="34"/>
    </row>
    <row r="978" spans="3:3">
      <c r="C978" s="34"/>
    </row>
    <row r="979" spans="3:3">
      <c r="C979" s="34"/>
    </row>
    <row r="980" spans="3:3">
      <c r="C980" s="34"/>
    </row>
    <row r="981" spans="3:3">
      <c r="C981" s="34"/>
    </row>
    <row r="982" spans="3:3">
      <c r="C982" s="34"/>
    </row>
    <row r="983" spans="3:3">
      <c r="C983" s="34"/>
    </row>
    <row r="984" spans="3:3">
      <c r="C984" s="34"/>
    </row>
    <row r="985" spans="3:3">
      <c r="C985" s="34"/>
    </row>
    <row r="986" spans="3:3">
      <c r="C986" s="34"/>
    </row>
    <row r="987" spans="3:3">
      <c r="C987" s="34"/>
    </row>
    <row r="988" spans="3:3">
      <c r="C988" s="34"/>
    </row>
    <row r="989" spans="3:3">
      <c r="C989" s="34"/>
    </row>
    <row r="990" spans="3:3">
      <c r="C990" s="34"/>
    </row>
    <row r="991" spans="3:3">
      <c r="C991" s="34"/>
    </row>
    <row r="992" spans="3:3">
      <c r="C992" s="34"/>
    </row>
    <row r="993" spans="3:3">
      <c r="C993" s="34"/>
    </row>
    <row r="994" spans="3:3">
      <c r="C994" s="34"/>
    </row>
    <row r="995" spans="3:3">
      <c r="C995" s="34"/>
    </row>
    <row r="996" spans="3:3">
      <c r="C996" s="34"/>
    </row>
    <row r="997" spans="3:3">
      <c r="C997" s="34"/>
    </row>
    <row r="998" spans="3:3">
      <c r="C998" s="34"/>
    </row>
    <row r="999" spans="3:3">
      <c r="C999" s="34"/>
    </row>
    <row r="1000" spans="3:3">
      <c r="C1000" s="34"/>
    </row>
  </sheetData>
  <dataValidations count="5">
    <dataValidation type="list" allowBlank="1" showErrorMessage="1" sqref="E2" xr:uid="{00000000-0002-0000-0400-000000000000}">
      <formula1>"Bounceback,Defect,None"</formula1>
    </dataValidation>
    <dataValidation type="list" allowBlank="1" showErrorMessage="1" sqref="I2:I13" xr:uid="{00000000-0002-0000-0400-000002000000}">
      <formula1>"Open,Inprogress,Closed"</formula1>
    </dataValidation>
    <dataValidation type="list" allowBlank="1" showErrorMessage="1" sqref="H2:H13" xr:uid="{00000000-0002-0000-0400-000003000000}">
      <formula1>"Internal,External"</formula1>
    </dataValidation>
    <dataValidation type="list" allowBlank="1" showErrorMessage="1" sqref="G2:G13" xr:uid="{00000000-0002-0000-0400-000004000000}">
      <formula1>"Minor,Significant,Major"</formula1>
    </dataValidation>
    <dataValidation type="list" allowBlank="1" showErrorMessage="1" sqref="E3:E13" xr:uid="{00000000-0002-0000-0400-000005000000}">
      <formula1>"Bounceback,Defect,None,Regression"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Details!$A$2:$A$10</xm:f>
          </x14:formula1>
          <xm:sqref>J2:J13</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N965"/>
  <sheetViews>
    <sheetView showGridLines="0" workbookViewId="0">
      <pane xSplit="5" ySplit="2" topLeftCell="F3" activePane="bottomRight" state="frozen"/>
      <selection pane="bottomRight" activeCell="F3" sqref="F3"/>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2.42578125" customWidth="1"/>
    <col min="5"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1" spans="1:40">
      <c r="A1" s="7"/>
      <c r="B1" s="7"/>
      <c r="C1" s="7"/>
      <c r="D1" s="7"/>
      <c r="E1" s="7"/>
      <c r="F1" s="7"/>
      <c r="G1" s="7"/>
      <c r="H1" s="7"/>
      <c r="I1" s="7"/>
      <c r="J1" s="7"/>
      <c r="K1" s="7"/>
      <c r="L1" s="7"/>
      <c r="M1" s="7"/>
      <c r="N1" s="7"/>
      <c r="O1" s="7"/>
      <c r="P1" s="7"/>
      <c r="Q1" s="7"/>
      <c r="R1" s="7"/>
      <c r="S1" s="7"/>
      <c r="T1" s="7"/>
      <c r="U1" s="7"/>
      <c r="V1" s="7"/>
      <c r="W1" s="7"/>
      <c r="X1" s="8"/>
      <c r="Y1" s="26"/>
      <c r="Z1" s="26"/>
      <c r="AA1" s="26"/>
      <c r="AB1" s="26"/>
      <c r="AC1" s="26"/>
      <c r="AD1" s="26"/>
      <c r="AE1" s="26"/>
      <c r="AF1" s="26"/>
      <c r="AG1" s="26"/>
      <c r="AH1" s="26"/>
      <c r="AI1" s="26"/>
      <c r="AJ1" s="26"/>
      <c r="AK1" s="26"/>
      <c r="AL1" s="26"/>
      <c r="AM1" s="26"/>
      <c r="AN1" s="26"/>
    </row>
    <row r="2" spans="1:40">
      <c r="A2" s="7" t="s">
        <v>243</v>
      </c>
      <c r="B2" s="7" t="s">
        <v>244</v>
      </c>
      <c r="C2" s="7" t="s">
        <v>245</v>
      </c>
      <c r="D2" s="7" t="s">
        <v>246</v>
      </c>
      <c r="E2" s="7" t="s">
        <v>247</v>
      </c>
      <c r="F2" s="7" t="s">
        <v>966</v>
      </c>
      <c r="G2" s="7" t="s">
        <v>967</v>
      </c>
      <c r="H2" s="7" t="s">
        <v>254</v>
      </c>
      <c r="I2" s="7" t="s">
        <v>255</v>
      </c>
      <c r="J2" s="7" t="s">
        <v>256</v>
      </c>
      <c r="K2" s="7" t="s">
        <v>257</v>
      </c>
      <c r="L2" s="7" t="s">
        <v>258</v>
      </c>
      <c r="M2" s="7" t="s">
        <v>259</v>
      </c>
      <c r="N2" s="7" t="s">
        <v>260</v>
      </c>
      <c r="O2" s="7" t="s">
        <v>261</v>
      </c>
      <c r="P2" s="7" t="s">
        <v>262</v>
      </c>
      <c r="Q2" s="7" t="s">
        <v>263</v>
      </c>
      <c r="R2" s="7" t="s">
        <v>264</v>
      </c>
      <c r="S2" s="7" t="s">
        <v>265</v>
      </c>
      <c r="T2" s="7" t="s">
        <v>263</v>
      </c>
      <c r="U2" s="7" t="s">
        <v>267</v>
      </c>
      <c r="V2" s="7" t="s">
        <v>268</v>
      </c>
      <c r="W2" s="7" t="s">
        <v>248</v>
      </c>
      <c r="X2" s="8" t="s">
        <v>269</v>
      </c>
      <c r="Y2" s="26"/>
      <c r="Z2" s="26"/>
      <c r="AA2" s="26"/>
      <c r="AB2" s="26"/>
      <c r="AC2" s="26"/>
      <c r="AD2" s="26"/>
      <c r="AE2" s="26"/>
      <c r="AF2" s="26"/>
      <c r="AG2" s="26"/>
      <c r="AH2" s="26"/>
      <c r="AI2" s="26"/>
      <c r="AJ2" s="26"/>
      <c r="AK2" s="26"/>
      <c r="AL2" s="26"/>
      <c r="AM2" s="26"/>
      <c r="AN2" s="26"/>
    </row>
    <row r="3" spans="1:40">
      <c r="A3" s="9">
        <v>1</v>
      </c>
      <c r="B3" s="10" t="s">
        <v>23</v>
      </c>
      <c r="C3" s="10" t="s">
        <v>1462</v>
      </c>
      <c r="D3" s="10">
        <v>43309</v>
      </c>
      <c r="E3" s="11" t="s">
        <v>1463</v>
      </c>
      <c r="F3" s="10">
        <v>5</v>
      </c>
      <c r="G3" s="10">
        <v>5</v>
      </c>
      <c r="H3" s="12" t="s">
        <v>448</v>
      </c>
      <c r="I3" s="12" t="s">
        <v>448</v>
      </c>
      <c r="J3" s="12"/>
      <c r="K3" s="10"/>
      <c r="L3" s="12"/>
      <c r="M3" s="10"/>
      <c r="N3" s="10"/>
      <c r="O3" s="10"/>
      <c r="P3" s="10"/>
      <c r="Q3" s="15"/>
      <c r="R3" s="15"/>
      <c r="S3" s="15"/>
      <c r="T3" s="15"/>
      <c r="U3" s="15"/>
      <c r="V3" s="15"/>
      <c r="W3" s="12" t="s">
        <v>780</v>
      </c>
      <c r="X3" s="15" t="s">
        <v>1464</v>
      </c>
      <c r="Y3" s="15"/>
      <c r="Z3" s="15"/>
      <c r="AA3" s="15"/>
      <c r="AB3" s="15"/>
      <c r="AC3" s="15"/>
      <c r="AD3" s="15"/>
      <c r="AE3" s="15"/>
      <c r="AF3" s="15"/>
      <c r="AG3" s="15"/>
      <c r="AH3" s="15"/>
      <c r="AI3" s="15"/>
      <c r="AJ3" s="15"/>
      <c r="AK3" s="15"/>
      <c r="AL3" s="15"/>
      <c r="AM3" s="15"/>
      <c r="AN3" s="15"/>
    </row>
    <row r="4" spans="1:40">
      <c r="A4" s="9">
        <v>2</v>
      </c>
      <c r="B4" s="10" t="s">
        <v>23</v>
      </c>
      <c r="C4" s="10" t="s">
        <v>1462</v>
      </c>
      <c r="D4" s="10">
        <v>43310</v>
      </c>
      <c r="E4" s="11" t="s">
        <v>1465</v>
      </c>
      <c r="F4" s="10">
        <v>5</v>
      </c>
      <c r="G4" s="10">
        <v>5</v>
      </c>
      <c r="H4" s="12" t="s">
        <v>448</v>
      </c>
      <c r="I4" s="12" t="s">
        <v>448</v>
      </c>
      <c r="J4" s="12"/>
      <c r="K4" s="10"/>
      <c r="L4" s="12"/>
      <c r="M4" s="10"/>
      <c r="N4" s="10"/>
      <c r="O4" s="10"/>
      <c r="P4" s="10"/>
      <c r="Q4" s="15"/>
      <c r="R4" s="15"/>
      <c r="S4" s="15"/>
      <c r="T4" s="15"/>
      <c r="U4" s="15"/>
      <c r="V4" s="15"/>
      <c r="W4" s="12" t="s">
        <v>780</v>
      </c>
      <c r="X4" s="15" t="s">
        <v>1464</v>
      </c>
      <c r="Y4" s="15"/>
      <c r="Z4" s="15"/>
      <c r="AA4" s="15"/>
      <c r="AB4" s="15"/>
      <c r="AC4" s="15"/>
      <c r="AD4" s="15"/>
      <c r="AE4" s="15"/>
      <c r="AF4" s="15"/>
      <c r="AG4" s="15"/>
      <c r="AH4" s="15"/>
      <c r="AI4" s="15"/>
      <c r="AJ4" s="15"/>
      <c r="AK4" s="15"/>
      <c r="AL4" s="15"/>
      <c r="AM4" s="15"/>
      <c r="AN4" s="15"/>
    </row>
    <row r="5" spans="1:40">
      <c r="A5" s="9">
        <v>3</v>
      </c>
      <c r="B5" s="10" t="s">
        <v>23</v>
      </c>
      <c r="C5" s="10" t="s">
        <v>1462</v>
      </c>
      <c r="D5" s="10">
        <v>43311</v>
      </c>
      <c r="E5" s="11" t="s">
        <v>1466</v>
      </c>
      <c r="F5" s="10">
        <v>8</v>
      </c>
      <c r="G5" s="10">
        <v>8</v>
      </c>
      <c r="H5" s="12" t="s">
        <v>448</v>
      </c>
      <c r="I5" s="12" t="s">
        <v>448</v>
      </c>
      <c r="J5" s="12"/>
      <c r="K5" s="10"/>
      <c r="L5" s="12"/>
      <c r="M5" s="10"/>
      <c r="N5" s="10"/>
      <c r="O5" s="10"/>
      <c r="P5" s="10"/>
      <c r="Q5" s="15"/>
      <c r="R5" s="15"/>
      <c r="S5" s="15"/>
      <c r="T5" s="15"/>
      <c r="U5" s="15"/>
      <c r="V5" s="15"/>
      <c r="W5" s="12" t="s">
        <v>780</v>
      </c>
      <c r="X5" s="15" t="s">
        <v>1464</v>
      </c>
      <c r="Y5" s="15"/>
      <c r="Z5" s="15"/>
      <c r="AA5" s="15"/>
      <c r="AB5" s="15"/>
      <c r="AC5" s="15"/>
      <c r="AD5" s="15"/>
      <c r="AE5" s="15"/>
      <c r="AF5" s="15"/>
      <c r="AG5" s="15"/>
      <c r="AH5" s="15"/>
      <c r="AI5" s="15"/>
      <c r="AJ5" s="15"/>
      <c r="AK5" s="15"/>
      <c r="AL5" s="15"/>
      <c r="AM5" s="15"/>
      <c r="AN5" s="15"/>
    </row>
    <row r="6" spans="1:40">
      <c r="A6" s="9">
        <v>4</v>
      </c>
      <c r="B6" s="10" t="s">
        <v>23</v>
      </c>
      <c r="C6" s="10" t="s">
        <v>1462</v>
      </c>
      <c r="D6" s="10">
        <v>43312</v>
      </c>
      <c r="E6" s="11" t="s">
        <v>1467</v>
      </c>
      <c r="F6" s="10">
        <v>8</v>
      </c>
      <c r="G6" s="10">
        <v>8</v>
      </c>
      <c r="H6" s="12" t="s">
        <v>448</v>
      </c>
      <c r="I6" s="12" t="s">
        <v>448</v>
      </c>
      <c r="J6" s="12"/>
      <c r="K6" s="10"/>
      <c r="L6" s="12"/>
      <c r="M6" s="10"/>
      <c r="N6" s="10"/>
      <c r="O6" s="10"/>
      <c r="P6" s="10"/>
      <c r="Q6" s="15"/>
      <c r="R6" s="15"/>
      <c r="S6" s="15"/>
      <c r="T6" s="15"/>
      <c r="U6" s="15"/>
      <c r="V6" s="15"/>
      <c r="W6" s="12" t="s">
        <v>780</v>
      </c>
      <c r="X6" s="15" t="s">
        <v>1464</v>
      </c>
      <c r="Y6" s="15"/>
      <c r="Z6" s="15"/>
      <c r="AA6" s="15"/>
      <c r="AB6" s="15"/>
      <c r="AC6" s="15"/>
      <c r="AD6" s="15"/>
      <c r="AE6" s="15"/>
      <c r="AF6" s="15"/>
      <c r="AG6" s="15"/>
      <c r="AH6" s="15"/>
      <c r="AI6" s="15"/>
      <c r="AJ6" s="15"/>
      <c r="AK6" s="15"/>
      <c r="AL6" s="15"/>
      <c r="AM6" s="15"/>
      <c r="AN6" s="15"/>
    </row>
    <row r="7" spans="1:40">
      <c r="A7" s="9">
        <v>5</v>
      </c>
      <c r="B7" s="10" t="s">
        <v>1468</v>
      </c>
      <c r="C7" s="10" t="s">
        <v>275</v>
      </c>
      <c r="D7" s="10">
        <v>43013</v>
      </c>
      <c r="E7" s="11" t="s">
        <v>1449</v>
      </c>
      <c r="F7" s="10">
        <v>8</v>
      </c>
      <c r="G7" s="10">
        <v>3</v>
      </c>
      <c r="H7" s="12" t="s">
        <v>448</v>
      </c>
      <c r="I7" s="12" t="s">
        <v>448</v>
      </c>
      <c r="J7" s="12"/>
      <c r="K7" s="10"/>
      <c r="L7" s="12"/>
      <c r="M7" s="10"/>
      <c r="N7" s="10"/>
      <c r="O7" s="10"/>
      <c r="P7" s="10"/>
      <c r="Q7" s="15"/>
      <c r="R7" s="15"/>
      <c r="S7" s="15"/>
      <c r="T7" s="15"/>
      <c r="U7" s="15"/>
      <c r="V7" s="15"/>
      <c r="W7" s="12" t="s">
        <v>952</v>
      </c>
      <c r="X7" s="15" t="s">
        <v>1469</v>
      </c>
      <c r="Y7" s="15"/>
      <c r="Z7" s="15"/>
      <c r="AA7" s="15"/>
      <c r="AB7" s="15"/>
      <c r="AC7" s="15"/>
      <c r="AD7" s="15"/>
      <c r="AE7" s="15"/>
      <c r="AF7" s="15"/>
      <c r="AG7" s="15"/>
      <c r="AH7" s="15"/>
      <c r="AI7" s="15"/>
      <c r="AJ7" s="15"/>
      <c r="AK7" s="15"/>
      <c r="AL7" s="15"/>
      <c r="AM7" s="15"/>
      <c r="AN7" s="15"/>
    </row>
    <row r="8" spans="1:40">
      <c r="A8" s="9"/>
      <c r="B8" s="10"/>
      <c r="C8" s="10"/>
      <c r="D8" s="35"/>
      <c r="E8" s="11"/>
      <c r="F8" s="11"/>
      <c r="G8" s="11"/>
      <c r="H8" s="12"/>
      <c r="I8" s="10"/>
      <c r="J8" s="12"/>
      <c r="K8" s="10"/>
      <c r="L8" s="12"/>
      <c r="M8" s="10"/>
      <c r="N8" s="10"/>
      <c r="O8" s="10"/>
      <c r="P8" s="10"/>
      <c r="Q8" s="15"/>
      <c r="R8" s="15"/>
      <c r="S8" s="15"/>
      <c r="T8" s="15"/>
      <c r="U8" s="15"/>
      <c r="V8" s="15"/>
      <c r="W8" s="12"/>
      <c r="X8" s="15"/>
      <c r="Y8" s="15"/>
      <c r="Z8" s="15"/>
      <c r="AA8" s="15"/>
      <c r="AB8" s="15"/>
      <c r="AC8" s="15"/>
      <c r="AD8" s="15"/>
      <c r="AE8" s="15"/>
      <c r="AF8" s="15"/>
      <c r="AG8" s="15"/>
      <c r="AH8" s="15"/>
      <c r="AI8" s="15"/>
      <c r="AJ8" s="15"/>
      <c r="AK8" s="15"/>
      <c r="AL8" s="15"/>
      <c r="AM8" s="15"/>
      <c r="AN8" s="15"/>
    </row>
    <row r="9" spans="1:40">
      <c r="A9" s="9"/>
      <c r="B9" s="10"/>
      <c r="C9" s="10"/>
      <c r="D9" s="26"/>
      <c r="E9" s="11"/>
      <c r="F9" s="11"/>
      <c r="G9" s="11"/>
      <c r="H9" s="12"/>
      <c r="I9" s="10"/>
      <c r="J9" s="12"/>
      <c r="K9" s="10"/>
      <c r="L9" s="12"/>
      <c r="M9" s="10"/>
      <c r="N9" s="10"/>
      <c r="O9" s="10"/>
      <c r="P9" s="10"/>
      <c r="Q9" s="15"/>
      <c r="R9" s="15"/>
      <c r="S9" s="15"/>
      <c r="T9" s="15"/>
      <c r="U9" s="15"/>
      <c r="V9" s="15"/>
      <c r="W9" s="12"/>
      <c r="X9" s="15"/>
      <c r="Y9" s="15"/>
      <c r="Z9" s="15"/>
      <c r="AA9" s="15"/>
      <c r="AB9" s="15"/>
      <c r="AC9" s="15"/>
      <c r="AD9" s="15"/>
      <c r="AE9" s="15"/>
      <c r="AF9" s="15"/>
      <c r="AG9" s="15"/>
      <c r="AH9" s="15"/>
      <c r="AI9" s="15"/>
      <c r="AJ9" s="15"/>
      <c r="AK9" s="15"/>
      <c r="AL9" s="15"/>
      <c r="AM9" s="15"/>
      <c r="AN9" s="15"/>
    </row>
    <row r="10" spans="1:40">
      <c r="A10" s="9"/>
      <c r="B10" s="10"/>
      <c r="C10" s="10"/>
      <c r="D10" s="26"/>
      <c r="E10" s="11"/>
      <c r="F10" s="11"/>
      <c r="G10" s="11"/>
      <c r="H10" s="12"/>
      <c r="I10" s="10"/>
      <c r="J10" s="12"/>
      <c r="K10" s="10"/>
      <c r="L10" s="12"/>
      <c r="M10" s="10"/>
      <c r="N10" s="10"/>
      <c r="O10" s="10"/>
      <c r="P10" s="10"/>
      <c r="Q10" s="15"/>
      <c r="R10" s="15"/>
      <c r="S10" s="15"/>
      <c r="T10" s="15"/>
      <c r="U10" s="15"/>
      <c r="V10" s="15"/>
      <c r="W10" s="12"/>
      <c r="X10" s="15"/>
      <c r="Y10" s="15"/>
      <c r="Z10" s="15"/>
      <c r="AA10" s="15"/>
      <c r="AB10" s="15"/>
      <c r="AC10" s="15"/>
      <c r="AD10" s="15"/>
      <c r="AE10" s="15"/>
      <c r="AF10" s="15"/>
      <c r="AG10" s="15"/>
      <c r="AH10" s="15"/>
      <c r="AI10" s="15"/>
      <c r="AJ10" s="15"/>
      <c r="AK10" s="15"/>
      <c r="AL10" s="15"/>
      <c r="AM10" s="15"/>
      <c r="AN10" s="15"/>
    </row>
    <row r="11" spans="1:40">
      <c r="A11" s="9"/>
      <c r="B11" s="10"/>
      <c r="C11" s="10"/>
      <c r="D11" s="26"/>
      <c r="E11" s="11"/>
      <c r="F11" s="11"/>
      <c r="G11" s="11"/>
      <c r="H11" s="12"/>
      <c r="I11" s="10"/>
      <c r="J11" s="12"/>
      <c r="K11" s="10"/>
      <c r="L11" s="12"/>
      <c r="M11" s="10"/>
      <c r="N11" s="10"/>
      <c r="O11" s="10"/>
      <c r="P11" s="10"/>
      <c r="Q11" s="15"/>
      <c r="R11" s="15"/>
      <c r="S11" s="15"/>
      <c r="T11" s="15"/>
      <c r="U11" s="15"/>
      <c r="V11" s="15"/>
      <c r="W11" s="12"/>
      <c r="X11" s="15"/>
      <c r="Y11" s="15"/>
      <c r="Z11" s="15"/>
      <c r="AA11" s="15"/>
      <c r="AB11" s="15"/>
      <c r="AC11" s="15"/>
      <c r="AD11" s="15"/>
      <c r="AE11" s="15"/>
      <c r="AF11" s="15"/>
      <c r="AG11" s="15"/>
      <c r="AH11" s="15"/>
      <c r="AI11" s="15"/>
      <c r="AJ11" s="15"/>
      <c r="AK11" s="15"/>
      <c r="AL11" s="15"/>
      <c r="AM11" s="15"/>
      <c r="AN11" s="15"/>
    </row>
    <row r="12" spans="1:40" ht="24.75" customHeight="1">
      <c r="A12" s="9"/>
      <c r="B12" s="10"/>
      <c r="C12" s="10"/>
      <c r="D12" s="26"/>
      <c r="E12" s="11"/>
      <c r="F12" s="11"/>
      <c r="G12" s="11"/>
      <c r="H12" s="12"/>
      <c r="I12" s="10"/>
      <c r="J12" s="12"/>
      <c r="K12" s="10"/>
      <c r="L12" s="12"/>
      <c r="M12" s="10"/>
      <c r="N12" s="10"/>
      <c r="O12" s="10"/>
      <c r="P12" s="10"/>
      <c r="Q12" s="15"/>
      <c r="R12" s="15"/>
      <c r="S12" s="15"/>
      <c r="T12" s="15"/>
      <c r="U12" s="26"/>
      <c r="V12" s="26"/>
      <c r="W12" s="12"/>
      <c r="X12" s="15"/>
      <c r="Y12" s="15"/>
      <c r="Z12" s="15"/>
      <c r="AA12" s="15"/>
      <c r="AB12" s="15"/>
      <c r="AC12" s="15"/>
      <c r="AD12" s="15"/>
      <c r="AE12" s="15"/>
      <c r="AF12" s="15"/>
      <c r="AG12" s="15"/>
      <c r="AH12" s="15"/>
      <c r="AI12" s="15"/>
      <c r="AJ12" s="15"/>
      <c r="AK12" s="15"/>
      <c r="AL12" s="15"/>
      <c r="AM12" s="15"/>
      <c r="AN12" s="15"/>
    </row>
    <row r="13" spans="1:40" ht="24.75" customHeight="1">
      <c r="A13" s="9"/>
      <c r="B13" s="10"/>
      <c r="C13" s="10"/>
      <c r="D13" s="26"/>
      <c r="E13" s="11"/>
      <c r="F13" s="11"/>
      <c r="G13" s="11"/>
      <c r="H13" s="12"/>
      <c r="I13" s="10"/>
      <c r="J13" s="12"/>
      <c r="K13" s="10"/>
      <c r="L13" s="12"/>
      <c r="M13" s="10"/>
      <c r="N13" s="10"/>
      <c r="O13" s="10"/>
      <c r="P13" s="10"/>
      <c r="Q13" s="15"/>
      <c r="R13" s="15"/>
      <c r="S13" s="15"/>
      <c r="T13" s="15"/>
      <c r="U13" s="26"/>
      <c r="V13" s="26"/>
      <c r="W13" s="12"/>
      <c r="X13" s="15"/>
      <c r="Y13" s="15"/>
      <c r="Z13" s="15"/>
      <c r="AA13" s="15"/>
      <c r="AB13" s="15"/>
      <c r="AC13" s="15"/>
      <c r="AD13" s="15"/>
      <c r="AE13" s="15"/>
      <c r="AF13" s="15"/>
      <c r="AG13" s="15"/>
      <c r="AH13" s="15"/>
      <c r="AI13" s="15"/>
      <c r="AJ13" s="15"/>
      <c r="AK13" s="15"/>
      <c r="AL13" s="15"/>
      <c r="AM13" s="15"/>
      <c r="AN13" s="15"/>
    </row>
    <row r="14" spans="1:40">
      <c r="A14" s="9"/>
      <c r="B14" s="10"/>
      <c r="C14" s="10"/>
      <c r="D14" s="26"/>
      <c r="E14" s="15"/>
      <c r="F14" s="15"/>
      <c r="G14" s="15"/>
      <c r="H14" s="12"/>
      <c r="I14" s="26"/>
      <c r="J14" s="12"/>
      <c r="K14" s="26"/>
      <c r="L14" s="12"/>
      <c r="M14" s="10"/>
      <c r="N14" s="10"/>
      <c r="O14" s="10"/>
      <c r="P14" s="10"/>
      <c r="Q14" s="15"/>
      <c r="R14" s="15"/>
      <c r="S14" s="15"/>
      <c r="T14" s="15"/>
      <c r="U14" s="15"/>
      <c r="V14" s="15"/>
      <c r="W14" s="12"/>
      <c r="X14" s="15"/>
      <c r="Y14" s="15"/>
      <c r="Z14" s="15"/>
      <c r="AA14" s="15"/>
      <c r="AB14" s="15"/>
      <c r="AC14" s="15"/>
      <c r="AD14" s="15"/>
      <c r="AE14" s="15"/>
      <c r="AF14" s="15"/>
      <c r="AG14" s="15"/>
      <c r="AH14" s="15"/>
      <c r="AI14" s="15"/>
      <c r="AJ14" s="15"/>
      <c r="AK14" s="15"/>
      <c r="AL14" s="15"/>
      <c r="AM14" s="15"/>
      <c r="AN14" s="15"/>
    </row>
    <row r="15" spans="1:40">
      <c r="A15" s="9"/>
      <c r="B15" s="10"/>
      <c r="C15" s="10"/>
      <c r="D15" s="26"/>
      <c r="E15" s="27"/>
      <c r="F15" s="27"/>
      <c r="G15" s="27"/>
      <c r="H15" s="12"/>
      <c r="I15" s="26"/>
      <c r="J15" s="12"/>
      <c r="K15" s="26"/>
      <c r="L15" s="12"/>
      <c r="M15" s="10"/>
      <c r="N15" s="10"/>
      <c r="O15" s="10"/>
      <c r="P15" s="10"/>
      <c r="Q15" s="15"/>
      <c r="R15" s="15"/>
      <c r="S15" s="15"/>
      <c r="T15" s="15"/>
      <c r="U15" s="15"/>
      <c r="V15" s="15"/>
      <c r="W15" s="12"/>
      <c r="X15" s="15"/>
      <c r="Y15" s="15"/>
      <c r="Z15" s="15"/>
      <c r="AA15" s="15"/>
      <c r="AB15" s="15"/>
      <c r="AC15" s="15"/>
      <c r="AD15" s="15"/>
      <c r="AE15" s="15"/>
      <c r="AF15" s="15"/>
      <c r="AG15" s="15"/>
      <c r="AH15" s="15"/>
      <c r="AI15" s="15"/>
      <c r="AJ15" s="15"/>
      <c r="AK15" s="15"/>
      <c r="AL15" s="15"/>
      <c r="AM15" s="15"/>
      <c r="AN15" s="15"/>
    </row>
    <row r="16" spans="1:40">
      <c r="A16" s="9"/>
      <c r="B16" s="10"/>
      <c r="C16" s="10"/>
      <c r="D16" s="26"/>
      <c r="E16" s="15"/>
      <c r="F16" s="15"/>
      <c r="G16" s="15"/>
      <c r="H16" s="12"/>
      <c r="I16" s="10"/>
      <c r="J16" s="12"/>
      <c r="K16" s="10"/>
      <c r="L16" s="12"/>
      <c r="M16" s="10"/>
      <c r="N16" s="10"/>
      <c r="O16" s="10"/>
      <c r="P16" s="10"/>
      <c r="Q16" s="15"/>
      <c r="R16" s="15"/>
      <c r="S16" s="15"/>
      <c r="T16" s="15"/>
      <c r="U16" s="15"/>
      <c r="V16" s="28"/>
      <c r="W16" s="12"/>
      <c r="X16" s="15"/>
      <c r="Y16" s="15"/>
      <c r="Z16" s="15"/>
      <c r="AA16" s="15"/>
      <c r="AB16" s="15"/>
      <c r="AC16" s="15"/>
      <c r="AD16" s="15"/>
      <c r="AE16" s="15"/>
      <c r="AF16" s="15"/>
      <c r="AG16" s="15"/>
      <c r="AH16" s="15"/>
      <c r="AI16" s="15"/>
      <c r="AJ16" s="15"/>
      <c r="AK16" s="15"/>
      <c r="AL16" s="15"/>
      <c r="AM16" s="15"/>
      <c r="AN16" s="15"/>
    </row>
    <row r="17" spans="1:40">
      <c r="A17" s="9"/>
      <c r="B17" s="10"/>
      <c r="C17" s="10"/>
      <c r="D17" s="26"/>
      <c r="E17" s="15"/>
      <c r="F17" s="15"/>
      <c r="G17" s="15"/>
      <c r="H17" s="12"/>
      <c r="I17" s="10"/>
      <c r="J17" s="12"/>
      <c r="K17" s="10"/>
      <c r="L17" s="12"/>
      <c r="M17" s="10"/>
      <c r="N17" s="10"/>
      <c r="O17" s="10"/>
      <c r="P17" s="10"/>
      <c r="Q17" s="15"/>
      <c r="R17" s="15"/>
      <c r="S17" s="15"/>
      <c r="T17" s="15"/>
      <c r="U17" s="15"/>
      <c r="V17" s="15"/>
      <c r="W17" s="12"/>
      <c r="X17" s="15"/>
      <c r="Y17" s="15"/>
      <c r="Z17" s="15"/>
      <c r="AA17" s="15"/>
      <c r="AB17" s="15"/>
      <c r="AC17" s="15"/>
      <c r="AD17" s="15"/>
      <c r="AE17" s="15"/>
      <c r="AF17" s="15"/>
      <c r="AG17" s="15"/>
      <c r="AH17" s="15"/>
      <c r="AI17" s="15"/>
      <c r="AJ17" s="15"/>
      <c r="AK17" s="15"/>
      <c r="AL17" s="15"/>
      <c r="AM17" s="15"/>
      <c r="AN17" s="15"/>
    </row>
    <row r="18" spans="1:40">
      <c r="A18" s="9"/>
      <c r="B18" s="10"/>
      <c r="C18" s="10"/>
      <c r="D18" s="26"/>
      <c r="E18" s="15"/>
      <c r="F18" s="15"/>
      <c r="G18" s="15"/>
      <c r="H18" s="12"/>
      <c r="I18" s="10"/>
      <c r="J18" s="12"/>
      <c r="K18" s="10"/>
      <c r="L18" s="12"/>
      <c r="M18" s="10"/>
      <c r="N18" s="10"/>
      <c r="O18" s="10"/>
      <c r="P18" s="10"/>
      <c r="Q18" s="15"/>
      <c r="R18" s="15"/>
      <c r="S18" s="15"/>
      <c r="T18" s="15"/>
      <c r="U18" s="15"/>
      <c r="V18" s="15"/>
      <c r="W18" s="12"/>
      <c r="X18" s="15"/>
      <c r="Y18" s="15"/>
      <c r="Z18" s="15"/>
      <c r="AA18" s="15"/>
      <c r="AB18" s="15"/>
      <c r="AC18" s="15"/>
      <c r="AD18" s="15"/>
      <c r="AE18" s="15"/>
      <c r="AF18" s="15"/>
      <c r="AG18" s="15"/>
      <c r="AH18" s="15"/>
      <c r="AI18" s="15"/>
      <c r="AJ18" s="15"/>
      <c r="AK18" s="15"/>
      <c r="AL18" s="15"/>
      <c r="AM18" s="15"/>
      <c r="AN18" s="15"/>
    </row>
    <row r="19" spans="1:40">
      <c r="A19" s="9"/>
      <c r="B19" s="10"/>
      <c r="C19" s="10"/>
      <c r="D19" s="26"/>
      <c r="E19" s="15"/>
      <c r="F19" s="15"/>
      <c r="G19" s="15"/>
      <c r="H19" s="12"/>
      <c r="I19" s="10"/>
      <c r="J19" s="12"/>
      <c r="K19" s="10"/>
      <c r="L19" s="12"/>
      <c r="M19" s="10"/>
      <c r="N19" s="10"/>
      <c r="O19" s="10"/>
      <c r="P19" s="10"/>
      <c r="Q19" s="15"/>
      <c r="R19" s="15"/>
      <c r="S19" s="15"/>
      <c r="T19" s="15"/>
      <c r="U19" s="15"/>
      <c r="V19" s="15"/>
      <c r="W19" s="12"/>
      <c r="X19" s="15"/>
      <c r="Y19" s="15"/>
      <c r="Z19" s="15"/>
      <c r="AA19" s="15"/>
      <c r="AB19" s="15"/>
      <c r="AC19" s="15"/>
      <c r="AD19" s="15"/>
      <c r="AE19" s="15"/>
      <c r="AF19" s="15"/>
      <c r="AG19" s="15"/>
      <c r="AH19" s="15"/>
      <c r="AI19" s="15"/>
      <c r="AJ19" s="15"/>
      <c r="AK19" s="15"/>
      <c r="AL19" s="15"/>
      <c r="AM19" s="15"/>
      <c r="AN19" s="15"/>
    </row>
    <row r="20" spans="1:40">
      <c r="A20" s="15"/>
      <c r="B20" s="10"/>
      <c r="C20" s="26"/>
      <c r="D20" s="15"/>
      <c r="E20" s="15"/>
      <c r="F20" s="15"/>
      <c r="G20" s="15"/>
      <c r="H20" s="15"/>
      <c r="I20" s="26"/>
      <c r="J20" s="15"/>
      <c r="K20" s="26"/>
      <c r="L20" s="15"/>
      <c r="M20" s="26"/>
      <c r="N20" s="26"/>
      <c r="O20" s="26"/>
      <c r="P20" s="26"/>
      <c r="Q20" s="15"/>
      <c r="R20" s="15"/>
      <c r="S20" s="15"/>
      <c r="T20" s="15"/>
      <c r="U20" s="15"/>
      <c r="V20" s="15"/>
      <c r="W20" s="15"/>
      <c r="X20" s="15"/>
      <c r="Y20" s="15"/>
      <c r="Z20" s="15"/>
      <c r="AA20" s="15"/>
      <c r="AB20" s="15"/>
      <c r="AC20" s="15"/>
      <c r="AD20" s="15"/>
      <c r="AE20" s="15"/>
      <c r="AF20" s="15"/>
      <c r="AG20" s="15"/>
      <c r="AH20" s="15"/>
      <c r="AI20" s="15"/>
      <c r="AJ20" s="15"/>
      <c r="AK20" s="15"/>
      <c r="AL20" s="15"/>
      <c r="AM20" s="15"/>
      <c r="AN20" s="15"/>
    </row>
    <row r="21" spans="1:40">
      <c r="A21" s="15"/>
      <c r="B21" s="10"/>
      <c r="C21" s="26"/>
      <c r="D21" s="15"/>
      <c r="E21" s="15"/>
      <c r="F21" s="15"/>
      <c r="G21" s="15"/>
      <c r="H21" s="15"/>
      <c r="I21" s="26"/>
      <c r="J21" s="15"/>
      <c r="K21" s="10"/>
      <c r="L21" s="12"/>
      <c r="M21" s="26"/>
      <c r="N21" s="26"/>
      <c r="O21" s="26"/>
      <c r="P21" s="26"/>
      <c r="Q21" s="15"/>
      <c r="R21" s="15"/>
      <c r="S21" s="15"/>
      <c r="T21" s="15"/>
      <c r="U21" s="15"/>
      <c r="V21" s="15"/>
      <c r="W21" s="15"/>
      <c r="X21" s="15"/>
      <c r="Y21" s="15"/>
      <c r="Z21" s="15"/>
      <c r="AA21" s="15"/>
      <c r="AB21" s="15"/>
      <c r="AC21" s="15"/>
      <c r="AD21" s="15"/>
      <c r="AE21" s="15"/>
      <c r="AF21" s="15"/>
      <c r="AG21" s="15"/>
      <c r="AH21" s="15"/>
      <c r="AI21" s="15"/>
      <c r="AJ21" s="15"/>
      <c r="AK21" s="15"/>
      <c r="AL21" s="15"/>
      <c r="AM21" s="15"/>
      <c r="AN21" s="15"/>
    </row>
    <row r="22" spans="1:40">
      <c r="A22" s="15"/>
      <c r="B22" s="15"/>
      <c r="C22" s="26"/>
      <c r="D22" s="15"/>
      <c r="E22" s="15"/>
      <c r="F22" s="15"/>
      <c r="G22" s="15"/>
      <c r="H22" s="15"/>
      <c r="I22" s="26"/>
      <c r="J22" s="15"/>
      <c r="K22" s="26"/>
      <c r="L22" s="15"/>
      <c r="M22" s="26"/>
      <c r="N22" s="26"/>
      <c r="O22" s="26"/>
      <c r="P22" s="26"/>
      <c r="Q22" s="15"/>
      <c r="R22" s="15"/>
      <c r="S22" s="15"/>
      <c r="T22" s="15"/>
      <c r="U22" s="15"/>
      <c r="V22" s="15"/>
      <c r="W22" s="15"/>
      <c r="X22" s="15"/>
      <c r="Y22" s="15"/>
      <c r="Z22" s="15"/>
      <c r="AA22" s="15"/>
      <c r="AB22" s="15"/>
      <c r="AC22" s="15"/>
      <c r="AD22" s="15"/>
      <c r="AE22" s="15"/>
      <c r="AF22" s="15"/>
      <c r="AG22" s="15"/>
      <c r="AH22" s="15"/>
      <c r="AI22" s="15"/>
      <c r="AJ22" s="15"/>
      <c r="AK22" s="15"/>
      <c r="AL22" s="15"/>
      <c r="AM22" s="15"/>
      <c r="AN22" s="15"/>
    </row>
    <row r="23" spans="1:40">
      <c r="A23" s="15"/>
      <c r="B23" s="15"/>
      <c r="C23" s="26"/>
      <c r="D23" s="15"/>
      <c r="E23" s="15"/>
      <c r="F23" s="15"/>
      <c r="G23" s="15"/>
      <c r="H23" s="15"/>
      <c r="I23" s="26"/>
      <c r="J23" s="15"/>
      <c r="K23" s="26"/>
      <c r="L23" s="15"/>
      <c r="M23" s="26"/>
      <c r="N23" s="26"/>
      <c r="O23" s="26"/>
      <c r="P23" s="26"/>
      <c r="Q23" s="15"/>
      <c r="R23" s="15"/>
      <c r="S23" s="15"/>
      <c r="T23" s="15"/>
      <c r="U23" s="15"/>
      <c r="V23" s="15"/>
      <c r="W23" s="15"/>
      <c r="X23" s="15"/>
      <c r="Y23" s="15"/>
      <c r="Z23" s="15"/>
      <c r="AA23" s="15"/>
      <c r="AB23" s="15"/>
      <c r="AC23" s="15"/>
      <c r="AD23" s="15"/>
      <c r="AE23" s="15"/>
      <c r="AF23" s="15"/>
      <c r="AG23" s="15"/>
      <c r="AH23" s="15"/>
      <c r="AI23" s="15"/>
      <c r="AJ23" s="15"/>
      <c r="AK23" s="15"/>
      <c r="AL23" s="15"/>
      <c r="AM23" s="15"/>
      <c r="AN23" s="15"/>
    </row>
    <row r="24" spans="1:40">
      <c r="A24" s="15"/>
      <c r="B24" s="15"/>
      <c r="C24" s="26"/>
      <c r="D24" s="15"/>
      <c r="E24" s="15"/>
      <c r="F24" s="15"/>
      <c r="G24" s="15"/>
      <c r="H24" s="15"/>
      <c r="I24" s="26"/>
      <c r="J24" s="15"/>
      <c r="K24" s="26"/>
      <c r="L24" s="15"/>
      <c r="M24" s="26"/>
      <c r="N24" s="26"/>
      <c r="O24" s="26"/>
      <c r="P24" s="26"/>
      <c r="Q24" s="15"/>
      <c r="R24" s="15"/>
      <c r="S24" s="15"/>
      <c r="T24" s="15"/>
      <c r="U24" s="15"/>
      <c r="V24" s="15"/>
      <c r="W24" s="15"/>
      <c r="X24" s="15"/>
      <c r="Y24" s="15"/>
      <c r="Z24" s="15"/>
      <c r="AA24" s="15"/>
      <c r="AB24" s="15"/>
      <c r="AC24" s="15"/>
      <c r="AD24" s="15"/>
      <c r="AE24" s="15"/>
      <c r="AF24" s="15"/>
      <c r="AG24" s="15"/>
      <c r="AH24" s="15"/>
      <c r="AI24" s="15"/>
      <c r="AJ24" s="15"/>
      <c r="AK24" s="15"/>
      <c r="AL24" s="15"/>
      <c r="AM24" s="15"/>
      <c r="AN24" s="15"/>
    </row>
    <row r="25" spans="1:40">
      <c r="A25" s="15"/>
      <c r="B25" s="15"/>
      <c r="C25" s="26"/>
      <c r="D25" s="15"/>
      <c r="E25" s="15"/>
      <c r="F25" s="15"/>
      <c r="G25" s="15"/>
      <c r="H25" s="15"/>
      <c r="I25" s="26"/>
      <c r="J25" s="15"/>
      <c r="K25" s="26"/>
      <c r="L25" s="15"/>
      <c r="M25" s="26"/>
      <c r="N25" s="26"/>
      <c r="O25" s="26"/>
      <c r="P25" s="26"/>
      <c r="Q25" s="15"/>
      <c r="R25" s="15"/>
      <c r="S25" s="15"/>
      <c r="T25" s="15"/>
      <c r="U25" s="15"/>
      <c r="V25" s="15"/>
      <c r="W25" s="15"/>
      <c r="X25" s="15"/>
      <c r="Y25" s="15"/>
      <c r="Z25" s="15"/>
      <c r="AA25" s="15"/>
      <c r="AB25" s="15"/>
      <c r="AC25" s="15"/>
      <c r="AD25" s="15"/>
      <c r="AE25" s="15"/>
      <c r="AF25" s="15"/>
      <c r="AG25" s="15"/>
      <c r="AH25" s="15"/>
      <c r="AI25" s="15"/>
      <c r="AJ25" s="15"/>
      <c r="AK25" s="15"/>
      <c r="AL25" s="15"/>
      <c r="AM25" s="15"/>
      <c r="AN25" s="15"/>
    </row>
    <row r="26" spans="1:40">
      <c r="A26" s="15"/>
      <c r="B26" s="15"/>
      <c r="C26" s="26"/>
      <c r="D26" s="15"/>
      <c r="E26" s="15"/>
      <c r="F26" s="15"/>
      <c r="G26" s="15"/>
      <c r="H26" s="15"/>
      <c r="I26" s="26"/>
      <c r="J26" s="15"/>
      <c r="K26" s="26"/>
      <c r="L26" s="15"/>
      <c r="M26" s="26"/>
      <c r="N26" s="26"/>
      <c r="O26" s="26"/>
      <c r="P26" s="26"/>
      <c r="Q26" s="15"/>
      <c r="R26" s="15"/>
      <c r="S26" s="15"/>
      <c r="T26" s="15"/>
      <c r="U26" s="15"/>
      <c r="V26" s="15"/>
      <c r="W26" s="15"/>
      <c r="X26" s="15"/>
      <c r="Y26" s="15"/>
      <c r="Z26" s="15"/>
      <c r="AA26" s="15"/>
      <c r="AB26" s="15"/>
      <c r="AC26" s="15"/>
      <c r="AD26" s="15"/>
      <c r="AE26" s="15"/>
      <c r="AF26" s="15"/>
      <c r="AG26" s="15"/>
      <c r="AH26" s="15"/>
      <c r="AI26" s="15"/>
      <c r="AJ26" s="15"/>
      <c r="AK26" s="15"/>
      <c r="AL26" s="15"/>
      <c r="AM26" s="15"/>
      <c r="AN26" s="15"/>
    </row>
    <row r="27" spans="1:40">
      <c r="A27" s="15"/>
      <c r="B27" s="15"/>
      <c r="C27" s="26"/>
      <c r="D27" s="15"/>
      <c r="E27" s="15"/>
      <c r="F27" s="15"/>
      <c r="G27" s="15"/>
      <c r="H27" s="15"/>
      <c r="I27" s="26"/>
      <c r="J27" s="15"/>
      <c r="K27" s="26"/>
      <c r="L27" s="15"/>
      <c r="M27" s="26"/>
      <c r="N27" s="26"/>
      <c r="O27" s="26"/>
      <c r="P27" s="26"/>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row r="28" spans="1:40">
      <c r="A28" s="15"/>
      <c r="B28" s="15"/>
      <c r="C28" s="26"/>
      <c r="D28" s="15"/>
      <c r="E28" s="15"/>
      <c r="F28" s="15"/>
      <c r="G28" s="15"/>
      <c r="H28" s="15"/>
      <c r="I28" s="26"/>
      <c r="J28" s="15"/>
      <c r="K28" s="26"/>
      <c r="L28" s="15"/>
      <c r="M28" s="26"/>
      <c r="N28" s="26"/>
      <c r="O28" s="26"/>
      <c r="P28" s="26"/>
      <c r="Q28" s="15"/>
      <c r="R28" s="15"/>
      <c r="S28" s="15"/>
      <c r="T28" s="15"/>
      <c r="U28" s="15"/>
      <c r="V28" s="15"/>
      <c r="W28" s="15"/>
      <c r="X28" s="15"/>
      <c r="Y28" s="15"/>
      <c r="Z28" s="15"/>
      <c r="AA28" s="15"/>
      <c r="AB28" s="15"/>
      <c r="AC28" s="15"/>
      <c r="AD28" s="15"/>
      <c r="AE28" s="15"/>
      <c r="AF28" s="15"/>
      <c r="AG28" s="15"/>
      <c r="AH28" s="15"/>
      <c r="AI28" s="15"/>
      <c r="AJ28" s="15"/>
      <c r="AK28" s="15"/>
      <c r="AL28" s="15"/>
      <c r="AM28" s="15"/>
      <c r="AN28" s="15"/>
    </row>
    <row r="29" spans="1:40">
      <c r="A29" s="15"/>
      <c r="B29" s="15"/>
      <c r="C29" s="26"/>
      <c r="D29" s="15"/>
      <c r="E29" s="15"/>
      <c r="F29" s="15"/>
      <c r="G29" s="15"/>
      <c r="H29" s="15"/>
      <c r="I29" s="26"/>
      <c r="J29" s="15"/>
      <c r="K29" s="26"/>
      <c r="L29" s="15"/>
      <c r="M29" s="26"/>
      <c r="N29" s="26"/>
      <c r="O29" s="26"/>
      <c r="P29" s="26"/>
      <c r="Q29" s="15"/>
      <c r="R29" s="15"/>
      <c r="S29" s="15"/>
      <c r="T29" s="15"/>
      <c r="U29" s="15"/>
      <c r="V29" s="15"/>
      <c r="W29" s="15"/>
      <c r="X29" s="15"/>
      <c r="Y29" s="15"/>
      <c r="Z29" s="15"/>
      <c r="AA29" s="15"/>
      <c r="AB29" s="15"/>
      <c r="AC29" s="15"/>
      <c r="AD29" s="15"/>
      <c r="AE29" s="15"/>
      <c r="AF29" s="15"/>
      <c r="AG29" s="15"/>
      <c r="AH29" s="15"/>
      <c r="AI29" s="15"/>
      <c r="AJ29" s="15"/>
      <c r="AK29" s="15"/>
      <c r="AL29" s="15"/>
      <c r="AM29" s="15"/>
      <c r="AN29" s="15"/>
    </row>
    <row r="30" spans="1:40">
      <c r="A30" s="15"/>
      <c r="B30" s="15"/>
      <c r="C30" s="26"/>
      <c r="D30" s="15"/>
      <c r="E30" s="15"/>
      <c r="F30" s="15"/>
      <c r="G30" s="15"/>
      <c r="H30" s="15"/>
      <c r="I30" s="26"/>
      <c r="J30" s="15"/>
      <c r="K30" s="26"/>
      <c r="L30" s="15"/>
      <c r="M30" s="26"/>
      <c r="N30" s="26"/>
      <c r="O30" s="26"/>
      <c r="P30" s="26"/>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row r="31" spans="1:40">
      <c r="A31" s="15"/>
      <c r="B31" s="15"/>
      <c r="C31" s="26"/>
      <c r="D31" s="15"/>
      <c r="E31" s="15"/>
      <c r="F31" s="15"/>
      <c r="G31" s="15"/>
      <c r="H31" s="15"/>
      <c r="I31" s="26"/>
      <c r="J31" s="15"/>
      <c r="K31" s="26"/>
      <c r="L31" s="15"/>
      <c r="M31" s="26"/>
      <c r="N31" s="26"/>
      <c r="O31" s="26"/>
      <c r="P31" s="26"/>
      <c r="Q31" s="15"/>
      <c r="R31" s="15"/>
      <c r="S31" s="15"/>
      <c r="T31" s="15"/>
      <c r="U31" s="15"/>
      <c r="V31" s="15"/>
      <c r="W31" s="15"/>
      <c r="X31" s="15"/>
      <c r="Y31" s="15"/>
      <c r="Z31" s="15"/>
      <c r="AA31" s="15"/>
      <c r="AB31" s="15"/>
      <c r="AC31" s="15"/>
      <c r="AD31" s="15"/>
      <c r="AE31" s="15"/>
      <c r="AF31" s="15"/>
      <c r="AG31" s="15"/>
      <c r="AH31" s="15"/>
      <c r="AI31" s="15"/>
      <c r="AJ31" s="15"/>
      <c r="AK31" s="15"/>
      <c r="AL31" s="15"/>
      <c r="AM31" s="15"/>
      <c r="AN31" s="15"/>
    </row>
    <row r="32" spans="1:40">
      <c r="A32" s="15"/>
      <c r="B32" s="15"/>
      <c r="C32" s="26"/>
      <c r="D32" s="15"/>
      <c r="E32" s="15"/>
      <c r="F32" s="15"/>
      <c r="G32" s="15"/>
      <c r="H32" s="15"/>
      <c r="I32" s="26"/>
      <c r="J32" s="15"/>
      <c r="K32" s="26"/>
      <c r="L32" s="15"/>
      <c r="M32" s="26"/>
      <c r="N32" s="26"/>
      <c r="O32" s="26"/>
      <c r="P32" s="26"/>
      <c r="Q32" s="15"/>
      <c r="R32" s="15"/>
      <c r="S32" s="15"/>
      <c r="T32" s="15"/>
      <c r="U32" s="15"/>
      <c r="V32" s="15"/>
      <c r="W32" s="15"/>
      <c r="X32" s="15"/>
      <c r="Y32" s="15"/>
      <c r="Z32" s="15"/>
      <c r="AA32" s="15"/>
      <c r="AB32" s="15"/>
      <c r="AC32" s="15"/>
      <c r="AD32" s="15"/>
      <c r="AE32" s="15"/>
      <c r="AF32" s="15"/>
      <c r="AG32" s="15"/>
      <c r="AH32" s="15"/>
      <c r="AI32" s="15"/>
      <c r="AJ32" s="15"/>
      <c r="AK32" s="15"/>
      <c r="AL32" s="15"/>
      <c r="AM32" s="15"/>
      <c r="AN32" s="15"/>
    </row>
    <row r="33" spans="1:40">
      <c r="A33" s="15"/>
      <c r="B33" s="15"/>
      <c r="C33" s="26"/>
      <c r="D33" s="15"/>
      <c r="E33" s="15"/>
      <c r="F33" s="15"/>
      <c r="G33" s="15"/>
      <c r="H33" s="15"/>
      <c r="I33" s="26"/>
      <c r="J33" s="15"/>
      <c r="K33" s="26"/>
      <c r="L33" s="15"/>
      <c r="M33" s="26"/>
      <c r="N33" s="26"/>
      <c r="O33" s="26"/>
      <c r="P33" s="26"/>
      <c r="Q33" s="15"/>
      <c r="R33" s="15"/>
      <c r="S33" s="15"/>
      <c r="T33" s="15"/>
      <c r="U33" s="15"/>
      <c r="V33" s="15"/>
      <c r="W33" s="15"/>
      <c r="X33" s="15"/>
      <c r="Y33" s="15"/>
      <c r="Z33" s="15"/>
      <c r="AA33" s="15"/>
      <c r="AB33" s="15"/>
      <c r="AC33" s="15"/>
      <c r="AD33" s="15"/>
      <c r="AE33" s="15"/>
      <c r="AF33" s="15"/>
      <c r="AG33" s="15"/>
      <c r="AH33" s="15"/>
      <c r="AI33" s="15"/>
      <c r="AJ33" s="15"/>
      <c r="AK33" s="15"/>
      <c r="AL33" s="15"/>
      <c r="AM33" s="15"/>
      <c r="AN33" s="15"/>
    </row>
    <row r="34" spans="1:40">
      <c r="A34" s="15"/>
      <c r="B34" s="15"/>
      <c r="C34" s="26"/>
      <c r="D34" s="15"/>
      <c r="E34" s="15"/>
      <c r="F34" s="15"/>
      <c r="G34" s="15"/>
      <c r="H34" s="15"/>
      <c r="I34" s="26"/>
      <c r="J34" s="15"/>
      <c r="K34" s="26"/>
      <c r="L34" s="15"/>
      <c r="M34" s="26"/>
      <c r="N34" s="26"/>
      <c r="O34" s="26"/>
      <c r="P34" s="26"/>
      <c r="Q34" s="15"/>
      <c r="R34" s="15"/>
      <c r="S34" s="15"/>
      <c r="T34" s="15"/>
      <c r="U34" s="15"/>
      <c r="V34" s="15"/>
      <c r="W34" s="15"/>
      <c r="X34" s="15"/>
      <c r="Y34" s="15"/>
      <c r="Z34" s="15"/>
      <c r="AA34" s="15"/>
      <c r="AB34" s="15"/>
      <c r="AC34" s="15"/>
      <c r="AD34" s="15"/>
      <c r="AE34" s="15"/>
      <c r="AF34" s="15"/>
      <c r="AG34" s="15"/>
      <c r="AH34" s="15"/>
      <c r="AI34" s="15"/>
      <c r="AJ34" s="15"/>
      <c r="AK34" s="15"/>
      <c r="AL34" s="15"/>
      <c r="AM34" s="15"/>
      <c r="AN34" s="15"/>
    </row>
    <row r="35" spans="1:40">
      <c r="A35" s="15"/>
      <c r="B35" s="15"/>
      <c r="C35" s="26"/>
      <c r="D35" s="15"/>
      <c r="E35" s="15"/>
      <c r="F35" s="15"/>
      <c r="G35" s="15"/>
      <c r="H35" s="15"/>
      <c r="I35" s="26"/>
      <c r="J35" s="15"/>
      <c r="K35" s="26"/>
      <c r="L35" s="15"/>
      <c r="M35" s="26"/>
      <c r="N35" s="26"/>
      <c r="O35" s="26"/>
      <c r="P35" s="26"/>
      <c r="Q35" s="15"/>
      <c r="R35" s="15"/>
      <c r="S35" s="15"/>
      <c r="T35" s="15"/>
      <c r="U35" s="15"/>
      <c r="V35" s="15"/>
      <c r="W35" s="15"/>
      <c r="X35" s="15"/>
      <c r="Y35" s="15"/>
      <c r="Z35" s="15"/>
      <c r="AA35" s="15"/>
      <c r="AB35" s="15"/>
      <c r="AC35" s="15"/>
      <c r="AD35" s="15"/>
      <c r="AE35" s="15"/>
      <c r="AF35" s="15"/>
      <c r="AG35" s="15"/>
      <c r="AH35" s="15"/>
      <c r="AI35" s="15"/>
      <c r="AJ35" s="15"/>
      <c r="AK35" s="15"/>
      <c r="AL35" s="15"/>
      <c r="AM35" s="15"/>
      <c r="AN35" s="15"/>
    </row>
    <row r="36" spans="1:40">
      <c r="A36" s="15"/>
      <c r="B36" s="15"/>
      <c r="C36" s="26"/>
      <c r="D36" s="15"/>
      <c r="E36" s="15"/>
      <c r="F36" s="15"/>
      <c r="G36" s="15"/>
      <c r="H36" s="15"/>
      <c r="I36" s="26"/>
      <c r="J36" s="15"/>
      <c r="K36" s="26"/>
      <c r="L36" s="15"/>
      <c r="M36" s="26"/>
      <c r="N36" s="26"/>
      <c r="O36" s="26"/>
      <c r="P36" s="26"/>
      <c r="Q36" s="15"/>
      <c r="R36" s="15"/>
      <c r="S36" s="15"/>
      <c r="T36" s="15"/>
      <c r="U36" s="15"/>
      <c r="V36" s="15"/>
      <c r="W36" s="15"/>
      <c r="X36" s="15"/>
      <c r="Y36" s="15"/>
      <c r="Z36" s="15"/>
      <c r="AA36" s="15"/>
      <c r="AB36" s="15"/>
      <c r="AC36" s="15"/>
      <c r="AD36" s="15"/>
      <c r="AE36" s="15"/>
      <c r="AF36" s="15"/>
      <c r="AG36" s="15"/>
      <c r="AH36" s="15"/>
      <c r="AI36" s="15"/>
      <c r="AJ36" s="15"/>
      <c r="AK36" s="15"/>
      <c r="AL36" s="15"/>
      <c r="AM36" s="15"/>
      <c r="AN36" s="15"/>
    </row>
    <row r="37" spans="1:40">
      <c r="A37" s="15"/>
      <c r="B37" s="15"/>
      <c r="C37" s="26"/>
      <c r="D37" s="15"/>
      <c r="E37" s="15"/>
      <c r="F37" s="15"/>
      <c r="G37" s="15"/>
      <c r="H37" s="15"/>
      <c r="I37" s="26"/>
      <c r="J37" s="15"/>
      <c r="K37" s="26"/>
      <c r="L37" s="15"/>
      <c r="M37" s="26"/>
      <c r="N37" s="26"/>
      <c r="O37" s="26"/>
      <c r="P37" s="26"/>
      <c r="Q37" s="15"/>
      <c r="R37" s="15"/>
      <c r="S37" s="15"/>
      <c r="T37" s="15"/>
      <c r="U37" s="15"/>
      <c r="V37" s="15"/>
      <c r="W37" s="15"/>
      <c r="X37" s="15"/>
      <c r="Y37" s="15"/>
      <c r="Z37" s="15"/>
      <c r="AA37" s="15"/>
      <c r="AB37" s="15"/>
      <c r="AC37" s="15"/>
      <c r="AD37" s="15"/>
      <c r="AE37" s="15"/>
      <c r="AF37" s="15"/>
      <c r="AG37" s="15"/>
      <c r="AH37" s="15"/>
      <c r="AI37" s="15"/>
      <c r="AJ37" s="15"/>
      <c r="AK37" s="15"/>
      <c r="AL37" s="15"/>
      <c r="AM37" s="15"/>
      <c r="AN37" s="15"/>
    </row>
    <row r="38" spans="1:40">
      <c r="A38" s="15"/>
      <c r="B38" s="15"/>
      <c r="C38" s="26"/>
      <c r="D38" s="15"/>
      <c r="E38" s="15"/>
      <c r="F38" s="15"/>
      <c r="G38" s="15"/>
      <c r="H38" s="15"/>
      <c r="I38" s="26"/>
      <c r="J38" s="15"/>
      <c r="K38" s="26"/>
      <c r="L38" s="15"/>
      <c r="M38" s="26"/>
      <c r="N38" s="26"/>
      <c r="O38" s="26"/>
      <c r="P38" s="26"/>
      <c r="Q38" s="15"/>
      <c r="R38" s="15"/>
      <c r="S38" s="15"/>
      <c r="T38" s="15"/>
      <c r="U38" s="15"/>
      <c r="V38" s="15"/>
      <c r="W38" s="15"/>
      <c r="X38" s="15"/>
      <c r="Y38" s="15"/>
      <c r="Z38" s="15"/>
      <c r="AA38" s="15"/>
      <c r="AB38" s="15"/>
      <c r="AC38" s="15"/>
      <c r="AD38" s="15"/>
      <c r="AE38" s="15"/>
      <c r="AF38" s="15"/>
      <c r="AG38" s="15"/>
      <c r="AH38" s="15"/>
      <c r="AI38" s="15"/>
      <c r="AJ38" s="15"/>
      <c r="AK38" s="15"/>
      <c r="AL38" s="15"/>
      <c r="AM38" s="15"/>
      <c r="AN38" s="15"/>
    </row>
    <row r="39" spans="1:40">
      <c r="A39" s="15"/>
      <c r="B39" s="15"/>
      <c r="C39" s="26"/>
      <c r="D39" s="15"/>
      <c r="E39" s="15"/>
      <c r="F39" s="15"/>
      <c r="G39" s="15"/>
      <c r="H39" s="15"/>
      <c r="I39" s="26"/>
      <c r="J39" s="15"/>
      <c r="K39" s="26"/>
      <c r="L39" s="15"/>
      <c r="M39" s="26"/>
      <c r="N39" s="26"/>
      <c r="O39" s="26"/>
      <c r="P39" s="26"/>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row r="40" spans="1:40">
      <c r="A40" s="15"/>
      <c r="B40" s="15"/>
      <c r="C40" s="26"/>
      <c r="D40" s="15"/>
      <c r="E40" s="15"/>
      <c r="F40" s="15"/>
      <c r="G40" s="15"/>
      <c r="H40" s="15"/>
      <c r="I40" s="26"/>
      <c r="J40" s="15"/>
      <c r="K40" s="26"/>
      <c r="L40" s="15"/>
      <c r="M40" s="26"/>
      <c r="N40" s="26"/>
      <c r="O40" s="26"/>
      <c r="P40" s="26"/>
      <c r="Q40" s="15"/>
      <c r="R40" s="15"/>
      <c r="S40" s="15"/>
      <c r="T40" s="15"/>
      <c r="U40" s="15"/>
      <c r="V40" s="15"/>
      <c r="W40" s="15"/>
      <c r="X40" s="15"/>
      <c r="Y40" s="15"/>
      <c r="Z40" s="15"/>
      <c r="AA40" s="15"/>
      <c r="AB40" s="15"/>
      <c r="AC40" s="15"/>
      <c r="AD40" s="15"/>
      <c r="AE40" s="15"/>
      <c r="AF40" s="15"/>
      <c r="AG40" s="15"/>
      <c r="AH40" s="15"/>
      <c r="AI40" s="15"/>
      <c r="AJ40" s="15"/>
      <c r="AK40" s="15"/>
      <c r="AL40" s="15"/>
      <c r="AM40" s="15"/>
      <c r="AN40" s="15"/>
    </row>
    <row r="41" spans="1:40">
      <c r="A41" s="15"/>
      <c r="B41" s="15"/>
      <c r="C41" s="26"/>
      <c r="D41" s="15"/>
      <c r="E41" s="15"/>
      <c r="F41" s="15"/>
      <c r="G41" s="15"/>
      <c r="H41" s="15"/>
      <c r="I41" s="26"/>
      <c r="J41" s="15"/>
      <c r="K41" s="26"/>
      <c r="L41" s="15"/>
      <c r="M41" s="26"/>
      <c r="N41" s="26"/>
      <c r="O41" s="26"/>
      <c r="P41" s="26"/>
      <c r="Q41" s="15"/>
      <c r="R41" s="15"/>
      <c r="S41" s="15"/>
      <c r="T41" s="15"/>
      <c r="U41" s="15"/>
      <c r="V41" s="15"/>
      <c r="W41" s="15"/>
      <c r="X41" s="15"/>
      <c r="Y41" s="15"/>
      <c r="Z41" s="15"/>
      <c r="AA41" s="15"/>
      <c r="AB41" s="15"/>
      <c r="AC41" s="15"/>
      <c r="AD41" s="15"/>
      <c r="AE41" s="15"/>
      <c r="AF41" s="15"/>
      <c r="AG41" s="15"/>
      <c r="AH41" s="15"/>
      <c r="AI41" s="15"/>
      <c r="AJ41" s="15"/>
      <c r="AK41" s="15"/>
      <c r="AL41" s="15"/>
      <c r="AM41" s="15"/>
      <c r="AN41" s="15"/>
    </row>
    <row r="42" spans="1:40">
      <c r="A42" s="15"/>
      <c r="B42" s="15"/>
      <c r="C42" s="26"/>
      <c r="D42" s="15"/>
      <c r="E42" s="15"/>
      <c r="F42" s="15"/>
      <c r="G42" s="15"/>
      <c r="H42" s="15"/>
      <c r="I42" s="26"/>
      <c r="J42" s="15"/>
      <c r="K42" s="26"/>
      <c r="L42" s="15"/>
      <c r="M42" s="26"/>
      <c r="N42" s="26"/>
      <c r="O42" s="26"/>
      <c r="P42" s="26"/>
      <c r="Q42" s="15"/>
      <c r="R42" s="15"/>
      <c r="S42" s="15"/>
      <c r="T42" s="15"/>
      <c r="U42" s="15"/>
      <c r="V42" s="15"/>
      <c r="W42" s="15"/>
      <c r="X42" s="15"/>
      <c r="Y42" s="15"/>
      <c r="Z42" s="15"/>
      <c r="AA42" s="15"/>
      <c r="AB42" s="15"/>
      <c r="AC42" s="15"/>
      <c r="AD42" s="15"/>
      <c r="AE42" s="15"/>
      <c r="AF42" s="15"/>
      <c r="AG42" s="15"/>
      <c r="AH42" s="15"/>
      <c r="AI42" s="15"/>
      <c r="AJ42" s="15"/>
      <c r="AK42" s="15"/>
      <c r="AL42" s="15"/>
      <c r="AM42" s="15"/>
      <c r="AN42" s="15"/>
    </row>
    <row r="43" spans="1:40">
      <c r="A43" s="15"/>
      <c r="B43" s="15"/>
      <c r="C43" s="26"/>
      <c r="D43" s="15"/>
      <c r="E43" s="15"/>
      <c r="F43" s="15"/>
      <c r="G43" s="15"/>
      <c r="H43" s="15"/>
      <c r="I43" s="26"/>
      <c r="J43" s="15"/>
      <c r="K43" s="26"/>
      <c r="L43" s="15"/>
      <c r="M43" s="26"/>
      <c r="N43" s="26"/>
      <c r="O43" s="26"/>
      <c r="P43" s="26"/>
      <c r="Q43" s="15"/>
      <c r="R43" s="15"/>
      <c r="S43" s="15"/>
      <c r="T43" s="15"/>
      <c r="U43" s="15"/>
      <c r="V43" s="15"/>
      <c r="W43" s="15"/>
      <c r="X43" s="15"/>
      <c r="Y43" s="15"/>
      <c r="Z43" s="15"/>
      <c r="AA43" s="15"/>
      <c r="AB43" s="15"/>
      <c r="AC43" s="15"/>
      <c r="AD43" s="15"/>
      <c r="AE43" s="15"/>
      <c r="AF43" s="15"/>
      <c r="AG43" s="15"/>
      <c r="AH43" s="15"/>
      <c r="AI43" s="15"/>
      <c r="AJ43" s="15"/>
      <c r="AK43" s="15"/>
      <c r="AL43" s="15"/>
      <c r="AM43" s="15"/>
      <c r="AN43" s="15"/>
    </row>
    <row r="44" spans="1:40">
      <c r="A44" s="15"/>
      <c r="B44" s="15"/>
      <c r="C44" s="26"/>
      <c r="D44" s="15"/>
      <c r="E44" s="15"/>
      <c r="F44" s="15"/>
      <c r="G44" s="15"/>
      <c r="H44" s="15"/>
      <c r="I44" s="26"/>
      <c r="J44" s="15"/>
      <c r="K44" s="26"/>
      <c r="L44" s="15"/>
      <c r="M44" s="26"/>
      <c r="N44" s="26"/>
      <c r="O44" s="26"/>
      <c r="P44" s="26"/>
      <c r="Q44" s="15"/>
      <c r="R44" s="15"/>
      <c r="S44" s="15"/>
      <c r="T44" s="15"/>
      <c r="U44" s="15"/>
      <c r="V44" s="15"/>
      <c r="W44" s="15"/>
      <c r="X44" s="15"/>
      <c r="Y44" s="15"/>
      <c r="Z44" s="15"/>
      <c r="AA44" s="15"/>
      <c r="AB44" s="15"/>
      <c r="AC44" s="15"/>
      <c r="AD44" s="15"/>
      <c r="AE44" s="15"/>
      <c r="AF44" s="15"/>
      <c r="AG44" s="15"/>
      <c r="AH44" s="15"/>
      <c r="AI44" s="15"/>
      <c r="AJ44" s="15"/>
      <c r="AK44" s="15"/>
      <c r="AL44" s="15"/>
      <c r="AM44" s="15"/>
      <c r="AN44" s="15"/>
    </row>
    <row r="45" spans="1:40">
      <c r="A45" s="15"/>
      <c r="B45" s="15"/>
      <c r="C45" s="26"/>
      <c r="D45" s="15"/>
      <c r="E45" s="15"/>
      <c r="F45" s="15"/>
      <c r="G45" s="15"/>
      <c r="H45" s="15"/>
      <c r="I45" s="26"/>
      <c r="J45" s="15"/>
      <c r="K45" s="26"/>
      <c r="L45" s="15"/>
      <c r="M45" s="26"/>
      <c r="N45" s="26"/>
      <c r="O45" s="26"/>
      <c r="P45" s="26"/>
      <c r="Q45" s="15"/>
      <c r="R45" s="15"/>
      <c r="S45" s="15"/>
      <c r="T45" s="15"/>
      <c r="U45" s="15"/>
      <c r="V45" s="15"/>
      <c r="W45" s="15"/>
      <c r="X45" s="15"/>
      <c r="Y45" s="15"/>
      <c r="Z45" s="15"/>
      <c r="AA45" s="15"/>
      <c r="AB45" s="15"/>
      <c r="AC45" s="15"/>
      <c r="AD45" s="15"/>
      <c r="AE45" s="15"/>
      <c r="AF45" s="15"/>
      <c r="AG45" s="15"/>
      <c r="AH45" s="15"/>
      <c r="AI45" s="15"/>
      <c r="AJ45" s="15"/>
      <c r="AK45" s="15"/>
      <c r="AL45" s="15"/>
      <c r="AM45" s="15"/>
      <c r="AN45" s="15"/>
    </row>
    <row r="46" spans="1:40">
      <c r="A46" s="15"/>
      <c r="B46" s="15"/>
      <c r="C46" s="26"/>
      <c r="D46" s="15"/>
      <c r="E46" s="15"/>
      <c r="F46" s="15"/>
      <c r="G46" s="15"/>
      <c r="H46" s="15"/>
      <c r="I46" s="26"/>
      <c r="J46" s="15"/>
      <c r="K46" s="26"/>
      <c r="L46" s="15"/>
      <c r="M46" s="26"/>
      <c r="N46" s="26"/>
      <c r="O46" s="26"/>
      <c r="P46" s="26"/>
      <c r="Q46" s="15"/>
      <c r="R46" s="15"/>
      <c r="S46" s="15"/>
      <c r="T46" s="15"/>
      <c r="U46" s="15"/>
      <c r="V46" s="15"/>
      <c r="W46" s="15"/>
      <c r="X46" s="15"/>
      <c r="Y46" s="15"/>
      <c r="Z46" s="15"/>
      <c r="AA46" s="15"/>
      <c r="AB46" s="15"/>
      <c r="AC46" s="15"/>
      <c r="AD46" s="15"/>
      <c r="AE46" s="15"/>
      <c r="AF46" s="15"/>
      <c r="AG46" s="15"/>
      <c r="AH46" s="15"/>
      <c r="AI46" s="15"/>
      <c r="AJ46" s="15"/>
      <c r="AK46" s="15"/>
      <c r="AL46" s="15"/>
      <c r="AM46" s="15"/>
      <c r="AN46" s="15"/>
    </row>
    <row r="47" spans="1:40">
      <c r="A47" s="15"/>
      <c r="B47" s="15"/>
      <c r="C47" s="26"/>
      <c r="D47" s="15"/>
      <c r="E47" s="15"/>
      <c r="F47" s="15"/>
      <c r="G47" s="15"/>
      <c r="H47" s="15"/>
      <c r="I47" s="26"/>
      <c r="J47" s="15"/>
      <c r="K47" s="26"/>
      <c r="L47" s="15"/>
      <c r="M47" s="26"/>
      <c r="N47" s="26"/>
      <c r="O47" s="26"/>
      <c r="P47" s="26"/>
      <c r="Q47" s="15"/>
      <c r="R47" s="15"/>
      <c r="S47" s="15"/>
      <c r="T47" s="15"/>
      <c r="U47" s="15"/>
      <c r="V47" s="15"/>
      <c r="W47" s="15"/>
      <c r="X47" s="15"/>
      <c r="Y47" s="15"/>
      <c r="Z47" s="15"/>
      <c r="AA47" s="15"/>
      <c r="AB47" s="15"/>
      <c r="AC47" s="15"/>
      <c r="AD47" s="15"/>
      <c r="AE47" s="15"/>
      <c r="AF47" s="15"/>
      <c r="AG47" s="15"/>
      <c r="AH47" s="15"/>
      <c r="AI47" s="15"/>
      <c r="AJ47" s="15"/>
      <c r="AK47" s="15"/>
      <c r="AL47" s="15"/>
      <c r="AM47" s="15"/>
      <c r="AN47" s="15"/>
    </row>
    <row r="48" spans="1:40">
      <c r="A48" s="15"/>
      <c r="B48" s="15"/>
      <c r="C48" s="26"/>
      <c r="D48" s="15"/>
      <c r="E48" s="15"/>
      <c r="F48" s="15"/>
      <c r="G48" s="15"/>
      <c r="H48" s="15"/>
      <c r="I48" s="26"/>
      <c r="J48" s="15"/>
      <c r="K48" s="26"/>
      <c r="L48" s="15"/>
      <c r="M48" s="26"/>
      <c r="N48" s="26"/>
      <c r="O48" s="26"/>
      <c r="P48" s="26"/>
      <c r="Q48" s="15"/>
      <c r="R48" s="15"/>
      <c r="S48" s="15"/>
      <c r="T48" s="15"/>
      <c r="U48" s="15"/>
      <c r="V48" s="15"/>
      <c r="W48" s="15"/>
      <c r="X48" s="15"/>
      <c r="Y48" s="15"/>
      <c r="Z48" s="15"/>
      <c r="AA48" s="15"/>
      <c r="AB48" s="15"/>
      <c r="AC48" s="15"/>
      <c r="AD48" s="15"/>
      <c r="AE48" s="15"/>
      <c r="AF48" s="15"/>
      <c r="AG48" s="15"/>
      <c r="AH48" s="15"/>
      <c r="AI48" s="15"/>
      <c r="AJ48" s="15"/>
      <c r="AK48" s="15"/>
      <c r="AL48" s="15"/>
      <c r="AM48" s="15"/>
      <c r="AN48" s="15"/>
    </row>
    <row r="49" spans="1:40">
      <c r="A49" s="15"/>
      <c r="B49" s="15"/>
      <c r="C49" s="26"/>
      <c r="D49" s="15"/>
      <c r="E49" s="15"/>
      <c r="F49" s="15"/>
      <c r="G49" s="15"/>
      <c r="H49" s="15"/>
      <c r="I49" s="26"/>
      <c r="J49" s="15"/>
      <c r="K49" s="26"/>
      <c r="L49" s="15"/>
      <c r="M49" s="26"/>
      <c r="N49" s="26"/>
      <c r="O49" s="26"/>
      <c r="P49" s="26"/>
      <c r="Q49" s="15"/>
      <c r="R49" s="15"/>
      <c r="S49" s="15"/>
      <c r="T49" s="15"/>
      <c r="U49" s="15"/>
      <c r="V49" s="15"/>
      <c r="W49" s="15"/>
      <c r="X49" s="15"/>
      <c r="Y49" s="15"/>
      <c r="Z49" s="15"/>
      <c r="AA49" s="15"/>
      <c r="AB49" s="15"/>
      <c r="AC49" s="15"/>
      <c r="AD49" s="15"/>
      <c r="AE49" s="15"/>
      <c r="AF49" s="15"/>
      <c r="AG49" s="15"/>
      <c r="AH49" s="15"/>
      <c r="AI49" s="15"/>
      <c r="AJ49" s="15"/>
      <c r="AK49" s="15"/>
      <c r="AL49" s="15"/>
      <c r="AM49" s="15"/>
      <c r="AN49" s="15"/>
    </row>
    <row r="50" spans="1:40">
      <c r="A50" s="15"/>
      <c r="B50" s="15"/>
      <c r="C50" s="26"/>
      <c r="D50" s="15"/>
      <c r="E50" s="15"/>
      <c r="F50" s="15"/>
      <c r="G50" s="15"/>
      <c r="H50" s="15"/>
      <c r="I50" s="26"/>
      <c r="J50" s="15"/>
      <c r="K50" s="26"/>
      <c r="L50" s="15"/>
      <c r="M50" s="26"/>
      <c r="N50" s="26"/>
      <c r="O50" s="26"/>
      <c r="P50" s="26"/>
      <c r="Q50" s="15"/>
      <c r="R50" s="15"/>
      <c r="S50" s="15"/>
      <c r="T50" s="15"/>
      <c r="U50" s="15"/>
      <c r="V50" s="15"/>
      <c r="W50" s="15"/>
      <c r="X50" s="15"/>
      <c r="Y50" s="15"/>
      <c r="Z50" s="15"/>
      <c r="AA50" s="15"/>
      <c r="AB50" s="15"/>
      <c r="AC50" s="15"/>
      <c r="AD50" s="15"/>
      <c r="AE50" s="15"/>
      <c r="AF50" s="15"/>
      <c r="AG50" s="15"/>
      <c r="AH50" s="15"/>
      <c r="AI50" s="15"/>
      <c r="AJ50" s="15"/>
      <c r="AK50" s="15"/>
      <c r="AL50" s="15"/>
      <c r="AM50" s="15"/>
      <c r="AN50" s="15"/>
    </row>
    <row r="51" spans="1:40">
      <c r="A51" s="15"/>
      <c r="B51" s="15"/>
      <c r="C51" s="26"/>
      <c r="D51" s="15"/>
      <c r="E51" s="15"/>
      <c r="F51" s="15"/>
      <c r="G51" s="15"/>
      <c r="H51" s="15"/>
      <c r="I51" s="26"/>
      <c r="J51" s="15"/>
      <c r="K51" s="26"/>
      <c r="L51" s="15"/>
      <c r="M51" s="26"/>
      <c r="N51" s="26"/>
      <c r="O51" s="26"/>
      <c r="P51" s="26"/>
      <c r="Q51" s="15"/>
      <c r="R51" s="15"/>
      <c r="S51" s="15"/>
      <c r="T51" s="15"/>
      <c r="U51" s="15"/>
      <c r="V51" s="15"/>
      <c r="W51" s="15"/>
      <c r="X51" s="15"/>
      <c r="Y51" s="15"/>
      <c r="Z51" s="15"/>
      <c r="AA51" s="15"/>
      <c r="AB51" s="15"/>
      <c r="AC51" s="15"/>
      <c r="AD51" s="15"/>
      <c r="AE51" s="15"/>
      <c r="AF51" s="15"/>
      <c r="AG51" s="15"/>
      <c r="AH51" s="15"/>
      <c r="AI51" s="15"/>
      <c r="AJ51" s="15"/>
      <c r="AK51" s="15"/>
      <c r="AL51" s="15"/>
      <c r="AM51" s="15"/>
      <c r="AN51" s="15"/>
    </row>
    <row r="52" spans="1:40">
      <c r="A52" s="15"/>
      <c r="B52" s="15"/>
      <c r="C52" s="26"/>
      <c r="D52" s="15"/>
      <c r="E52" s="15"/>
      <c r="F52" s="15"/>
      <c r="G52" s="15"/>
      <c r="H52" s="15"/>
      <c r="I52" s="26"/>
      <c r="J52" s="15"/>
      <c r="K52" s="26"/>
      <c r="L52" s="15"/>
      <c r="M52" s="26"/>
      <c r="N52" s="26"/>
      <c r="O52" s="26"/>
      <c r="P52" s="26"/>
      <c r="Q52" s="15"/>
      <c r="R52" s="15"/>
      <c r="S52" s="15"/>
      <c r="T52" s="15"/>
      <c r="U52" s="15"/>
      <c r="V52" s="15"/>
      <c r="W52" s="15"/>
      <c r="X52" s="15"/>
      <c r="Y52" s="15"/>
      <c r="Z52" s="15"/>
      <c r="AA52" s="15"/>
      <c r="AB52" s="15"/>
      <c r="AC52" s="15"/>
      <c r="AD52" s="15"/>
      <c r="AE52" s="15"/>
      <c r="AF52" s="15"/>
      <c r="AG52" s="15"/>
      <c r="AH52" s="15"/>
      <c r="AI52" s="15"/>
      <c r="AJ52" s="15"/>
      <c r="AK52" s="15"/>
      <c r="AL52" s="15"/>
      <c r="AM52" s="15"/>
      <c r="AN52" s="15"/>
    </row>
    <row r="53" spans="1:40">
      <c r="A53" s="15"/>
      <c r="B53" s="15"/>
      <c r="C53" s="26"/>
      <c r="D53" s="15"/>
      <c r="E53" s="15"/>
      <c r="F53" s="15"/>
      <c r="G53" s="15"/>
      <c r="H53" s="15"/>
      <c r="I53" s="26"/>
      <c r="J53" s="15"/>
      <c r="K53" s="26"/>
      <c r="L53" s="15"/>
      <c r="M53" s="26"/>
      <c r="N53" s="26"/>
      <c r="O53" s="26"/>
      <c r="P53" s="26"/>
      <c r="Q53" s="15"/>
      <c r="R53" s="15"/>
      <c r="S53" s="15"/>
      <c r="T53" s="15"/>
      <c r="U53" s="15"/>
      <c r="V53" s="15"/>
      <c r="W53" s="15"/>
      <c r="X53" s="15"/>
      <c r="Y53" s="15"/>
      <c r="Z53" s="15"/>
      <c r="AA53" s="15"/>
      <c r="AB53" s="15"/>
      <c r="AC53" s="15"/>
      <c r="AD53" s="15"/>
      <c r="AE53" s="15"/>
      <c r="AF53" s="15"/>
      <c r="AG53" s="15"/>
      <c r="AH53" s="15"/>
      <c r="AI53" s="15"/>
      <c r="AJ53" s="15"/>
      <c r="AK53" s="15"/>
      <c r="AL53" s="15"/>
      <c r="AM53" s="15"/>
      <c r="AN53" s="15"/>
    </row>
    <row r="54" spans="1:40">
      <c r="A54" s="15"/>
      <c r="B54" s="15"/>
      <c r="C54" s="26"/>
      <c r="D54" s="15"/>
      <c r="E54" s="15"/>
      <c r="F54" s="15"/>
      <c r="G54" s="15"/>
      <c r="H54" s="15"/>
      <c r="I54" s="26"/>
      <c r="J54" s="15"/>
      <c r="K54" s="26"/>
      <c r="L54" s="15"/>
      <c r="M54" s="26"/>
      <c r="N54" s="26"/>
      <c r="O54" s="26"/>
      <c r="P54" s="26"/>
      <c r="Q54" s="15"/>
      <c r="R54" s="15"/>
      <c r="S54" s="15"/>
      <c r="T54" s="15"/>
      <c r="U54" s="15"/>
      <c r="V54" s="15"/>
      <c r="W54" s="15"/>
      <c r="X54" s="15"/>
      <c r="Y54" s="15"/>
      <c r="Z54" s="15"/>
      <c r="AA54" s="15"/>
      <c r="AB54" s="15"/>
      <c r="AC54" s="15"/>
      <c r="AD54" s="15"/>
      <c r="AE54" s="15"/>
      <c r="AF54" s="15"/>
      <c r="AG54" s="15"/>
      <c r="AH54" s="15"/>
      <c r="AI54" s="15"/>
      <c r="AJ54" s="15"/>
      <c r="AK54" s="15"/>
      <c r="AL54" s="15"/>
      <c r="AM54" s="15"/>
      <c r="AN54" s="15"/>
    </row>
    <row r="55" spans="1:40">
      <c r="A55" s="15"/>
      <c r="B55" s="15"/>
      <c r="C55" s="26"/>
      <c r="D55" s="15"/>
      <c r="E55" s="15"/>
      <c r="F55" s="15"/>
      <c r="G55" s="15"/>
      <c r="H55" s="15"/>
      <c r="I55" s="26"/>
      <c r="J55" s="15"/>
      <c r="K55" s="26"/>
      <c r="L55" s="15"/>
      <c r="M55" s="26"/>
      <c r="N55" s="26"/>
      <c r="O55" s="26"/>
      <c r="P55" s="26"/>
      <c r="Q55" s="15"/>
      <c r="R55" s="15"/>
      <c r="S55" s="15"/>
      <c r="T55" s="15"/>
      <c r="U55" s="15"/>
      <c r="V55" s="15"/>
      <c r="W55" s="15"/>
      <c r="X55" s="15"/>
      <c r="Y55" s="15"/>
      <c r="Z55" s="15"/>
      <c r="AA55" s="15"/>
      <c r="AB55" s="15"/>
      <c r="AC55" s="15"/>
      <c r="AD55" s="15"/>
      <c r="AE55" s="15"/>
      <c r="AF55" s="15"/>
      <c r="AG55" s="15"/>
      <c r="AH55" s="15"/>
      <c r="AI55" s="15"/>
      <c r="AJ55" s="15"/>
      <c r="AK55" s="15"/>
      <c r="AL55" s="15"/>
      <c r="AM55" s="15"/>
      <c r="AN55" s="15"/>
    </row>
    <row r="56" spans="1:40">
      <c r="A56" s="15"/>
      <c r="B56" s="15"/>
      <c r="C56" s="26"/>
      <c r="D56" s="15"/>
      <c r="E56" s="15"/>
      <c r="F56" s="15"/>
      <c r="G56" s="15"/>
      <c r="H56" s="15"/>
      <c r="I56" s="26"/>
      <c r="J56" s="15"/>
      <c r="K56" s="26"/>
      <c r="L56" s="15"/>
      <c r="M56" s="26"/>
      <c r="N56" s="26"/>
      <c r="O56" s="26"/>
      <c r="P56" s="26"/>
      <c r="Q56" s="15"/>
      <c r="R56" s="15"/>
      <c r="S56" s="15"/>
      <c r="T56" s="15"/>
      <c r="U56" s="15"/>
      <c r="V56" s="15"/>
      <c r="W56" s="15"/>
      <c r="X56" s="15"/>
      <c r="Y56" s="15"/>
      <c r="Z56" s="15"/>
      <c r="AA56" s="15"/>
      <c r="AB56" s="15"/>
      <c r="AC56" s="15"/>
      <c r="AD56" s="15"/>
      <c r="AE56" s="15"/>
      <c r="AF56" s="15"/>
      <c r="AG56" s="15"/>
      <c r="AH56" s="15"/>
      <c r="AI56" s="15"/>
      <c r="AJ56" s="15"/>
      <c r="AK56" s="15"/>
      <c r="AL56" s="15"/>
      <c r="AM56" s="15"/>
      <c r="AN56" s="15"/>
    </row>
    <row r="57" spans="1:40">
      <c r="A57" s="15"/>
      <c r="B57" s="15"/>
      <c r="C57" s="26"/>
      <c r="D57" s="15"/>
      <c r="E57" s="15"/>
      <c r="F57" s="15"/>
      <c r="G57" s="15"/>
      <c r="H57" s="15"/>
      <c r="I57" s="26"/>
      <c r="J57" s="15"/>
      <c r="K57" s="26"/>
      <c r="L57" s="15"/>
      <c r="M57" s="26"/>
      <c r="N57" s="26"/>
      <c r="O57" s="26"/>
      <c r="P57" s="26"/>
      <c r="Q57" s="15"/>
      <c r="R57" s="15"/>
      <c r="S57" s="15"/>
      <c r="T57" s="15"/>
      <c r="U57" s="15"/>
      <c r="V57" s="15"/>
      <c r="W57" s="15"/>
      <c r="X57" s="15"/>
      <c r="Y57" s="15"/>
      <c r="Z57" s="15"/>
      <c r="AA57" s="15"/>
      <c r="AB57" s="15"/>
      <c r="AC57" s="15"/>
      <c r="AD57" s="15"/>
      <c r="AE57" s="15"/>
      <c r="AF57" s="15"/>
      <c r="AG57" s="15"/>
      <c r="AH57" s="15"/>
      <c r="AI57" s="15"/>
      <c r="AJ57" s="15"/>
      <c r="AK57" s="15"/>
      <c r="AL57" s="15"/>
      <c r="AM57" s="15"/>
      <c r="AN57" s="15"/>
    </row>
    <row r="58" spans="1:40">
      <c r="A58" s="15"/>
      <c r="B58" s="15"/>
      <c r="C58" s="26"/>
      <c r="D58" s="15"/>
      <c r="E58" s="15"/>
      <c r="F58" s="15"/>
      <c r="G58" s="15"/>
      <c r="H58" s="15"/>
      <c r="I58" s="26"/>
      <c r="J58" s="15"/>
      <c r="K58" s="26"/>
      <c r="L58" s="15"/>
      <c r="M58" s="26"/>
      <c r="N58" s="26"/>
      <c r="O58" s="26"/>
      <c r="P58" s="26"/>
      <c r="Q58" s="15"/>
      <c r="R58" s="15"/>
      <c r="S58" s="15"/>
      <c r="T58" s="15"/>
      <c r="U58" s="15"/>
      <c r="V58" s="15"/>
      <c r="W58" s="15"/>
      <c r="X58" s="15"/>
      <c r="Y58" s="15"/>
      <c r="Z58" s="15"/>
      <c r="AA58" s="15"/>
      <c r="AB58" s="15"/>
      <c r="AC58" s="15"/>
      <c r="AD58" s="15"/>
      <c r="AE58" s="15"/>
      <c r="AF58" s="15"/>
      <c r="AG58" s="15"/>
      <c r="AH58" s="15"/>
      <c r="AI58" s="15"/>
      <c r="AJ58" s="15"/>
      <c r="AK58" s="15"/>
      <c r="AL58" s="15"/>
      <c r="AM58" s="15"/>
      <c r="AN58" s="15"/>
    </row>
    <row r="59" spans="1:40">
      <c r="A59" s="15"/>
      <c r="B59" s="15"/>
      <c r="C59" s="26"/>
      <c r="D59" s="15"/>
      <c r="E59" s="15"/>
      <c r="F59" s="15"/>
      <c r="G59" s="15"/>
      <c r="H59" s="15"/>
      <c r="I59" s="26"/>
      <c r="J59" s="15"/>
      <c r="K59" s="26"/>
      <c r="L59" s="15"/>
      <c r="M59" s="26"/>
      <c r="N59" s="26"/>
      <c r="O59" s="26"/>
      <c r="P59" s="26"/>
      <c r="Q59" s="15"/>
      <c r="R59" s="15"/>
      <c r="S59" s="15"/>
      <c r="T59" s="15"/>
      <c r="U59" s="15"/>
      <c r="V59" s="15"/>
      <c r="W59" s="15"/>
      <c r="X59" s="15"/>
      <c r="Y59" s="15"/>
      <c r="Z59" s="15"/>
      <c r="AA59" s="15"/>
      <c r="AB59" s="15"/>
      <c r="AC59" s="15"/>
      <c r="AD59" s="15"/>
      <c r="AE59" s="15"/>
      <c r="AF59" s="15"/>
      <c r="AG59" s="15"/>
      <c r="AH59" s="15"/>
      <c r="AI59" s="15"/>
      <c r="AJ59" s="15"/>
      <c r="AK59" s="15"/>
      <c r="AL59" s="15"/>
      <c r="AM59" s="15"/>
      <c r="AN59" s="15"/>
    </row>
    <row r="60" spans="1:40">
      <c r="A60" s="15"/>
      <c r="B60" s="15"/>
      <c r="C60" s="26"/>
      <c r="D60" s="15"/>
      <c r="E60" s="15"/>
      <c r="F60" s="15"/>
      <c r="G60" s="15"/>
      <c r="H60" s="15"/>
      <c r="I60" s="26"/>
      <c r="J60" s="15"/>
      <c r="K60" s="26"/>
      <c r="L60" s="15"/>
      <c r="M60" s="26"/>
      <c r="N60" s="26"/>
      <c r="O60" s="26"/>
      <c r="P60" s="26"/>
      <c r="Q60" s="15"/>
      <c r="R60" s="15"/>
      <c r="S60" s="15"/>
      <c r="T60" s="15"/>
      <c r="U60" s="15"/>
      <c r="V60" s="15"/>
      <c r="W60" s="15"/>
      <c r="X60" s="15"/>
      <c r="Y60" s="15"/>
      <c r="Z60" s="15"/>
      <c r="AA60" s="15"/>
      <c r="AB60" s="15"/>
      <c r="AC60" s="15"/>
      <c r="AD60" s="15"/>
      <c r="AE60" s="15"/>
      <c r="AF60" s="15"/>
      <c r="AG60" s="15"/>
      <c r="AH60" s="15"/>
      <c r="AI60" s="15"/>
      <c r="AJ60" s="15"/>
      <c r="AK60" s="15"/>
      <c r="AL60" s="15"/>
      <c r="AM60" s="15"/>
      <c r="AN60" s="15"/>
    </row>
    <row r="61" spans="1:40">
      <c r="A61" s="15"/>
      <c r="B61" s="15"/>
      <c r="C61" s="26"/>
      <c r="D61" s="15"/>
      <c r="E61" s="15"/>
      <c r="F61" s="15"/>
      <c r="G61" s="15"/>
      <c r="H61" s="15"/>
      <c r="I61" s="26"/>
      <c r="J61" s="15"/>
      <c r="K61" s="26"/>
      <c r="L61" s="15"/>
      <c r="M61" s="26"/>
      <c r="N61" s="26"/>
      <c r="O61" s="26"/>
      <c r="P61" s="26"/>
      <c r="Q61" s="15"/>
      <c r="R61" s="15"/>
      <c r="S61" s="15"/>
      <c r="T61" s="15"/>
      <c r="U61" s="15"/>
      <c r="V61" s="15"/>
      <c r="W61" s="15"/>
      <c r="X61" s="15"/>
      <c r="Y61" s="15"/>
      <c r="Z61" s="15"/>
      <c r="AA61" s="15"/>
      <c r="AB61" s="15"/>
      <c r="AC61" s="15"/>
      <c r="AD61" s="15"/>
      <c r="AE61" s="15"/>
      <c r="AF61" s="15"/>
      <c r="AG61" s="15"/>
      <c r="AH61" s="15"/>
      <c r="AI61" s="15"/>
      <c r="AJ61" s="15"/>
      <c r="AK61" s="15"/>
      <c r="AL61" s="15"/>
      <c r="AM61" s="15"/>
      <c r="AN61" s="15"/>
    </row>
    <row r="62" spans="1:40">
      <c r="A62" s="15"/>
      <c r="B62" s="15"/>
      <c r="C62" s="26"/>
      <c r="D62" s="15"/>
      <c r="E62" s="15"/>
      <c r="F62" s="15"/>
      <c r="G62" s="15"/>
      <c r="H62" s="15"/>
      <c r="I62" s="26"/>
      <c r="J62" s="15"/>
      <c r="K62" s="26"/>
      <c r="L62" s="15"/>
      <c r="M62" s="26"/>
      <c r="N62" s="26"/>
      <c r="O62" s="26"/>
      <c r="P62" s="26"/>
      <c r="Q62" s="15"/>
      <c r="R62" s="15"/>
      <c r="S62" s="15"/>
      <c r="T62" s="15"/>
      <c r="U62" s="15"/>
      <c r="V62" s="15"/>
      <c r="W62" s="15"/>
      <c r="X62" s="15"/>
      <c r="Y62" s="15"/>
      <c r="Z62" s="15"/>
      <c r="AA62" s="15"/>
      <c r="AB62" s="15"/>
      <c r="AC62" s="15"/>
      <c r="AD62" s="15"/>
      <c r="AE62" s="15"/>
      <c r="AF62" s="15"/>
      <c r="AG62" s="15"/>
      <c r="AH62" s="15"/>
      <c r="AI62" s="15"/>
      <c r="AJ62" s="15"/>
      <c r="AK62" s="15"/>
      <c r="AL62" s="15"/>
      <c r="AM62" s="15"/>
      <c r="AN62" s="15"/>
    </row>
    <row r="63" spans="1:40">
      <c r="A63" s="15"/>
      <c r="B63" s="15"/>
      <c r="C63" s="26"/>
      <c r="D63" s="15"/>
      <c r="E63" s="15"/>
      <c r="F63" s="15"/>
      <c r="G63" s="15"/>
      <c r="H63" s="15"/>
      <c r="I63" s="26"/>
      <c r="J63" s="15"/>
      <c r="K63" s="26"/>
      <c r="L63" s="15"/>
      <c r="M63" s="26"/>
      <c r="N63" s="26"/>
      <c r="O63" s="26"/>
      <c r="P63" s="26"/>
      <c r="Q63" s="15"/>
      <c r="R63" s="15"/>
      <c r="S63" s="15"/>
      <c r="T63" s="15"/>
      <c r="U63" s="15"/>
      <c r="V63" s="15"/>
      <c r="W63" s="15"/>
      <c r="X63" s="15"/>
      <c r="Y63" s="15"/>
      <c r="Z63" s="15"/>
      <c r="AA63" s="15"/>
      <c r="AB63" s="15"/>
      <c r="AC63" s="15"/>
      <c r="AD63" s="15"/>
      <c r="AE63" s="15"/>
      <c r="AF63" s="15"/>
      <c r="AG63" s="15"/>
      <c r="AH63" s="15"/>
      <c r="AI63" s="15"/>
      <c r="AJ63" s="15"/>
      <c r="AK63" s="15"/>
      <c r="AL63" s="15"/>
      <c r="AM63" s="15"/>
      <c r="AN63" s="15"/>
    </row>
    <row r="64" spans="1:40">
      <c r="A64" s="15"/>
      <c r="B64" s="15"/>
      <c r="C64" s="26"/>
      <c r="D64" s="15"/>
      <c r="E64" s="15"/>
      <c r="F64" s="15"/>
      <c r="G64" s="15"/>
      <c r="H64" s="15"/>
      <c r="I64" s="26"/>
      <c r="J64" s="15"/>
      <c r="K64" s="26"/>
      <c r="L64" s="15"/>
      <c r="M64" s="26"/>
      <c r="N64" s="26"/>
      <c r="O64" s="26"/>
      <c r="P64" s="26"/>
      <c r="Q64" s="15"/>
      <c r="R64" s="15"/>
      <c r="S64" s="15"/>
      <c r="T64" s="15"/>
      <c r="U64" s="15"/>
      <c r="V64" s="15"/>
      <c r="W64" s="15"/>
      <c r="X64" s="15"/>
      <c r="Y64" s="15"/>
      <c r="Z64" s="15"/>
      <c r="AA64" s="15"/>
      <c r="AB64" s="15"/>
      <c r="AC64" s="15"/>
      <c r="AD64" s="15"/>
      <c r="AE64" s="15"/>
      <c r="AF64" s="15"/>
      <c r="AG64" s="15"/>
      <c r="AH64" s="15"/>
      <c r="AI64" s="15"/>
      <c r="AJ64" s="15"/>
      <c r="AK64" s="15"/>
      <c r="AL64" s="15"/>
      <c r="AM64" s="15"/>
      <c r="AN64" s="15"/>
    </row>
    <row r="65" spans="1:40">
      <c r="A65" s="15"/>
      <c r="B65" s="15"/>
      <c r="C65" s="26"/>
      <c r="D65" s="15"/>
      <c r="E65" s="15"/>
      <c r="F65" s="15"/>
      <c r="G65" s="15"/>
      <c r="H65" s="15"/>
      <c r="I65" s="26"/>
      <c r="J65" s="15"/>
      <c r="K65" s="26"/>
      <c r="L65" s="15"/>
      <c r="M65" s="26"/>
      <c r="N65" s="26"/>
      <c r="O65" s="26"/>
      <c r="P65" s="26"/>
      <c r="Q65" s="15"/>
      <c r="R65" s="15"/>
      <c r="S65" s="15"/>
      <c r="T65" s="15"/>
      <c r="U65" s="15"/>
      <c r="V65" s="15"/>
      <c r="W65" s="15"/>
      <c r="X65" s="15"/>
      <c r="Y65" s="15"/>
      <c r="Z65" s="15"/>
      <c r="AA65" s="15"/>
      <c r="AB65" s="15"/>
      <c r="AC65" s="15"/>
      <c r="AD65" s="15"/>
      <c r="AE65" s="15"/>
      <c r="AF65" s="15"/>
      <c r="AG65" s="15"/>
      <c r="AH65" s="15"/>
      <c r="AI65" s="15"/>
      <c r="AJ65" s="15"/>
      <c r="AK65" s="15"/>
      <c r="AL65" s="15"/>
      <c r="AM65" s="15"/>
      <c r="AN65" s="15"/>
    </row>
    <row r="66" spans="1:40">
      <c r="A66" s="15"/>
      <c r="B66" s="15"/>
      <c r="C66" s="26"/>
      <c r="D66" s="15"/>
      <c r="E66" s="15"/>
      <c r="F66" s="15"/>
      <c r="G66" s="15"/>
      <c r="H66" s="15"/>
      <c r="I66" s="26"/>
      <c r="J66" s="15"/>
      <c r="K66" s="26"/>
      <c r="L66" s="15"/>
      <c r="M66" s="26"/>
      <c r="N66" s="26"/>
      <c r="O66" s="26"/>
      <c r="P66" s="26"/>
      <c r="Q66" s="15"/>
      <c r="R66" s="15"/>
      <c r="S66" s="15"/>
      <c r="T66" s="15"/>
      <c r="U66" s="15"/>
      <c r="V66" s="15"/>
      <c r="W66" s="15"/>
      <c r="X66" s="15"/>
      <c r="Y66" s="15"/>
      <c r="Z66" s="15"/>
      <c r="AA66" s="15"/>
      <c r="AB66" s="15"/>
      <c r="AC66" s="15"/>
      <c r="AD66" s="15"/>
      <c r="AE66" s="15"/>
      <c r="AF66" s="15"/>
      <c r="AG66" s="15"/>
      <c r="AH66" s="15"/>
      <c r="AI66" s="15"/>
      <c r="AJ66" s="15"/>
      <c r="AK66" s="15"/>
      <c r="AL66" s="15"/>
      <c r="AM66" s="15"/>
      <c r="AN66" s="15"/>
    </row>
    <row r="67" spans="1:40">
      <c r="A67" s="15"/>
      <c r="B67" s="15"/>
      <c r="C67" s="26"/>
      <c r="D67" s="15"/>
      <c r="E67" s="15"/>
      <c r="F67" s="15"/>
      <c r="G67" s="15"/>
      <c r="H67" s="15"/>
      <c r="I67" s="26"/>
      <c r="J67" s="15"/>
      <c r="K67" s="26"/>
      <c r="L67" s="15"/>
      <c r="M67" s="26"/>
      <c r="N67" s="26"/>
      <c r="O67" s="26"/>
      <c r="P67" s="26"/>
      <c r="Q67" s="15"/>
      <c r="R67" s="15"/>
      <c r="S67" s="15"/>
      <c r="T67" s="15"/>
      <c r="U67" s="15"/>
      <c r="V67" s="15"/>
      <c r="W67" s="15"/>
      <c r="X67" s="15"/>
      <c r="Y67" s="15"/>
      <c r="Z67" s="15"/>
      <c r="AA67" s="15"/>
      <c r="AB67" s="15"/>
      <c r="AC67" s="15"/>
      <c r="AD67" s="15"/>
      <c r="AE67" s="15"/>
      <c r="AF67" s="15"/>
      <c r="AG67" s="15"/>
      <c r="AH67" s="15"/>
      <c r="AI67" s="15"/>
      <c r="AJ67" s="15"/>
      <c r="AK67" s="15"/>
      <c r="AL67" s="15"/>
      <c r="AM67" s="15"/>
      <c r="AN67" s="15"/>
    </row>
    <row r="68" spans="1:40">
      <c r="A68" s="15"/>
      <c r="B68" s="15"/>
      <c r="C68" s="26"/>
      <c r="D68" s="15"/>
      <c r="E68" s="15"/>
      <c r="F68" s="15"/>
      <c r="G68" s="15"/>
      <c r="H68" s="15"/>
      <c r="I68" s="26"/>
      <c r="J68" s="15"/>
      <c r="K68" s="26"/>
      <c r="L68" s="15"/>
      <c r="M68" s="26"/>
      <c r="N68" s="26"/>
      <c r="O68" s="26"/>
      <c r="P68" s="26"/>
      <c r="Q68" s="15"/>
      <c r="R68" s="15"/>
      <c r="S68" s="15"/>
      <c r="T68" s="15"/>
      <c r="U68" s="15"/>
      <c r="V68" s="15"/>
      <c r="W68" s="15"/>
      <c r="X68" s="15"/>
      <c r="Y68" s="15"/>
      <c r="Z68" s="15"/>
      <c r="AA68" s="15"/>
      <c r="AB68" s="15"/>
      <c r="AC68" s="15"/>
      <c r="AD68" s="15"/>
      <c r="AE68" s="15"/>
      <c r="AF68" s="15"/>
      <c r="AG68" s="15"/>
      <c r="AH68" s="15"/>
      <c r="AI68" s="15"/>
      <c r="AJ68" s="15"/>
      <c r="AK68" s="15"/>
      <c r="AL68" s="15"/>
      <c r="AM68" s="15"/>
      <c r="AN68" s="15"/>
    </row>
    <row r="69" spans="1:40">
      <c r="A69" s="15"/>
      <c r="B69" s="15"/>
      <c r="C69" s="26"/>
      <c r="D69" s="15"/>
      <c r="E69" s="15"/>
      <c r="F69" s="15"/>
      <c r="G69" s="15"/>
      <c r="H69" s="15"/>
      <c r="I69" s="26"/>
      <c r="J69" s="15"/>
      <c r="K69" s="26"/>
      <c r="L69" s="15"/>
      <c r="M69" s="26"/>
      <c r="N69" s="26"/>
      <c r="O69" s="26"/>
      <c r="P69" s="26"/>
      <c r="Q69" s="15"/>
      <c r="R69" s="15"/>
      <c r="S69" s="15"/>
      <c r="T69" s="15"/>
      <c r="U69" s="15"/>
      <c r="V69" s="15"/>
      <c r="W69" s="15"/>
      <c r="X69" s="15"/>
      <c r="Y69" s="15"/>
      <c r="Z69" s="15"/>
      <c r="AA69" s="15"/>
      <c r="AB69" s="15"/>
      <c r="AC69" s="15"/>
      <c r="AD69" s="15"/>
      <c r="AE69" s="15"/>
      <c r="AF69" s="15"/>
      <c r="AG69" s="15"/>
      <c r="AH69" s="15"/>
      <c r="AI69" s="15"/>
      <c r="AJ69" s="15"/>
      <c r="AK69" s="15"/>
      <c r="AL69" s="15"/>
      <c r="AM69" s="15"/>
      <c r="AN69" s="15"/>
    </row>
    <row r="70" spans="1:40">
      <c r="A70" s="15"/>
      <c r="B70" s="15"/>
      <c r="C70" s="26"/>
      <c r="D70" s="15"/>
      <c r="E70" s="15"/>
      <c r="F70" s="15"/>
      <c r="G70" s="15"/>
      <c r="H70" s="15"/>
      <c r="I70" s="26"/>
      <c r="J70" s="15"/>
      <c r="K70" s="26"/>
      <c r="L70" s="15"/>
      <c r="M70" s="26"/>
      <c r="N70" s="26"/>
      <c r="O70" s="26"/>
      <c r="P70" s="26"/>
      <c r="Q70" s="15"/>
      <c r="R70" s="15"/>
      <c r="S70" s="15"/>
      <c r="T70" s="15"/>
      <c r="U70" s="15"/>
      <c r="V70" s="15"/>
      <c r="W70" s="15"/>
      <c r="X70" s="15"/>
      <c r="Y70" s="15"/>
      <c r="Z70" s="15"/>
      <c r="AA70" s="15"/>
      <c r="AB70" s="15"/>
      <c r="AC70" s="15"/>
      <c r="AD70" s="15"/>
      <c r="AE70" s="15"/>
      <c r="AF70" s="15"/>
      <c r="AG70" s="15"/>
      <c r="AH70" s="15"/>
      <c r="AI70" s="15"/>
      <c r="AJ70" s="15"/>
      <c r="AK70" s="15"/>
      <c r="AL70" s="15"/>
      <c r="AM70" s="15"/>
      <c r="AN70" s="15"/>
    </row>
    <row r="71" spans="1:40">
      <c r="A71" s="15"/>
      <c r="B71" s="15"/>
      <c r="C71" s="26"/>
      <c r="D71" s="15"/>
      <c r="E71" s="15"/>
      <c r="F71" s="15"/>
      <c r="G71" s="15"/>
      <c r="H71" s="15"/>
      <c r="I71" s="26"/>
      <c r="J71" s="15"/>
      <c r="K71" s="26"/>
      <c r="L71" s="15"/>
      <c r="M71" s="26"/>
      <c r="N71" s="26"/>
      <c r="O71" s="26"/>
      <c r="P71" s="26"/>
      <c r="Q71" s="15"/>
      <c r="R71" s="15"/>
      <c r="S71" s="15"/>
      <c r="T71" s="15"/>
      <c r="U71" s="15"/>
      <c r="V71" s="15"/>
      <c r="W71" s="15"/>
      <c r="X71" s="15"/>
      <c r="Y71" s="15"/>
      <c r="Z71" s="15"/>
      <c r="AA71" s="15"/>
      <c r="AB71" s="15"/>
      <c r="AC71" s="15"/>
      <c r="AD71" s="15"/>
      <c r="AE71" s="15"/>
      <c r="AF71" s="15"/>
      <c r="AG71" s="15"/>
      <c r="AH71" s="15"/>
      <c r="AI71" s="15"/>
      <c r="AJ71" s="15"/>
      <c r="AK71" s="15"/>
      <c r="AL71" s="15"/>
      <c r="AM71" s="15"/>
      <c r="AN71" s="15"/>
    </row>
    <row r="72" spans="1:40">
      <c r="A72" s="15"/>
      <c r="B72" s="15"/>
      <c r="C72" s="26"/>
      <c r="D72" s="15"/>
      <c r="E72" s="15"/>
      <c r="F72" s="15"/>
      <c r="G72" s="15"/>
      <c r="H72" s="15"/>
      <c r="I72" s="26"/>
      <c r="J72" s="15"/>
      <c r="K72" s="26"/>
      <c r="L72" s="15"/>
      <c r="M72" s="26"/>
      <c r="N72" s="26"/>
      <c r="O72" s="26"/>
      <c r="P72" s="26"/>
      <c r="Q72" s="15"/>
      <c r="R72" s="15"/>
      <c r="S72" s="15"/>
      <c r="T72" s="15"/>
      <c r="U72" s="15"/>
      <c r="V72" s="15"/>
      <c r="W72" s="15"/>
      <c r="X72" s="15"/>
      <c r="Y72" s="15"/>
      <c r="Z72" s="15"/>
      <c r="AA72" s="15"/>
      <c r="AB72" s="15"/>
      <c r="AC72" s="15"/>
      <c r="AD72" s="15"/>
      <c r="AE72" s="15"/>
      <c r="AF72" s="15"/>
      <c r="AG72" s="15"/>
      <c r="AH72" s="15"/>
      <c r="AI72" s="15"/>
      <c r="AJ72" s="15"/>
      <c r="AK72" s="15"/>
      <c r="AL72" s="15"/>
      <c r="AM72" s="15"/>
      <c r="AN72" s="15"/>
    </row>
    <row r="73" spans="1:40">
      <c r="A73" s="15"/>
      <c r="B73" s="15"/>
      <c r="C73" s="26"/>
      <c r="D73" s="15"/>
      <c r="E73" s="15"/>
      <c r="F73" s="15"/>
      <c r="G73" s="15"/>
      <c r="H73" s="15"/>
      <c r="I73" s="26"/>
      <c r="J73" s="15"/>
      <c r="K73" s="26"/>
      <c r="L73" s="15"/>
      <c r="M73" s="26"/>
      <c r="N73" s="26"/>
      <c r="O73" s="26"/>
      <c r="P73" s="26"/>
      <c r="Q73" s="15"/>
      <c r="R73" s="15"/>
      <c r="S73" s="15"/>
      <c r="T73" s="15"/>
      <c r="U73" s="15"/>
      <c r="V73" s="15"/>
      <c r="W73" s="15"/>
      <c r="X73" s="15"/>
      <c r="Y73" s="15"/>
      <c r="Z73" s="15"/>
      <c r="AA73" s="15"/>
      <c r="AB73" s="15"/>
      <c r="AC73" s="15"/>
      <c r="AD73" s="15"/>
      <c r="AE73" s="15"/>
      <c r="AF73" s="15"/>
      <c r="AG73" s="15"/>
      <c r="AH73" s="15"/>
      <c r="AI73" s="15"/>
      <c r="AJ73" s="15"/>
      <c r="AK73" s="15"/>
      <c r="AL73" s="15"/>
      <c r="AM73" s="15"/>
      <c r="AN73" s="15"/>
    </row>
    <row r="74" spans="1:40">
      <c r="A74" s="15"/>
      <c r="B74" s="15"/>
      <c r="C74" s="26"/>
      <c r="D74" s="15"/>
      <c r="E74" s="15"/>
      <c r="F74" s="15"/>
      <c r="G74" s="15"/>
      <c r="H74" s="15"/>
      <c r="I74" s="26"/>
      <c r="J74" s="15"/>
      <c r="K74" s="26"/>
      <c r="L74" s="15"/>
      <c r="M74" s="26"/>
      <c r="N74" s="26"/>
      <c r="O74" s="26"/>
      <c r="P74" s="26"/>
      <c r="Q74" s="15"/>
      <c r="R74" s="15"/>
      <c r="S74" s="15"/>
      <c r="T74" s="15"/>
      <c r="U74" s="15"/>
      <c r="V74" s="15"/>
      <c r="W74" s="15"/>
      <c r="X74" s="15"/>
      <c r="Y74" s="15"/>
      <c r="Z74" s="15"/>
      <c r="AA74" s="15"/>
      <c r="AB74" s="15"/>
      <c r="AC74" s="15"/>
      <c r="AD74" s="15"/>
      <c r="AE74" s="15"/>
      <c r="AF74" s="15"/>
      <c r="AG74" s="15"/>
      <c r="AH74" s="15"/>
      <c r="AI74" s="15"/>
      <c r="AJ74" s="15"/>
      <c r="AK74" s="15"/>
      <c r="AL74" s="15"/>
      <c r="AM74" s="15"/>
      <c r="AN74" s="15"/>
    </row>
    <row r="75" spans="1:40">
      <c r="A75" s="15"/>
      <c r="B75" s="15"/>
      <c r="C75" s="26"/>
      <c r="D75" s="15"/>
      <c r="E75" s="15"/>
      <c r="F75" s="15"/>
      <c r="G75" s="15"/>
      <c r="H75" s="15"/>
      <c r="I75" s="26"/>
      <c r="J75" s="15"/>
      <c r="K75" s="26"/>
      <c r="L75" s="15"/>
      <c r="M75" s="26"/>
      <c r="N75" s="26"/>
      <c r="O75" s="26"/>
      <c r="P75" s="26"/>
      <c r="Q75" s="15"/>
      <c r="R75" s="15"/>
      <c r="S75" s="15"/>
      <c r="T75" s="15"/>
      <c r="U75" s="15"/>
      <c r="V75" s="15"/>
      <c r="W75" s="15"/>
      <c r="X75" s="15"/>
      <c r="Y75" s="15"/>
      <c r="Z75" s="15"/>
      <c r="AA75" s="15"/>
      <c r="AB75" s="15"/>
      <c r="AC75" s="15"/>
      <c r="AD75" s="15"/>
      <c r="AE75" s="15"/>
      <c r="AF75" s="15"/>
      <c r="AG75" s="15"/>
      <c r="AH75" s="15"/>
      <c r="AI75" s="15"/>
      <c r="AJ75" s="15"/>
      <c r="AK75" s="15"/>
      <c r="AL75" s="15"/>
      <c r="AM75" s="15"/>
      <c r="AN75" s="15"/>
    </row>
    <row r="76" spans="1:40">
      <c r="A76" s="15"/>
      <c r="B76" s="15"/>
      <c r="C76" s="26"/>
      <c r="D76" s="15"/>
      <c r="E76" s="15"/>
      <c r="F76" s="15"/>
      <c r="G76" s="15"/>
      <c r="H76" s="15"/>
      <c r="I76" s="26"/>
      <c r="J76" s="15"/>
      <c r="K76" s="26"/>
      <c r="L76" s="15"/>
      <c r="M76" s="26"/>
      <c r="N76" s="26"/>
      <c r="O76" s="26"/>
      <c r="P76" s="26"/>
      <c r="Q76" s="15"/>
      <c r="R76" s="15"/>
      <c r="S76" s="15"/>
      <c r="T76" s="15"/>
      <c r="U76" s="15"/>
      <c r="V76" s="15"/>
      <c r="W76" s="15"/>
      <c r="X76" s="15"/>
      <c r="Y76" s="15"/>
      <c r="Z76" s="15"/>
      <c r="AA76" s="15"/>
      <c r="AB76" s="15"/>
      <c r="AC76" s="15"/>
      <c r="AD76" s="15"/>
      <c r="AE76" s="15"/>
      <c r="AF76" s="15"/>
      <c r="AG76" s="15"/>
      <c r="AH76" s="15"/>
      <c r="AI76" s="15"/>
      <c r="AJ76" s="15"/>
      <c r="AK76" s="15"/>
      <c r="AL76" s="15"/>
      <c r="AM76" s="15"/>
      <c r="AN76" s="15"/>
    </row>
    <row r="77" spans="1:40">
      <c r="A77" s="15"/>
      <c r="B77" s="15"/>
      <c r="C77" s="26"/>
      <c r="D77" s="15"/>
      <c r="E77" s="15"/>
      <c r="F77" s="15"/>
      <c r="G77" s="15"/>
      <c r="H77" s="15"/>
      <c r="I77" s="26"/>
      <c r="J77" s="15"/>
      <c r="K77" s="26"/>
      <c r="L77" s="15"/>
      <c r="M77" s="26"/>
      <c r="N77" s="26"/>
      <c r="O77" s="26"/>
      <c r="P77" s="26"/>
      <c r="Q77" s="15"/>
      <c r="R77" s="15"/>
      <c r="S77" s="15"/>
      <c r="T77" s="15"/>
      <c r="U77" s="15"/>
      <c r="V77" s="15"/>
      <c r="W77" s="15"/>
      <c r="X77" s="15"/>
      <c r="Y77" s="15"/>
      <c r="Z77" s="15"/>
      <c r="AA77" s="15"/>
      <c r="AB77" s="15"/>
      <c r="AC77" s="15"/>
      <c r="AD77" s="15"/>
      <c r="AE77" s="15"/>
      <c r="AF77" s="15"/>
      <c r="AG77" s="15"/>
      <c r="AH77" s="15"/>
      <c r="AI77" s="15"/>
      <c r="AJ77" s="15"/>
      <c r="AK77" s="15"/>
      <c r="AL77" s="15"/>
      <c r="AM77" s="15"/>
      <c r="AN77" s="15"/>
    </row>
    <row r="78" spans="1:40">
      <c r="A78" s="15"/>
      <c r="B78" s="15"/>
      <c r="C78" s="26"/>
      <c r="D78" s="15"/>
      <c r="E78" s="15"/>
      <c r="F78" s="15"/>
      <c r="G78" s="15"/>
      <c r="H78" s="15"/>
      <c r="I78" s="26"/>
      <c r="J78" s="15"/>
      <c r="K78" s="26"/>
      <c r="L78" s="15"/>
      <c r="M78" s="26"/>
      <c r="N78" s="26"/>
      <c r="O78" s="26"/>
      <c r="P78" s="26"/>
      <c r="Q78" s="15"/>
      <c r="R78" s="15"/>
      <c r="S78" s="15"/>
      <c r="T78" s="15"/>
      <c r="U78" s="15"/>
      <c r="V78" s="15"/>
      <c r="W78" s="15"/>
      <c r="X78" s="15"/>
      <c r="Y78" s="15"/>
      <c r="Z78" s="15"/>
      <c r="AA78" s="15"/>
      <c r="AB78" s="15"/>
      <c r="AC78" s="15"/>
      <c r="AD78" s="15"/>
      <c r="AE78" s="15"/>
      <c r="AF78" s="15"/>
      <c r="AG78" s="15"/>
      <c r="AH78" s="15"/>
      <c r="AI78" s="15"/>
      <c r="AJ78" s="15"/>
      <c r="AK78" s="15"/>
      <c r="AL78" s="15"/>
      <c r="AM78" s="15"/>
      <c r="AN78" s="15"/>
    </row>
    <row r="79" spans="1:40">
      <c r="A79" s="15"/>
      <c r="B79" s="15"/>
      <c r="C79" s="26"/>
      <c r="D79" s="15"/>
      <c r="E79" s="15"/>
      <c r="F79" s="15"/>
      <c r="G79" s="15"/>
      <c r="H79" s="15"/>
      <c r="I79" s="26"/>
      <c r="J79" s="15"/>
      <c r="K79" s="26"/>
      <c r="L79" s="15"/>
      <c r="M79" s="26"/>
      <c r="N79" s="26"/>
      <c r="O79" s="26"/>
      <c r="P79" s="26"/>
      <c r="Q79" s="15"/>
      <c r="R79" s="15"/>
      <c r="S79" s="15"/>
      <c r="T79" s="15"/>
      <c r="U79" s="15"/>
      <c r="V79" s="15"/>
      <c r="W79" s="15"/>
      <c r="X79" s="15"/>
      <c r="Y79" s="15"/>
      <c r="Z79" s="15"/>
      <c r="AA79" s="15"/>
      <c r="AB79" s="15"/>
      <c r="AC79" s="15"/>
      <c r="AD79" s="15"/>
      <c r="AE79" s="15"/>
      <c r="AF79" s="15"/>
      <c r="AG79" s="15"/>
      <c r="AH79" s="15"/>
      <c r="AI79" s="15"/>
      <c r="AJ79" s="15"/>
      <c r="AK79" s="15"/>
      <c r="AL79" s="15"/>
      <c r="AM79" s="15"/>
      <c r="AN79" s="15"/>
    </row>
    <row r="80" spans="1:40">
      <c r="A80" s="15"/>
      <c r="B80" s="15"/>
      <c r="C80" s="26"/>
      <c r="D80" s="15"/>
      <c r="E80" s="15"/>
      <c r="F80" s="15"/>
      <c r="G80" s="15"/>
      <c r="H80" s="15"/>
      <c r="I80" s="26"/>
      <c r="J80" s="15"/>
      <c r="K80" s="26"/>
      <c r="L80" s="15"/>
      <c r="M80" s="26"/>
      <c r="N80" s="26"/>
      <c r="O80" s="26"/>
      <c r="P80" s="26"/>
      <c r="Q80" s="15"/>
      <c r="R80" s="15"/>
      <c r="S80" s="15"/>
      <c r="T80" s="15"/>
      <c r="U80" s="15"/>
      <c r="V80" s="15"/>
      <c r="W80" s="15"/>
      <c r="X80" s="15"/>
      <c r="Y80" s="15"/>
      <c r="Z80" s="15"/>
      <c r="AA80" s="15"/>
      <c r="AB80" s="15"/>
      <c r="AC80" s="15"/>
      <c r="AD80" s="15"/>
      <c r="AE80" s="15"/>
      <c r="AF80" s="15"/>
      <c r="AG80" s="15"/>
      <c r="AH80" s="15"/>
      <c r="AI80" s="15"/>
      <c r="AJ80" s="15"/>
      <c r="AK80" s="15"/>
      <c r="AL80" s="15"/>
      <c r="AM80" s="15"/>
      <c r="AN80" s="15"/>
    </row>
    <row r="81" spans="1:40">
      <c r="A81" s="15"/>
      <c r="B81" s="15"/>
      <c r="C81" s="26"/>
      <c r="D81" s="15"/>
      <c r="E81" s="15"/>
      <c r="F81" s="15"/>
      <c r="G81" s="15"/>
      <c r="H81" s="15"/>
      <c r="I81" s="26"/>
      <c r="J81" s="15"/>
      <c r="K81" s="26"/>
      <c r="L81" s="15"/>
      <c r="M81" s="26"/>
      <c r="N81" s="26"/>
      <c r="O81" s="26"/>
      <c r="P81" s="26"/>
      <c r="Q81" s="15"/>
      <c r="R81" s="15"/>
      <c r="S81" s="15"/>
      <c r="T81" s="15"/>
      <c r="U81" s="15"/>
      <c r="V81" s="15"/>
      <c r="W81" s="15"/>
      <c r="X81" s="15"/>
      <c r="Y81" s="15"/>
      <c r="Z81" s="15"/>
      <c r="AA81" s="15"/>
      <c r="AB81" s="15"/>
      <c r="AC81" s="15"/>
      <c r="AD81" s="15"/>
      <c r="AE81" s="15"/>
      <c r="AF81" s="15"/>
      <c r="AG81" s="15"/>
      <c r="AH81" s="15"/>
      <c r="AI81" s="15"/>
      <c r="AJ81" s="15"/>
      <c r="AK81" s="15"/>
      <c r="AL81" s="15"/>
      <c r="AM81" s="15"/>
      <c r="AN81" s="15"/>
    </row>
    <row r="82" spans="1:40">
      <c r="A82" s="15"/>
      <c r="B82" s="15"/>
      <c r="C82" s="26"/>
      <c r="D82" s="15"/>
      <c r="E82" s="15"/>
      <c r="F82" s="15"/>
      <c r="G82" s="15"/>
      <c r="H82" s="15"/>
      <c r="I82" s="26"/>
      <c r="J82" s="15"/>
      <c r="K82" s="26"/>
      <c r="L82" s="15"/>
      <c r="M82" s="26"/>
      <c r="N82" s="26"/>
      <c r="O82" s="26"/>
      <c r="P82" s="26"/>
      <c r="Q82" s="15"/>
      <c r="R82" s="15"/>
      <c r="S82" s="15"/>
      <c r="T82" s="15"/>
      <c r="U82" s="15"/>
      <c r="V82" s="15"/>
      <c r="W82" s="15"/>
      <c r="X82" s="15"/>
      <c r="Y82" s="15"/>
      <c r="Z82" s="15"/>
      <c r="AA82" s="15"/>
      <c r="AB82" s="15"/>
      <c r="AC82" s="15"/>
      <c r="AD82" s="15"/>
      <c r="AE82" s="15"/>
      <c r="AF82" s="15"/>
      <c r="AG82" s="15"/>
      <c r="AH82" s="15"/>
      <c r="AI82" s="15"/>
      <c r="AJ82" s="15"/>
      <c r="AK82" s="15"/>
      <c r="AL82" s="15"/>
      <c r="AM82" s="15"/>
      <c r="AN82" s="15"/>
    </row>
    <row r="83" spans="1:40">
      <c r="A83" s="15"/>
      <c r="B83" s="15"/>
      <c r="C83" s="26"/>
      <c r="D83" s="15"/>
      <c r="E83" s="15"/>
      <c r="F83" s="15"/>
      <c r="G83" s="15"/>
      <c r="H83" s="15"/>
      <c r="I83" s="26"/>
      <c r="J83" s="15"/>
      <c r="K83" s="26"/>
      <c r="L83" s="15"/>
      <c r="M83" s="26"/>
      <c r="N83" s="26"/>
      <c r="O83" s="26"/>
      <c r="P83" s="26"/>
      <c r="Q83" s="15"/>
      <c r="R83" s="15"/>
      <c r="S83" s="15"/>
      <c r="T83" s="15"/>
      <c r="U83" s="15"/>
      <c r="V83" s="15"/>
      <c r="W83" s="15"/>
      <c r="X83" s="15"/>
      <c r="Y83" s="15"/>
      <c r="Z83" s="15"/>
      <c r="AA83" s="15"/>
      <c r="AB83" s="15"/>
      <c r="AC83" s="15"/>
      <c r="AD83" s="15"/>
      <c r="AE83" s="15"/>
      <c r="AF83" s="15"/>
      <c r="AG83" s="15"/>
      <c r="AH83" s="15"/>
      <c r="AI83" s="15"/>
      <c r="AJ83" s="15"/>
      <c r="AK83" s="15"/>
      <c r="AL83" s="15"/>
      <c r="AM83" s="15"/>
      <c r="AN83" s="15"/>
    </row>
    <row r="84" spans="1:40">
      <c r="A84" s="15"/>
      <c r="B84" s="15"/>
      <c r="C84" s="26"/>
      <c r="D84" s="15"/>
      <c r="E84" s="15"/>
      <c r="F84" s="15"/>
      <c r="G84" s="15"/>
      <c r="H84" s="15"/>
      <c r="I84" s="26"/>
      <c r="J84" s="15"/>
      <c r="K84" s="26"/>
      <c r="L84" s="15"/>
      <c r="M84" s="26"/>
      <c r="N84" s="26"/>
      <c r="O84" s="26"/>
      <c r="P84" s="26"/>
      <c r="Q84" s="15"/>
      <c r="R84" s="15"/>
      <c r="S84" s="15"/>
      <c r="T84" s="15"/>
      <c r="U84" s="15"/>
      <c r="V84" s="15"/>
      <c r="W84" s="15"/>
      <c r="X84" s="15"/>
      <c r="Y84" s="15"/>
      <c r="Z84" s="15"/>
      <c r="AA84" s="15"/>
      <c r="AB84" s="15"/>
      <c r="AC84" s="15"/>
      <c r="AD84" s="15"/>
      <c r="AE84" s="15"/>
      <c r="AF84" s="15"/>
      <c r="AG84" s="15"/>
      <c r="AH84" s="15"/>
      <c r="AI84" s="15"/>
      <c r="AJ84" s="15"/>
      <c r="AK84" s="15"/>
      <c r="AL84" s="15"/>
      <c r="AM84" s="15"/>
      <c r="AN84" s="15"/>
    </row>
    <row r="85" spans="1:40">
      <c r="A85" s="15"/>
      <c r="B85" s="15"/>
      <c r="C85" s="26"/>
      <c r="D85" s="15"/>
      <c r="E85" s="15"/>
      <c r="F85" s="15"/>
      <c r="G85" s="15"/>
      <c r="H85" s="15"/>
      <c r="I85" s="26"/>
      <c r="J85" s="15"/>
      <c r="K85" s="26"/>
      <c r="L85" s="15"/>
      <c r="M85" s="26"/>
      <c r="N85" s="26"/>
      <c r="O85" s="26"/>
      <c r="P85" s="26"/>
      <c r="Q85" s="15"/>
      <c r="R85" s="15"/>
      <c r="S85" s="15"/>
      <c r="T85" s="15"/>
      <c r="U85" s="15"/>
      <c r="V85" s="15"/>
      <c r="W85" s="15"/>
      <c r="X85" s="15"/>
      <c r="Y85" s="15"/>
      <c r="Z85" s="15"/>
      <c r="AA85" s="15"/>
      <c r="AB85" s="15"/>
      <c r="AC85" s="15"/>
      <c r="AD85" s="15"/>
      <c r="AE85" s="15"/>
      <c r="AF85" s="15"/>
      <c r="AG85" s="15"/>
      <c r="AH85" s="15"/>
      <c r="AI85" s="15"/>
      <c r="AJ85" s="15"/>
      <c r="AK85" s="15"/>
      <c r="AL85" s="15"/>
      <c r="AM85" s="15"/>
      <c r="AN85" s="15"/>
    </row>
    <row r="86" spans="1:40">
      <c r="A86" s="15"/>
      <c r="B86" s="15"/>
      <c r="C86" s="26"/>
      <c r="D86" s="15"/>
      <c r="E86" s="15"/>
      <c r="F86" s="15"/>
      <c r="G86" s="15"/>
      <c r="H86" s="15"/>
      <c r="I86" s="26"/>
      <c r="J86" s="15"/>
      <c r="K86" s="26"/>
      <c r="L86" s="15"/>
      <c r="M86" s="26"/>
      <c r="N86" s="26"/>
      <c r="O86" s="26"/>
      <c r="P86" s="26"/>
      <c r="Q86" s="15"/>
      <c r="R86" s="15"/>
      <c r="S86" s="15"/>
      <c r="T86" s="15"/>
      <c r="U86" s="15"/>
      <c r="V86" s="15"/>
      <c r="W86" s="15"/>
      <c r="X86" s="15"/>
      <c r="Y86" s="15"/>
      <c r="Z86" s="15"/>
      <c r="AA86" s="15"/>
      <c r="AB86" s="15"/>
      <c r="AC86" s="15"/>
      <c r="AD86" s="15"/>
      <c r="AE86" s="15"/>
      <c r="AF86" s="15"/>
      <c r="AG86" s="15"/>
      <c r="AH86" s="15"/>
      <c r="AI86" s="15"/>
      <c r="AJ86" s="15"/>
      <c r="AK86" s="15"/>
      <c r="AL86" s="15"/>
      <c r="AM86" s="15"/>
      <c r="AN86" s="15"/>
    </row>
    <row r="87" spans="1:40">
      <c r="A87" s="15"/>
      <c r="B87" s="15"/>
      <c r="C87" s="26"/>
      <c r="D87" s="15"/>
      <c r="E87" s="15"/>
      <c r="F87" s="15"/>
      <c r="G87" s="15"/>
      <c r="H87" s="15"/>
      <c r="I87" s="26"/>
      <c r="J87" s="15"/>
      <c r="K87" s="26"/>
      <c r="L87" s="15"/>
      <c r="M87" s="26"/>
      <c r="N87" s="26"/>
      <c r="O87" s="26"/>
      <c r="P87" s="26"/>
      <c r="Q87" s="15"/>
      <c r="R87" s="15"/>
      <c r="S87" s="15"/>
      <c r="T87" s="15"/>
      <c r="U87" s="15"/>
      <c r="V87" s="15"/>
      <c r="W87" s="15"/>
      <c r="X87" s="15"/>
      <c r="Y87" s="15"/>
      <c r="Z87" s="15"/>
      <c r="AA87" s="15"/>
      <c r="AB87" s="15"/>
      <c r="AC87" s="15"/>
      <c r="AD87" s="15"/>
      <c r="AE87" s="15"/>
      <c r="AF87" s="15"/>
      <c r="AG87" s="15"/>
      <c r="AH87" s="15"/>
      <c r="AI87" s="15"/>
      <c r="AJ87" s="15"/>
      <c r="AK87" s="15"/>
      <c r="AL87" s="15"/>
      <c r="AM87" s="15"/>
      <c r="AN87" s="15"/>
    </row>
    <row r="88" spans="1:40">
      <c r="A88" s="15"/>
      <c r="B88" s="15"/>
      <c r="C88" s="26"/>
      <c r="D88" s="15"/>
      <c r="E88" s="15"/>
      <c r="F88" s="15"/>
      <c r="G88" s="15"/>
      <c r="H88" s="15"/>
      <c r="I88" s="26"/>
      <c r="J88" s="15"/>
      <c r="K88" s="26"/>
      <c r="L88" s="15"/>
      <c r="M88" s="26"/>
      <c r="N88" s="26"/>
      <c r="O88" s="26"/>
      <c r="P88" s="26"/>
      <c r="Q88" s="15"/>
      <c r="R88" s="15"/>
      <c r="S88" s="15"/>
      <c r="T88" s="15"/>
      <c r="U88" s="15"/>
      <c r="V88" s="15"/>
      <c r="W88" s="15"/>
      <c r="X88" s="15"/>
      <c r="Y88" s="15"/>
      <c r="Z88" s="15"/>
      <c r="AA88" s="15"/>
      <c r="AB88" s="15"/>
      <c r="AC88" s="15"/>
      <c r="AD88" s="15"/>
      <c r="AE88" s="15"/>
      <c r="AF88" s="15"/>
      <c r="AG88" s="15"/>
      <c r="AH88" s="15"/>
      <c r="AI88" s="15"/>
      <c r="AJ88" s="15"/>
      <c r="AK88" s="15"/>
      <c r="AL88" s="15"/>
      <c r="AM88" s="15"/>
      <c r="AN88" s="15"/>
    </row>
    <row r="89" spans="1:40">
      <c r="A89" s="15"/>
      <c r="B89" s="15"/>
      <c r="C89" s="26"/>
      <c r="D89" s="15"/>
      <c r="E89" s="15"/>
      <c r="F89" s="15"/>
      <c r="G89" s="15"/>
      <c r="H89" s="15"/>
      <c r="I89" s="26"/>
      <c r="J89" s="15"/>
      <c r="K89" s="26"/>
      <c r="L89" s="15"/>
      <c r="M89" s="26"/>
      <c r="N89" s="26"/>
      <c r="O89" s="26"/>
      <c r="P89" s="26"/>
      <c r="Q89" s="15"/>
      <c r="R89" s="15"/>
      <c r="S89" s="15"/>
      <c r="T89" s="15"/>
      <c r="U89" s="15"/>
      <c r="V89" s="15"/>
      <c r="W89" s="15"/>
      <c r="X89" s="15"/>
      <c r="Y89" s="15"/>
      <c r="Z89" s="15"/>
      <c r="AA89" s="15"/>
      <c r="AB89" s="15"/>
      <c r="AC89" s="15"/>
      <c r="AD89" s="15"/>
      <c r="AE89" s="15"/>
      <c r="AF89" s="15"/>
      <c r="AG89" s="15"/>
      <c r="AH89" s="15"/>
      <c r="AI89" s="15"/>
      <c r="AJ89" s="15"/>
      <c r="AK89" s="15"/>
      <c r="AL89" s="15"/>
      <c r="AM89" s="15"/>
      <c r="AN89" s="15"/>
    </row>
    <row r="90" spans="1:40">
      <c r="A90" s="15"/>
      <c r="B90" s="15"/>
      <c r="C90" s="26"/>
      <c r="D90" s="15"/>
      <c r="E90" s="15"/>
      <c r="F90" s="15"/>
      <c r="G90" s="15"/>
      <c r="H90" s="15"/>
      <c r="I90" s="26"/>
      <c r="J90" s="15"/>
      <c r="K90" s="26"/>
      <c r="L90" s="15"/>
      <c r="M90" s="26"/>
      <c r="N90" s="26"/>
      <c r="O90" s="26"/>
      <c r="P90" s="26"/>
      <c r="Q90" s="15"/>
      <c r="R90" s="15"/>
      <c r="S90" s="15"/>
      <c r="T90" s="15"/>
      <c r="U90" s="15"/>
      <c r="V90" s="15"/>
      <c r="W90" s="15"/>
      <c r="X90" s="15"/>
      <c r="Y90" s="15"/>
      <c r="Z90" s="15"/>
      <c r="AA90" s="15"/>
      <c r="AB90" s="15"/>
      <c r="AC90" s="15"/>
      <c r="AD90" s="15"/>
      <c r="AE90" s="15"/>
      <c r="AF90" s="15"/>
      <c r="AG90" s="15"/>
      <c r="AH90" s="15"/>
      <c r="AI90" s="15"/>
      <c r="AJ90" s="15"/>
      <c r="AK90" s="15"/>
      <c r="AL90" s="15"/>
      <c r="AM90" s="15"/>
      <c r="AN90" s="15"/>
    </row>
    <row r="91" spans="1:40">
      <c r="A91" s="15"/>
      <c r="B91" s="15"/>
      <c r="C91" s="26"/>
      <c r="D91" s="15"/>
      <c r="E91" s="15"/>
      <c r="F91" s="15"/>
      <c r="G91" s="15"/>
      <c r="H91" s="15"/>
      <c r="I91" s="26"/>
      <c r="J91" s="15"/>
      <c r="K91" s="26"/>
      <c r="L91" s="15"/>
      <c r="M91" s="26"/>
      <c r="N91" s="26"/>
      <c r="O91" s="26"/>
      <c r="P91" s="26"/>
      <c r="Q91" s="15"/>
      <c r="R91" s="15"/>
      <c r="S91" s="15"/>
      <c r="T91" s="15"/>
      <c r="U91" s="15"/>
      <c r="V91" s="15"/>
      <c r="W91" s="15"/>
      <c r="X91" s="15"/>
      <c r="Y91" s="15"/>
      <c r="Z91" s="15"/>
      <c r="AA91" s="15"/>
      <c r="AB91" s="15"/>
      <c r="AC91" s="15"/>
      <c r="AD91" s="15"/>
      <c r="AE91" s="15"/>
      <c r="AF91" s="15"/>
      <c r="AG91" s="15"/>
      <c r="AH91" s="15"/>
      <c r="AI91" s="15"/>
      <c r="AJ91" s="15"/>
      <c r="AK91" s="15"/>
      <c r="AL91" s="15"/>
      <c r="AM91" s="15"/>
      <c r="AN91" s="15"/>
    </row>
    <row r="92" spans="1:40">
      <c r="A92" s="15"/>
      <c r="B92" s="15"/>
      <c r="C92" s="26"/>
      <c r="D92" s="15"/>
      <c r="E92" s="15"/>
      <c r="F92" s="15"/>
      <c r="G92" s="15"/>
      <c r="H92" s="15"/>
      <c r="I92" s="26"/>
      <c r="J92" s="15"/>
      <c r="K92" s="26"/>
      <c r="L92" s="15"/>
      <c r="M92" s="26"/>
      <c r="N92" s="26"/>
      <c r="O92" s="26"/>
      <c r="P92" s="26"/>
      <c r="Q92" s="15"/>
      <c r="R92" s="15"/>
      <c r="S92" s="15"/>
      <c r="T92" s="15"/>
      <c r="U92" s="15"/>
      <c r="V92" s="15"/>
      <c r="W92" s="15"/>
      <c r="X92" s="15"/>
      <c r="Y92" s="15"/>
      <c r="Z92" s="15"/>
      <c r="AA92" s="15"/>
      <c r="AB92" s="15"/>
      <c r="AC92" s="15"/>
      <c r="AD92" s="15"/>
      <c r="AE92" s="15"/>
      <c r="AF92" s="15"/>
      <c r="AG92" s="15"/>
      <c r="AH92" s="15"/>
      <c r="AI92" s="15"/>
      <c r="AJ92" s="15"/>
      <c r="AK92" s="15"/>
      <c r="AL92" s="15"/>
      <c r="AM92" s="15"/>
      <c r="AN92" s="15"/>
    </row>
    <row r="93" spans="1:40">
      <c r="A93" s="15"/>
      <c r="B93" s="15"/>
      <c r="C93" s="26"/>
      <c r="D93" s="15"/>
      <c r="E93" s="15"/>
      <c r="F93" s="15"/>
      <c r="G93" s="15"/>
      <c r="H93" s="15"/>
      <c r="I93" s="26"/>
      <c r="J93" s="15"/>
      <c r="K93" s="26"/>
      <c r="L93" s="15"/>
      <c r="M93" s="26"/>
      <c r="N93" s="26"/>
      <c r="O93" s="26"/>
      <c r="P93" s="26"/>
      <c r="Q93" s="15"/>
      <c r="R93" s="15"/>
      <c r="S93" s="15"/>
      <c r="T93" s="15"/>
      <c r="U93" s="15"/>
      <c r="V93" s="15"/>
      <c r="W93" s="15"/>
      <c r="X93" s="15"/>
      <c r="Y93" s="15"/>
      <c r="Z93" s="15"/>
      <c r="AA93" s="15"/>
      <c r="AB93" s="15"/>
      <c r="AC93" s="15"/>
      <c r="AD93" s="15"/>
      <c r="AE93" s="15"/>
      <c r="AF93" s="15"/>
      <c r="AG93" s="15"/>
      <c r="AH93" s="15"/>
      <c r="AI93" s="15"/>
      <c r="AJ93" s="15"/>
      <c r="AK93" s="15"/>
      <c r="AL93" s="15"/>
      <c r="AM93" s="15"/>
      <c r="AN93" s="15"/>
    </row>
    <row r="94" spans="1:40">
      <c r="A94" s="15"/>
      <c r="B94" s="15"/>
      <c r="C94" s="26"/>
      <c r="D94" s="15"/>
      <c r="E94" s="15"/>
      <c r="F94" s="15"/>
      <c r="G94" s="15"/>
      <c r="H94" s="15"/>
      <c r="I94" s="26"/>
      <c r="J94" s="15"/>
      <c r="K94" s="26"/>
      <c r="L94" s="15"/>
      <c r="M94" s="26"/>
      <c r="N94" s="26"/>
      <c r="O94" s="26"/>
      <c r="P94" s="26"/>
      <c r="Q94" s="15"/>
      <c r="R94" s="15"/>
      <c r="S94" s="15"/>
      <c r="T94" s="15"/>
      <c r="U94" s="15"/>
      <c r="V94" s="15"/>
      <c r="W94" s="15"/>
      <c r="X94" s="15"/>
      <c r="Y94" s="15"/>
      <c r="Z94" s="15"/>
      <c r="AA94" s="15"/>
      <c r="AB94" s="15"/>
      <c r="AC94" s="15"/>
      <c r="AD94" s="15"/>
      <c r="AE94" s="15"/>
      <c r="AF94" s="15"/>
      <c r="AG94" s="15"/>
      <c r="AH94" s="15"/>
      <c r="AI94" s="15"/>
      <c r="AJ94" s="15"/>
      <c r="AK94" s="15"/>
      <c r="AL94" s="15"/>
      <c r="AM94" s="15"/>
      <c r="AN94" s="15"/>
    </row>
    <row r="95" spans="1:40">
      <c r="A95" s="15"/>
      <c r="B95" s="15"/>
      <c r="C95" s="26"/>
      <c r="D95" s="15"/>
      <c r="E95" s="15"/>
      <c r="F95" s="15"/>
      <c r="G95" s="15"/>
      <c r="H95" s="15"/>
      <c r="I95" s="26"/>
      <c r="J95" s="15"/>
      <c r="K95" s="26"/>
      <c r="L95" s="15"/>
      <c r="M95" s="26"/>
      <c r="N95" s="26"/>
      <c r="O95" s="26"/>
      <c r="P95" s="26"/>
      <c r="Q95" s="15"/>
      <c r="R95" s="15"/>
      <c r="S95" s="15"/>
      <c r="T95" s="15"/>
      <c r="U95" s="15"/>
      <c r="V95" s="15"/>
      <c r="W95" s="15"/>
      <c r="X95" s="15"/>
      <c r="Y95" s="15"/>
      <c r="Z95" s="15"/>
      <c r="AA95" s="15"/>
      <c r="AB95" s="15"/>
      <c r="AC95" s="15"/>
      <c r="AD95" s="15"/>
      <c r="AE95" s="15"/>
      <c r="AF95" s="15"/>
      <c r="AG95" s="15"/>
      <c r="AH95" s="15"/>
      <c r="AI95" s="15"/>
      <c r="AJ95" s="15"/>
      <c r="AK95" s="15"/>
      <c r="AL95" s="15"/>
      <c r="AM95" s="15"/>
      <c r="AN95" s="15"/>
    </row>
    <row r="96" spans="1:40">
      <c r="A96" s="15"/>
      <c r="B96" s="15"/>
      <c r="C96" s="26"/>
      <c r="D96" s="15"/>
      <c r="E96" s="15"/>
      <c r="F96" s="15"/>
      <c r="G96" s="15"/>
      <c r="H96" s="15"/>
      <c r="I96" s="26"/>
      <c r="J96" s="15"/>
      <c r="K96" s="26"/>
      <c r="L96" s="15"/>
      <c r="M96" s="26"/>
      <c r="N96" s="26"/>
      <c r="O96" s="26"/>
      <c r="P96" s="26"/>
      <c r="Q96" s="15"/>
      <c r="R96" s="15"/>
      <c r="S96" s="15"/>
      <c r="T96" s="15"/>
      <c r="U96" s="15"/>
      <c r="V96" s="15"/>
      <c r="W96" s="15"/>
      <c r="X96" s="15"/>
      <c r="Y96" s="15"/>
      <c r="Z96" s="15"/>
      <c r="AA96" s="15"/>
      <c r="AB96" s="15"/>
      <c r="AC96" s="15"/>
      <c r="AD96" s="15"/>
      <c r="AE96" s="15"/>
      <c r="AF96" s="15"/>
      <c r="AG96" s="15"/>
      <c r="AH96" s="15"/>
      <c r="AI96" s="15"/>
      <c r="AJ96" s="15"/>
      <c r="AK96" s="15"/>
      <c r="AL96" s="15"/>
      <c r="AM96" s="15"/>
      <c r="AN96" s="15"/>
    </row>
    <row r="97" spans="1:40">
      <c r="A97" s="15"/>
      <c r="B97" s="15"/>
      <c r="C97" s="26"/>
      <c r="D97" s="15"/>
      <c r="E97" s="15"/>
      <c r="F97" s="15"/>
      <c r="G97" s="15"/>
      <c r="H97" s="15"/>
      <c r="I97" s="26"/>
      <c r="J97" s="15"/>
      <c r="K97" s="26"/>
      <c r="L97" s="15"/>
      <c r="M97" s="26"/>
      <c r="N97" s="26"/>
      <c r="O97" s="26"/>
      <c r="P97" s="26"/>
      <c r="Q97" s="15"/>
      <c r="R97" s="15"/>
      <c r="S97" s="15"/>
      <c r="T97" s="15"/>
      <c r="U97" s="15"/>
      <c r="V97" s="15"/>
      <c r="W97" s="15"/>
      <c r="X97" s="15"/>
      <c r="Y97" s="15"/>
      <c r="Z97" s="15"/>
      <c r="AA97" s="15"/>
      <c r="AB97" s="15"/>
      <c r="AC97" s="15"/>
      <c r="AD97" s="15"/>
      <c r="AE97" s="15"/>
      <c r="AF97" s="15"/>
      <c r="AG97" s="15"/>
      <c r="AH97" s="15"/>
      <c r="AI97" s="15"/>
      <c r="AJ97" s="15"/>
      <c r="AK97" s="15"/>
      <c r="AL97" s="15"/>
      <c r="AM97" s="15"/>
      <c r="AN97" s="15"/>
    </row>
    <row r="98" spans="1:40">
      <c r="A98" s="15"/>
      <c r="B98" s="15"/>
      <c r="C98" s="26"/>
      <c r="D98" s="15"/>
      <c r="E98" s="15"/>
      <c r="F98" s="15"/>
      <c r="G98" s="15"/>
      <c r="H98" s="15"/>
      <c r="I98" s="26"/>
      <c r="J98" s="15"/>
      <c r="K98" s="26"/>
      <c r="L98" s="15"/>
      <c r="M98" s="26"/>
      <c r="N98" s="26"/>
      <c r="O98" s="26"/>
      <c r="P98" s="26"/>
      <c r="Q98" s="15"/>
      <c r="R98" s="15"/>
      <c r="S98" s="15"/>
      <c r="T98" s="15"/>
      <c r="U98" s="15"/>
      <c r="V98" s="15"/>
      <c r="W98" s="15"/>
      <c r="X98" s="15"/>
      <c r="Y98" s="15"/>
      <c r="Z98" s="15"/>
      <c r="AA98" s="15"/>
      <c r="AB98" s="15"/>
      <c r="AC98" s="15"/>
      <c r="AD98" s="15"/>
      <c r="AE98" s="15"/>
      <c r="AF98" s="15"/>
      <c r="AG98" s="15"/>
      <c r="AH98" s="15"/>
      <c r="AI98" s="15"/>
      <c r="AJ98" s="15"/>
      <c r="AK98" s="15"/>
      <c r="AL98" s="15"/>
      <c r="AM98" s="15"/>
      <c r="AN98" s="15"/>
    </row>
    <row r="99" spans="1:40">
      <c r="A99" s="15"/>
      <c r="B99" s="15"/>
      <c r="C99" s="26"/>
      <c r="D99" s="15"/>
      <c r="E99" s="15"/>
      <c r="F99" s="15"/>
      <c r="G99" s="15"/>
      <c r="H99" s="15"/>
      <c r="I99" s="26"/>
      <c r="J99" s="15"/>
      <c r="K99" s="26"/>
      <c r="L99" s="15"/>
      <c r="M99" s="26"/>
      <c r="N99" s="26"/>
      <c r="O99" s="26"/>
      <c r="P99" s="26"/>
      <c r="Q99" s="15"/>
      <c r="R99" s="15"/>
      <c r="S99" s="15"/>
      <c r="T99" s="15"/>
      <c r="U99" s="15"/>
      <c r="V99" s="15"/>
      <c r="W99" s="15"/>
      <c r="X99" s="15"/>
      <c r="Y99" s="15"/>
      <c r="Z99" s="15"/>
      <c r="AA99" s="15"/>
      <c r="AB99" s="15"/>
      <c r="AC99" s="15"/>
      <c r="AD99" s="15"/>
      <c r="AE99" s="15"/>
      <c r="AF99" s="15"/>
      <c r="AG99" s="15"/>
      <c r="AH99" s="15"/>
      <c r="AI99" s="15"/>
      <c r="AJ99" s="15"/>
      <c r="AK99" s="15"/>
      <c r="AL99" s="15"/>
      <c r="AM99" s="15"/>
      <c r="AN99" s="15"/>
    </row>
    <row r="100" spans="1:40">
      <c r="A100" s="15"/>
      <c r="B100" s="15"/>
      <c r="C100" s="26"/>
      <c r="D100" s="15"/>
      <c r="E100" s="15"/>
      <c r="F100" s="15"/>
      <c r="G100" s="15"/>
      <c r="H100" s="15"/>
      <c r="I100" s="26"/>
      <c r="J100" s="15"/>
      <c r="K100" s="26"/>
      <c r="L100" s="15"/>
      <c r="M100" s="26"/>
      <c r="N100" s="26"/>
      <c r="O100" s="26"/>
      <c r="P100" s="26"/>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row>
    <row r="101" spans="1:40">
      <c r="A101" s="15"/>
      <c r="B101" s="15"/>
      <c r="C101" s="26"/>
      <c r="D101" s="15"/>
      <c r="E101" s="15"/>
      <c r="F101" s="15"/>
      <c r="G101" s="15"/>
      <c r="H101" s="15"/>
      <c r="I101" s="26"/>
      <c r="J101" s="15"/>
      <c r="K101" s="26"/>
      <c r="L101" s="15"/>
      <c r="M101" s="26"/>
      <c r="N101" s="26"/>
      <c r="O101" s="26"/>
      <c r="P101" s="26"/>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row>
    <row r="102" spans="1:40">
      <c r="A102" s="15"/>
      <c r="B102" s="15"/>
      <c r="C102" s="26"/>
      <c r="D102" s="15"/>
      <c r="E102" s="15"/>
      <c r="F102" s="15"/>
      <c r="G102" s="15"/>
      <c r="H102" s="15"/>
      <c r="I102" s="26"/>
      <c r="J102" s="15"/>
      <c r="K102" s="26"/>
      <c r="L102" s="15"/>
      <c r="M102" s="26"/>
      <c r="N102" s="26"/>
      <c r="O102" s="26"/>
      <c r="P102" s="26"/>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row>
    <row r="103" spans="1:40">
      <c r="A103" s="15"/>
      <c r="B103" s="15"/>
      <c r="C103" s="26"/>
      <c r="D103" s="15"/>
      <c r="E103" s="15"/>
      <c r="F103" s="15"/>
      <c r="G103" s="15"/>
      <c r="H103" s="15"/>
      <c r="I103" s="26"/>
      <c r="J103" s="15"/>
      <c r="K103" s="26"/>
      <c r="L103" s="15"/>
      <c r="M103" s="26"/>
      <c r="N103" s="26"/>
      <c r="O103" s="26"/>
      <c r="P103" s="26"/>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row>
    <row r="104" spans="1:40">
      <c r="A104" s="15"/>
      <c r="B104" s="15"/>
      <c r="C104" s="26"/>
      <c r="D104" s="15"/>
      <c r="E104" s="15"/>
      <c r="F104" s="15"/>
      <c r="G104" s="15"/>
      <c r="H104" s="15"/>
      <c r="I104" s="26"/>
      <c r="J104" s="15"/>
      <c r="K104" s="26"/>
      <c r="L104" s="15"/>
      <c r="M104" s="26"/>
      <c r="N104" s="26"/>
      <c r="O104" s="26"/>
      <c r="P104" s="26"/>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row>
    <row r="105" spans="1:40">
      <c r="A105" s="15"/>
      <c r="B105" s="15"/>
      <c r="C105" s="26"/>
      <c r="D105" s="15"/>
      <c r="E105" s="15"/>
      <c r="F105" s="15"/>
      <c r="G105" s="15"/>
      <c r="H105" s="15"/>
      <c r="I105" s="26"/>
      <c r="J105" s="15"/>
      <c r="K105" s="26"/>
      <c r="L105" s="15"/>
      <c r="M105" s="26"/>
      <c r="N105" s="26"/>
      <c r="O105" s="26"/>
      <c r="P105" s="26"/>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row>
    <row r="106" spans="1:40">
      <c r="A106" s="15"/>
      <c r="B106" s="15"/>
      <c r="C106" s="26"/>
      <c r="D106" s="15"/>
      <c r="E106" s="15"/>
      <c r="F106" s="15"/>
      <c r="G106" s="15"/>
      <c r="H106" s="15"/>
      <c r="I106" s="26"/>
      <c r="J106" s="15"/>
      <c r="K106" s="26"/>
      <c r="L106" s="15"/>
      <c r="M106" s="26"/>
      <c r="N106" s="26"/>
      <c r="O106" s="26"/>
      <c r="P106" s="26"/>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row>
    <row r="107" spans="1:40">
      <c r="A107" s="15"/>
      <c r="B107" s="15"/>
      <c r="C107" s="26"/>
      <c r="D107" s="15"/>
      <c r="E107" s="15"/>
      <c r="F107" s="15"/>
      <c r="G107" s="15"/>
      <c r="H107" s="15"/>
      <c r="I107" s="26"/>
      <c r="J107" s="15"/>
      <c r="K107" s="26"/>
      <c r="L107" s="15"/>
      <c r="M107" s="26"/>
      <c r="N107" s="26"/>
      <c r="O107" s="26"/>
      <c r="P107" s="26"/>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row>
    <row r="108" spans="1:40">
      <c r="A108" s="15"/>
      <c r="B108" s="15"/>
      <c r="C108" s="26"/>
      <c r="D108" s="15"/>
      <c r="E108" s="15"/>
      <c r="F108" s="15"/>
      <c r="G108" s="15"/>
      <c r="H108" s="15"/>
      <c r="I108" s="26"/>
      <c r="J108" s="15"/>
      <c r="K108" s="26"/>
      <c r="L108" s="15"/>
      <c r="M108" s="26"/>
      <c r="N108" s="26"/>
      <c r="O108" s="26"/>
      <c r="P108" s="26"/>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row>
    <row r="109" spans="1:40">
      <c r="A109" s="15"/>
      <c r="B109" s="15"/>
      <c r="C109" s="26"/>
      <c r="D109" s="15"/>
      <c r="E109" s="15"/>
      <c r="F109" s="15"/>
      <c r="G109" s="15"/>
      <c r="H109" s="15"/>
      <c r="I109" s="26"/>
      <c r="J109" s="15"/>
      <c r="K109" s="26"/>
      <c r="L109" s="15"/>
      <c r="M109" s="26"/>
      <c r="N109" s="26"/>
      <c r="O109" s="26"/>
      <c r="P109" s="26"/>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row>
    <row r="110" spans="1:40">
      <c r="A110" s="15"/>
      <c r="B110" s="15"/>
      <c r="C110" s="26"/>
      <c r="D110" s="15"/>
      <c r="E110" s="15"/>
      <c r="F110" s="15"/>
      <c r="G110" s="15"/>
      <c r="H110" s="15"/>
      <c r="I110" s="26"/>
      <c r="J110" s="15"/>
      <c r="K110" s="26"/>
      <c r="L110" s="15"/>
      <c r="M110" s="26"/>
      <c r="N110" s="26"/>
      <c r="O110" s="26"/>
      <c r="P110" s="26"/>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row>
    <row r="111" spans="1:40">
      <c r="A111" s="15"/>
      <c r="B111" s="15"/>
      <c r="C111" s="26"/>
      <c r="D111" s="15"/>
      <c r="E111" s="15"/>
      <c r="F111" s="15"/>
      <c r="G111" s="15"/>
      <c r="H111" s="15"/>
      <c r="I111" s="26"/>
      <c r="J111" s="15"/>
      <c r="K111" s="26"/>
      <c r="L111" s="15"/>
      <c r="M111" s="26"/>
      <c r="N111" s="26"/>
      <c r="O111" s="26"/>
      <c r="P111" s="26"/>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row>
    <row r="112" spans="1:40">
      <c r="A112" s="15"/>
      <c r="B112" s="15"/>
      <c r="C112" s="26"/>
      <c r="D112" s="15"/>
      <c r="E112" s="15"/>
      <c r="F112" s="15"/>
      <c r="G112" s="15"/>
      <c r="H112" s="15"/>
      <c r="I112" s="26"/>
      <c r="J112" s="15"/>
      <c r="K112" s="26"/>
      <c r="L112" s="15"/>
      <c r="M112" s="26"/>
      <c r="N112" s="26"/>
      <c r="O112" s="26"/>
      <c r="P112" s="26"/>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row>
    <row r="113" spans="1:40">
      <c r="A113" s="15"/>
      <c r="B113" s="15"/>
      <c r="C113" s="26"/>
      <c r="D113" s="15"/>
      <c r="E113" s="15"/>
      <c r="F113" s="15"/>
      <c r="G113" s="15"/>
      <c r="H113" s="15"/>
      <c r="I113" s="26"/>
      <c r="J113" s="15"/>
      <c r="K113" s="26"/>
      <c r="L113" s="15"/>
      <c r="M113" s="26"/>
      <c r="N113" s="26"/>
      <c r="O113" s="26"/>
      <c r="P113" s="26"/>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row>
    <row r="114" spans="1:40">
      <c r="A114" s="15"/>
      <c r="B114" s="15"/>
      <c r="C114" s="26"/>
      <c r="D114" s="15"/>
      <c r="E114" s="15"/>
      <c r="F114" s="15"/>
      <c r="G114" s="15"/>
      <c r="H114" s="15"/>
      <c r="I114" s="26"/>
      <c r="J114" s="15"/>
      <c r="K114" s="26"/>
      <c r="L114" s="15"/>
      <c r="M114" s="26"/>
      <c r="N114" s="26"/>
      <c r="O114" s="26"/>
      <c r="P114" s="26"/>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row>
    <row r="115" spans="1:40">
      <c r="A115" s="15"/>
      <c r="B115" s="15"/>
      <c r="C115" s="26"/>
      <c r="D115" s="15"/>
      <c r="E115" s="15"/>
      <c r="F115" s="15"/>
      <c r="G115" s="15"/>
      <c r="H115" s="15"/>
      <c r="I115" s="26"/>
      <c r="J115" s="15"/>
      <c r="K115" s="26"/>
      <c r="L115" s="15"/>
      <c r="M115" s="26"/>
      <c r="N115" s="26"/>
      <c r="O115" s="26"/>
      <c r="P115" s="26"/>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row>
    <row r="116" spans="1:40">
      <c r="A116" s="15"/>
      <c r="B116" s="15"/>
      <c r="C116" s="26"/>
      <c r="D116" s="15"/>
      <c r="E116" s="15"/>
      <c r="F116" s="15"/>
      <c r="G116" s="15"/>
      <c r="H116" s="15"/>
      <c r="I116" s="26"/>
      <c r="J116" s="15"/>
      <c r="K116" s="26"/>
      <c r="L116" s="15"/>
      <c r="M116" s="26"/>
      <c r="N116" s="26"/>
      <c r="O116" s="26"/>
      <c r="P116" s="26"/>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row>
    <row r="117" spans="1:40">
      <c r="A117" s="15"/>
      <c r="B117" s="15"/>
      <c r="C117" s="26"/>
      <c r="D117" s="15"/>
      <c r="E117" s="15"/>
      <c r="F117" s="15"/>
      <c r="G117" s="15"/>
      <c r="H117" s="15"/>
      <c r="I117" s="26"/>
      <c r="J117" s="15"/>
      <c r="K117" s="26"/>
      <c r="L117" s="15"/>
      <c r="M117" s="26"/>
      <c r="N117" s="26"/>
      <c r="O117" s="26"/>
      <c r="P117" s="26"/>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row>
    <row r="118" spans="1:40">
      <c r="A118" s="15"/>
      <c r="B118" s="15"/>
      <c r="C118" s="26"/>
      <c r="D118" s="15"/>
      <c r="E118" s="15"/>
      <c r="F118" s="15"/>
      <c r="G118" s="15"/>
      <c r="H118" s="15"/>
      <c r="I118" s="26"/>
      <c r="J118" s="15"/>
      <c r="K118" s="26"/>
      <c r="L118" s="15"/>
      <c r="M118" s="26"/>
      <c r="N118" s="26"/>
      <c r="O118" s="26"/>
      <c r="P118" s="26"/>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row>
    <row r="119" spans="1:40">
      <c r="A119" s="15"/>
      <c r="B119" s="15"/>
      <c r="C119" s="26"/>
      <c r="D119" s="15"/>
      <c r="E119" s="15"/>
      <c r="F119" s="15"/>
      <c r="G119" s="15"/>
      <c r="H119" s="15"/>
      <c r="I119" s="26"/>
      <c r="J119" s="15"/>
      <c r="K119" s="26"/>
      <c r="L119" s="15"/>
      <c r="M119" s="26"/>
      <c r="N119" s="26"/>
      <c r="O119" s="26"/>
      <c r="P119" s="26"/>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row>
    <row r="120" spans="1:40">
      <c r="A120" s="15"/>
      <c r="B120" s="15"/>
      <c r="C120" s="26"/>
      <c r="D120" s="15"/>
      <c r="E120" s="15"/>
      <c r="F120" s="15"/>
      <c r="G120" s="15"/>
      <c r="H120" s="15"/>
      <c r="I120" s="26"/>
      <c r="J120" s="15"/>
      <c r="K120" s="26"/>
      <c r="L120" s="15"/>
      <c r="M120" s="26"/>
      <c r="N120" s="26"/>
      <c r="O120" s="26"/>
      <c r="P120" s="26"/>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row>
    <row r="121" spans="1:40">
      <c r="A121" s="15"/>
      <c r="B121" s="15"/>
      <c r="C121" s="26"/>
      <c r="D121" s="15"/>
      <c r="E121" s="15"/>
      <c r="F121" s="15"/>
      <c r="G121" s="15"/>
      <c r="H121" s="15"/>
      <c r="I121" s="26"/>
      <c r="J121" s="15"/>
      <c r="K121" s="26"/>
      <c r="L121" s="15"/>
      <c r="M121" s="26"/>
      <c r="N121" s="26"/>
      <c r="O121" s="26"/>
      <c r="P121" s="26"/>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row>
    <row r="122" spans="1:40">
      <c r="A122" s="15"/>
      <c r="B122" s="15"/>
      <c r="C122" s="26"/>
      <c r="D122" s="15"/>
      <c r="E122" s="15"/>
      <c r="F122" s="15"/>
      <c r="G122" s="15"/>
      <c r="H122" s="15"/>
      <c r="I122" s="26"/>
      <c r="J122" s="15"/>
      <c r="K122" s="26"/>
      <c r="L122" s="15"/>
      <c r="M122" s="26"/>
      <c r="N122" s="26"/>
      <c r="O122" s="26"/>
      <c r="P122" s="26"/>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row>
    <row r="123" spans="1:40">
      <c r="A123" s="15"/>
      <c r="B123" s="15"/>
      <c r="C123" s="26"/>
      <c r="D123" s="15"/>
      <c r="E123" s="15"/>
      <c r="F123" s="15"/>
      <c r="G123" s="15"/>
      <c r="H123" s="15"/>
      <c r="I123" s="26"/>
      <c r="J123" s="15"/>
      <c r="K123" s="26"/>
      <c r="L123" s="15"/>
      <c r="M123" s="26"/>
      <c r="N123" s="26"/>
      <c r="O123" s="26"/>
      <c r="P123" s="26"/>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row>
    <row r="124" spans="1:40">
      <c r="A124" s="15"/>
      <c r="B124" s="15"/>
      <c r="C124" s="26"/>
      <c r="D124" s="15"/>
      <c r="E124" s="15"/>
      <c r="F124" s="15"/>
      <c r="G124" s="15"/>
      <c r="H124" s="15"/>
      <c r="I124" s="26"/>
      <c r="J124" s="15"/>
      <c r="K124" s="26"/>
      <c r="L124" s="15"/>
      <c r="M124" s="26"/>
      <c r="N124" s="26"/>
      <c r="O124" s="26"/>
      <c r="P124" s="26"/>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row>
    <row r="125" spans="1:40">
      <c r="A125" s="15"/>
      <c r="B125" s="15"/>
      <c r="C125" s="26"/>
      <c r="D125" s="15"/>
      <c r="E125" s="15"/>
      <c r="F125" s="15"/>
      <c r="G125" s="15"/>
      <c r="H125" s="15"/>
      <c r="I125" s="26"/>
      <c r="J125" s="15"/>
      <c r="K125" s="26"/>
      <c r="L125" s="15"/>
      <c r="M125" s="26"/>
      <c r="N125" s="26"/>
      <c r="O125" s="26"/>
      <c r="P125" s="26"/>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row>
    <row r="126" spans="1:40">
      <c r="A126" s="15"/>
      <c r="B126" s="15"/>
      <c r="C126" s="26"/>
      <c r="D126" s="15"/>
      <c r="E126" s="15"/>
      <c r="F126" s="15"/>
      <c r="G126" s="15"/>
      <c r="H126" s="15"/>
      <c r="I126" s="26"/>
      <c r="J126" s="15"/>
      <c r="K126" s="26"/>
      <c r="L126" s="15"/>
      <c r="M126" s="26"/>
      <c r="N126" s="26"/>
      <c r="O126" s="26"/>
      <c r="P126" s="26"/>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row>
    <row r="127" spans="1:40">
      <c r="A127" s="15"/>
      <c r="B127" s="15"/>
      <c r="C127" s="26"/>
      <c r="D127" s="15"/>
      <c r="E127" s="15"/>
      <c r="F127" s="15"/>
      <c r="G127" s="15"/>
      <c r="H127" s="15"/>
      <c r="I127" s="26"/>
      <c r="J127" s="15"/>
      <c r="K127" s="26"/>
      <c r="L127" s="15"/>
      <c r="M127" s="26"/>
      <c r="N127" s="26"/>
      <c r="O127" s="26"/>
      <c r="P127" s="26"/>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row>
    <row r="128" spans="1:40">
      <c r="A128" s="15"/>
      <c r="B128" s="15"/>
      <c r="C128" s="26"/>
      <c r="D128" s="15"/>
      <c r="E128" s="15"/>
      <c r="F128" s="15"/>
      <c r="G128" s="15"/>
      <c r="H128" s="15"/>
      <c r="I128" s="26"/>
      <c r="J128" s="15"/>
      <c r="K128" s="26"/>
      <c r="L128" s="15"/>
      <c r="M128" s="26"/>
      <c r="N128" s="26"/>
      <c r="O128" s="26"/>
      <c r="P128" s="26"/>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row>
    <row r="129" spans="1:40">
      <c r="A129" s="15"/>
      <c r="B129" s="15"/>
      <c r="C129" s="26"/>
      <c r="D129" s="15"/>
      <c r="E129" s="15"/>
      <c r="F129" s="15"/>
      <c r="G129" s="15"/>
      <c r="H129" s="15"/>
      <c r="I129" s="26"/>
      <c r="J129" s="15"/>
      <c r="K129" s="26"/>
      <c r="L129" s="15"/>
      <c r="M129" s="26"/>
      <c r="N129" s="26"/>
      <c r="O129" s="26"/>
      <c r="P129" s="26"/>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row>
    <row r="130" spans="1:40">
      <c r="A130" s="15"/>
      <c r="B130" s="15"/>
      <c r="C130" s="26"/>
      <c r="D130" s="15"/>
      <c r="E130" s="15"/>
      <c r="F130" s="15"/>
      <c r="G130" s="15"/>
      <c r="H130" s="15"/>
      <c r="I130" s="26"/>
      <c r="J130" s="15"/>
      <c r="K130" s="26"/>
      <c r="L130" s="15"/>
      <c r="M130" s="26"/>
      <c r="N130" s="26"/>
      <c r="O130" s="26"/>
      <c r="P130" s="26"/>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row>
    <row r="131" spans="1:40">
      <c r="A131" s="15"/>
      <c r="B131" s="15"/>
      <c r="C131" s="26"/>
      <c r="D131" s="15"/>
      <c r="E131" s="15"/>
      <c r="F131" s="15"/>
      <c r="G131" s="15"/>
      <c r="H131" s="15"/>
      <c r="I131" s="26"/>
      <c r="J131" s="15"/>
      <c r="K131" s="26"/>
      <c r="L131" s="15"/>
      <c r="M131" s="26"/>
      <c r="N131" s="26"/>
      <c r="O131" s="26"/>
      <c r="P131" s="26"/>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row>
    <row r="132" spans="1:40">
      <c r="A132" s="15"/>
      <c r="B132" s="15"/>
      <c r="C132" s="26"/>
      <c r="D132" s="15"/>
      <c r="E132" s="15"/>
      <c r="F132" s="15"/>
      <c r="G132" s="15"/>
      <c r="H132" s="15"/>
      <c r="I132" s="26"/>
      <c r="J132" s="15"/>
      <c r="K132" s="26"/>
      <c r="L132" s="15"/>
      <c r="M132" s="26"/>
      <c r="N132" s="26"/>
      <c r="O132" s="26"/>
      <c r="P132" s="26"/>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row>
    <row r="133" spans="1:40">
      <c r="A133" s="15"/>
      <c r="B133" s="15"/>
      <c r="C133" s="26"/>
      <c r="D133" s="15"/>
      <c r="E133" s="15"/>
      <c r="F133" s="15"/>
      <c r="G133" s="15"/>
      <c r="H133" s="15"/>
      <c r="I133" s="26"/>
      <c r="J133" s="15"/>
      <c r="K133" s="26"/>
      <c r="L133" s="15"/>
      <c r="M133" s="26"/>
      <c r="N133" s="26"/>
      <c r="O133" s="26"/>
      <c r="P133" s="26"/>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row>
    <row r="134" spans="1:40">
      <c r="A134" s="15"/>
      <c r="B134" s="15"/>
      <c r="C134" s="26"/>
      <c r="D134" s="15"/>
      <c r="E134" s="15"/>
      <c r="F134" s="15"/>
      <c r="G134" s="15"/>
      <c r="H134" s="15"/>
      <c r="I134" s="26"/>
      <c r="J134" s="15"/>
      <c r="K134" s="26"/>
      <c r="L134" s="15"/>
      <c r="M134" s="26"/>
      <c r="N134" s="26"/>
      <c r="O134" s="26"/>
      <c r="P134" s="26"/>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row>
    <row r="135" spans="1:40">
      <c r="A135" s="15"/>
      <c r="B135" s="15"/>
      <c r="C135" s="26"/>
      <c r="D135" s="15"/>
      <c r="E135" s="15"/>
      <c r="F135" s="15"/>
      <c r="G135" s="15"/>
      <c r="H135" s="15"/>
      <c r="I135" s="26"/>
      <c r="J135" s="15"/>
      <c r="K135" s="26"/>
      <c r="L135" s="15"/>
      <c r="M135" s="26"/>
      <c r="N135" s="26"/>
      <c r="O135" s="26"/>
      <c r="P135" s="26"/>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row>
    <row r="136" spans="1:40">
      <c r="A136" s="15"/>
      <c r="B136" s="15"/>
      <c r="C136" s="26"/>
      <c r="D136" s="15"/>
      <c r="E136" s="15"/>
      <c r="F136" s="15"/>
      <c r="G136" s="15"/>
      <c r="H136" s="15"/>
      <c r="I136" s="26"/>
      <c r="J136" s="15"/>
      <c r="K136" s="26"/>
      <c r="L136" s="15"/>
      <c r="M136" s="26"/>
      <c r="N136" s="26"/>
      <c r="O136" s="26"/>
      <c r="P136" s="26"/>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row>
    <row r="137" spans="1:40">
      <c r="A137" s="15"/>
      <c r="B137" s="15"/>
      <c r="C137" s="26"/>
      <c r="D137" s="15"/>
      <c r="E137" s="15"/>
      <c r="F137" s="15"/>
      <c r="G137" s="15"/>
      <c r="H137" s="15"/>
      <c r="I137" s="26"/>
      <c r="J137" s="15"/>
      <c r="K137" s="26"/>
      <c r="L137" s="15"/>
      <c r="M137" s="26"/>
      <c r="N137" s="26"/>
      <c r="O137" s="26"/>
      <c r="P137" s="26"/>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row>
    <row r="138" spans="1:40">
      <c r="A138" s="15"/>
      <c r="B138" s="15"/>
      <c r="C138" s="26"/>
      <c r="D138" s="15"/>
      <c r="E138" s="15"/>
      <c r="F138" s="15"/>
      <c r="G138" s="15"/>
      <c r="H138" s="15"/>
      <c r="I138" s="26"/>
      <c r="J138" s="15"/>
      <c r="K138" s="26"/>
      <c r="L138" s="15"/>
      <c r="M138" s="26"/>
      <c r="N138" s="26"/>
      <c r="O138" s="26"/>
      <c r="P138" s="26"/>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row>
    <row r="139" spans="1:40">
      <c r="A139" s="15"/>
      <c r="B139" s="15"/>
      <c r="C139" s="26"/>
      <c r="D139" s="15"/>
      <c r="E139" s="15"/>
      <c r="F139" s="15"/>
      <c r="G139" s="15"/>
      <c r="H139" s="15"/>
      <c r="I139" s="26"/>
      <c r="J139" s="15"/>
      <c r="K139" s="26"/>
      <c r="L139" s="15"/>
      <c r="M139" s="26"/>
      <c r="N139" s="26"/>
      <c r="O139" s="26"/>
      <c r="P139" s="26"/>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row>
    <row r="140" spans="1:40">
      <c r="A140" s="15"/>
      <c r="B140" s="15"/>
      <c r="C140" s="26"/>
      <c r="D140" s="15"/>
      <c r="E140" s="15"/>
      <c r="F140" s="15"/>
      <c r="G140" s="15"/>
      <c r="H140" s="15"/>
      <c r="I140" s="26"/>
      <c r="J140" s="15"/>
      <c r="K140" s="26"/>
      <c r="L140" s="15"/>
      <c r="M140" s="26"/>
      <c r="N140" s="26"/>
      <c r="O140" s="26"/>
      <c r="P140" s="26"/>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row>
    <row r="141" spans="1:40">
      <c r="A141" s="15"/>
      <c r="B141" s="15"/>
      <c r="C141" s="26"/>
      <c r="D141" s="15"/>
      <c r="E141" s="15"/>
      <c r="F141" s="15"/>
      <c r="G141" s="15"/>
      <c r="H141" s="15"/>
      <c r="I141" s="26"/>
      <c r="J141" s="15"/>
      <c r="K141" s="26"/>
      <c r="L141" s="15"/>
      <c r="M141" s="26"/>
      <c r="N141" s="26"/>
      <c r="O141" s="26"/>
      <c r="P141" s="26"/>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row>
    <row r="142" spans="1:40">
      <c r="A142" s="15"/>
      <c r="B142" s="15"/>
      <c r="C142" s="26"/>
      <c r="D142" s="15"/>
      <c r="E142" s="15"/>
      <c r="F142" s="15"/>
      <c r="G142" s="15"/>
      <c r="H142" s="15"/>
      <c r="I142" s="26"/>
      <c r="J142" s="15"/>
      <c r="K142" s="26"/>
      <c r="L142" s="15"/>
      <c r="M142" s="26"/>
      <c r="N142" s="26"/>
      <c r="O142" s="26"/>
      <c r="P142" s="26"/>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row>
    <row r="143" spans="1:40">
      <c r="A143" s="15"/>
      <c r="B143" s="15"/>
      <c r="C143" s="26"/>
      <c r="D143" s="15"/>
      <c r="E143" s="15"/>
      <c r="F143" s="15"/>
      <c r="G143" s="15"/>
      <c r="H143" s="15"/>
      <c r="I143" s="26"/>
      <c r="J143" s="15"/>
      <c r="K143" s="26"/>
      <c r="L143" s="15"/>
      <c r="M143" s="26"/>
      <c r="N143" s="26"/>
      <c r="O143" s="26"/>
      <c r="P143" s="26"/>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row>
    <row r="144" spans="1:40">
      <c r="A144" s="15"/>
      <c r="B144" s="15"/>
      <c r="C144" s="26"/>
      <c r="D144" s="15"/>
      <c r="E144" s="15"/>
      <c r="F144" s="15"/>
      <c r="G144" s="15"/>
      <c r="H144" s="15"/>
      <c r="I144" s="26"/>
      <c r="J144" s="15"/>
      <c r="K144" s="26"/>
      <c r="L144" s="15"/>
      <c r="M144" s="26"/>
      <c r="N144" s="26"/>
      <c r="O144" s="26"/>
      <c r="P144" s="26"/>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row>
    <row r="145" spans="1:40">
      <c r="A145" s="15"/>
      <c r="B145" s="15"/>
      <c r="C145" s="26"/>
      <c r="D145" s="15"/>
      <c r="E145" s="15"/>
      <c r="F145" s="15"/>
      <c r="G145" s="15"/>
      <c r="H145" s="15"/>
      <c r="I145" s="26"/>
      <c r="J145" s="15"/>
      <c r="K145" s="26"/>
      <c r="L145" s="15"/>
      <c r="M145" s="26"/>
      <c r="N145" s="26"/>
      <c r="O145" s="26"/>
      <c r="P145" s="26"/>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row>
    <row r="146" spans="1:40">
      <c r="A146" s="15"/>
      <c r="B146" s="15"/>
      <c r="C146" s="26"/>
      <c r="D146" s="15"/>
      <c r="E146" s="15"/>
      <c r="F146" s="15"/>
      <c r="G146" s="15"/>
      <c r="H146" s="15"/>
      <c r="I146" s="26"/>
      <c r="J146" s="15"/>
      <c r="K146" s="26"/>
      <c r="L146" s="15"/>
      <c r="M146" s="26"/>
      <c r="N146" s="26"/>
      <c r="O146" s="26"/>
      <c r="P146" s="26"/>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row>
    <row r="147" spans="1:40">
      <c r="A147" s="15"/>
      <c r="B147" s="15"/>
      <c r="C147" s="26"/>
      <c r="D147" s="15"/>
      <c r="E147" s="15"/>
      <c r="F147" s="15"/>
      <c r="G147" s="15"/>
      <c r="H147" s="15"/>
      <c r="I147" s="26"/>
      <c r="J147" s="15"/>
      <c r="K147" s="26"/>
      <c r="L147" s="15"/>
      <c r="M147" s="26"/>
      <c r="N147" s="26"/>
      <c r="O147" s="26"/>
      <c r="P147" s="26"/>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row>
    <row r="148" spans="1:40">
      <c r="A148" s="15"/>
      <c r="B148" s="15"/>
      <c r="C148" s="26"/>
      <c r="D148" s="15"/>
      <c r="E148" s="15"/>
      <c r="F148" s="15"/>
      <c r="G148" s="15"/>
      <c r="H148" s="15"/>
      <c r="I148" s="26"/>
      <c r="J148" s="15"/>
      <c r="K148" s="26"/>
      <c r="L148" s="15"/>
      <c r="M148" s="26"/>
      <c r="N148" s="26"/>
      <c r="O148" s="26"/>
      <c r="P148" s="26"/>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row>
    <row r="149" spans="1:40">
      <c r="A149" s="15"/>
      <c r="B149" s="15"/>
      <c r="C149" s="26"/>
      <c r="D149" s="15"/>
      <c r="E149" s="15"/>
      <c r="F149" s="15"/>
      <c r="G149" s="15"/>
      <c r="H149" s="15"/>
      <c r="I149" s="26"/>
      <c r="J149" s="15"/>
      <c r="K149" s="26"/>
      <c r="L149" s="15"/>
      <c r="M149" s="26"/>
      <c r="N149" s="26"/>
      <c r="O149" s="26"/>
      <c r="P149" s="26"/>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row>
    <row r="150" spans="1:40">
      <c r="A150" s="15"/>
      <c r="B150" s="15"/>
      <c r="C150" s="26"/>
      <c r="D150" s="15"/>
      <c r="E150" s="15"/>
      <c r="F150" s="15"/>
      <c r="G150" s="15"/>
      <c r="H150" s="15"/>
      <c r="I150" s="26"/>
      <c r="J150" s="15"/>
      <c r="K150" s="26"/>
      <c r="L150" s="15"/>
      <c r="M150" s="26"/>
      <c r="N150" s="26"/>
      <c r="O150" s="26"/>
      <c r="P150" s="26"/>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row>
    <row r="151" spans="1:40">
      <c r="A151" s="15"/>
      <c r="B151" s="15"/>
      <c r="C151" s="26"/>
      <c r="D151" s="15"/>
      <c r="E151" s="15"/>
      <c r="F151" s="15"/>
      <c r="G151" s="15"/>
      <c r="H151" s="15"/>
      <c r="I151" s="26"/>
      <c r="J151" s="15"/>
      <c r="K151" s="26"/>
      <c r="L151" s="15"/>
      <c r="M151" s="26"/>
      <c r="N151" s="26"/>
      <c r="O151" s="26"/>
      <c r="P151" s="26"/>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row>
    <row r="152" spans="1:40">
      <c r="A152" s="15"/>
      <c r="B152" s="15"/>
      <c r="C152" s="26"/>
      <c r="D152" s="15"/>
      <c r="E152" s="15"/>
      <c r="F152" s="15"/>
      <c r="G152" s="15"/>
      <c r="H152" s="15"/>
      <c r="I152" s="26"/>
      <c r="J152" s="15"/>
      <c r="K152" s="26"/>
      <c r="L152" s="15"/>
      <c r="M152" s="26"/>
      <c r="N152" s="26"/>
      <c r="O152" s="26"/>
      <c r="P152" s="26"/>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row>
    <row r="153" spans="1:40">
      <c r="A153" s="15"/>
      <c r="B153" s="15"/>
      <c r="C153" s="26"/>
      <c r="D153" s="15"/>
      <c r="E153" s="15"/>
      <c r="F153" s="15"/>
      <c r="G153" s="15"/>
      <c r="H153" s="15"/>
      <c r="I153" s="26"/>
      <c r="J153" s="15"/>
      <c r="K153" s="26"/>
      <c r="L153" s="15"/>
      <c r="M153" s="26"/>
      <c r="N153" s="26"/>
      <c r="O153" s="26"/>
      <c r="P153" s="26"/>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row>
    <row r="154" spans="1:40">
      <c r="A154" s="15"/>
      <c r="B154" s="15"/>
      <c r="C154" s="26"/>
      <c r="D154" s="15"/>
      <c r="E154" s="15"/>
      <c r="F154" s="15"/>
      <c r="G154" s="15"/>
      <c r="H154" s="15"/>
      <c r="I154" s="26"/>
      <c r="J154" s="15"/>
      <c r="K154" s="26"/>
      <c r="L154" s="15"/>
      <c r="M154" s="26"/>
      <c r="N154" s="26"/>
      <c r="O154" s="26"/>
      <c r="P154" s="26"/>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row>
    <row r="155" spans="1:40">
      <c r="A155" s="15"/>
      <c r="B155" s="15"/>
      <c r="C155" s="26"/>
      <c r="D155" s="15"/>
      <c r="E155" s="15"/>
      <c r="F155" s="15"/>
      <c r="G155" s="15"/>
      <c r="H155" s="15"/>
      <c r="I155" s="26"/>
      <c r="J155" s="15"/>
      <c r="K155" s="26"/>
      <c r="L155" s="15"/>
      <c r="M155" s="26"/>
      <c r="N155" s="26"/>
      <c r="O155" s="26"/>
      <c r="P155" s="26"/>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row>
    <row r="156" spans="1:40">
      <c r="A156" s="15"/>
      <c r="B156" s="15"/>
      <c r="C156" s="26"/>
      <c r="D156" s="15"/>
      <c r="E156" s="15"/>
      <c r="F156" s="15"/>
      <c r="G156" s="15"/>
      <c r="H156" s="15"/>
      <c r="I156" s="26"/>
      <c r="J156" s="15"/>
      <c r="K156" s="26"/>
      <c r="L156" s="15"/>
      <c r="M156" s="26"/>
      <c r="N156" s="26"/>
      <c r="O156" s="26"/>
      <c r="P156" s="26"/>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row>
    <row r="157" spans="1:40">
      <c r="A157" s="15"/>
      <c r="B157" s="15"/>
      <c r="C157" s="26"/>
      <c r="D157" s="15"/>
      <c r="E157" s="15"/>
      <c r="F157" s="15"/>
      <c r="G157" s="15"/>
      <c r="H157" s="15"/>
      <c r="I157" s="26"/>
      <c r="J157" s="15"/>
      <c r="K157" s="26"/>
      <c r="L157" s="15"/>
      <c r="M157" s="26"/>
      <c r="N157" s="26"/>
      <c r="O157" s="26"/>
      <c r="P157" s="26"/>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row>
    <row r="158" spans="1:40">
      <c r="A158" s="15"/>
      <c r="B158" s="15"/>
      <c r="C158" s="26"/>
      <c r="D158" s="15"/>
      <c r="E158" s="15"/>
      <c r="F158" s="15"/>
      <c r="G158" s="15"/>
      <c r="H158" s="15"/>
      <c r="I158" s="26"/>
      <c r="J158" s="15"/>
      <c r="K158" s="26"/>
      <c r="L158" s="15"/>
      <c r="M158" s="26"/>
      <c r="N158" s="26"/>
      <c r="O158" s="26"/>
      <c r="P158" s="26"/>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row>
    <row r="159" spans="1:40">
      <c r="A159" s="15"/>
      <c r="B159" s="15"/>
      <c r="C159" s="26"/>
      <c r="D159" s="15"/>
      <c r="E159" s="15"/>
      <c r="F159" s="15"/>
      <c r="G159" s="15"/>
      <c r="H159" s="15"/>
      <c r="I159" s="26"/>
      <c r="J159" s="15"/>
      <c r="K159" s="26"/>
      <c r="L159" s="15"/>
      <c r="M159" s="26"/>
      <c r="N159" s="26"/>
      <c r="O159" s="26"/>
      <c r="P159" s="26"/>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row>
    <row r="160" spans="1:40">
      <c r="A160" s="15"/>
      <c r="B160" s="15"/>
      <c r="C160" s="26"/>
      <c r="D160" s="15"/>
      <c r="E160" s="15"/>
      <c r="F160" s="15"/>
      <c r="G160" s="15"/>
      <c r="H160" s="15"/>
      <c r="I160" s="26"/>
      <c r="J160" s="15"/>
      <c r="K160" s="26"/>
      <c r="L160" s="15"/>
      <c r="M160" s="26"/>
      <c r="N160" s="26"/>
      <c r="O160" s="26"/>
      <c r="P160" s="26"/>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row>
    <row r="161" spans="1:40">
      <c r="A161" s="15"/>
      <c r="B161" s="15"/>
      <c r="C161" s="26"/>
      <c r="D161" s="15"/>
      <c r="E161" s="15"/>
      <c r="F161" s="15"/>
      <c r="G161" s="15"/>
      <c r="H161" s="15"/>
      <c r="I161" s="26"/>
      <c r="J161" s="15"/>
      <c r="K161" s="26"/>
      <c r="L161" s="15"/>
      <c r="M161" s="26"/>
      <c r="N161" s="26"/>
      <c r="O161" s="26"/>
      <c r="P161" s="26"/>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row>
    <row r="162" spans="1:40">
      <c r="A162" s="15"/>
      <c r="B162" s="15"/>
      <c r="C162" s="26"/>
      <c r="D162" s="15"/>
      <c r="E162" s="15"/>
      <c r="F162" s="15"/>
      <c r="G162" s="15"/>
      <c r="H162" s="15"/>
      <c r="I162" s="26"/>
      <c r="J162" s="15"/>
      <c r="K162" s="26"/>
      <c r="L162" s="15"/>
      <c r="M162" s="26"/>
      <c r="N162" s="26"/>
      <c r="O162" s="26"/>
      <c r="P162" s="26"/>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row>
    <row r="163" spans="1:40">
      <c r="A163" s="15"/>
      <c r="B163" s="15"/>
      <c r="C163" s="26"/>
      <c r="D163" s="15"/>
      <c r="E163" s="15"/>
      <c r="F163" s="15"/>
      <c r="G163" s="15"/>
      <c r="H163" s="15"/>
      <c r="I163" s="26"/>
      <c r="J163" s="15"/>
      <c r="K163" s="26"/>
      <c r="L163" s="15"/>
      <c r="M163" s="26"/>
      <c r="N163" s="26"/>
      <c r="O163" s="26"/>
      <c r="P163" s="26"/>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row>
    <row r="164" spans="1:40">
      <c r="A164" s="15"/>
      <c r="B164" s="15"/>
      <c r="C164" s="26"/>
      <c r="D164" s="15"/>
      <c r="E164" s="15"/>
      <c r="F164" s="15"/>
      <c r="G164" s="15"/>
      <c r="H164" s="15"/>
      <c r="I164" s="26"/>
      <c r="J164" s="15"/>
      <c r="K164" s="26"/>
      <c r="L164" s="15"/>
      <c r="M164" s="26"/>
      <c r="N164" s="26"/>
      <c r="O164" s="26"/>
      <c r="P164" s="26"/>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row>
    <row r="165" spans="1:40">
      <c r="A165" s="15"/>
      <c r="B165" s="15"/>
      <c r="C165" s="26"/>
      <c r="D165" s="15"/>
      <c r="E165" s="15"/>
      <c r="F165" s="15"/>
      <c r="G165" s="15"/>
      <c r="H165" s="15"/>
      <c r="I165" s="26"/>
      <c r="J165" s="15"/>
      <c r="K165" s="26"/>
      <c r="L165" s="15"/>
      <c r="M165" s="26"/>
      <c r="N165" s="26"/>
      <c r="O165" s="26"/>
      <c r="P165" s="26"/>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row>
    <row r="166" spans="1:40">
      <c r="A166" s="15"/>
      <c r="B166" s="15"/>
      <c r="C166" s="26"/>
      <c r="D166" s="15"/>
      <c r="E166" s="15"/>
      <c r="F166" s="15"/>
      <c r="G166" s="15"/>
      <c r="H166" s="15"/>
      <c r="I166" s="26"/>
      <c r="J166" s="15"/>
      <c r="K166" s="26"/>
      <c r="L166" s="15"/>
      <c r="M166" s="26"/>
      <c r="N166" s="26"/>
      <c r="O166" s="26"/>
      <c r="P166" s="26"/>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row>
    <row r="167" spans="1:40">
      <c r="A167" s="15"/>
      <c r="B167" s="15"/>
      <c r="C167" s="26"/>
      <c r="D167" s="15"/>
      <c r="E167" s="15"/>
      <c r="F167" s="15"/>
      <c r="G167" s="15"/>
      <c r="H167" s="15"/>
      <c r="I167" s="26"/>
      <c r="J167" s="15"/>
      <c r="K167" s="26"/>
      <c r="L167" s="15"/>
      <c r="M167" s="26"/>
      <c r="N167" s="26"/>
      <c r="O167" s="26"/>
      <c r="P167" s="26"/>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row>
    <row r="168" spans="1:40">
      <c r="A168" s="15"/>
      <c r="B168" s="15"/>
      <c r="C168" s="26"/>
      <c r="D168" s="15"/>
      <c r="E168" s="15"/>
      <c r="F168" s="15"/>
      <c r="G168" s="15"/>
      <c r="H168" s="15"/>
      <c r="I168" s="26"/>
      <c r="J168" s="15"/>
      <c r="K168" s="26"/>
      <c r="L168" s="15"/>
      <c r="M168" s="26"/>
      <c r="N168" s="26"/>
      <c r="O168" s="26"/>
      <c r="P168" s="26"/>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row>
    <row r="169" spans="1:40">
      <c r="A169" s="15"/>
      <c r="B169" s="15"/>
      <c r="C169" s="26"/>
      <c r="D169" s="15"/>
      <c r="E169" s="15"/>
      <c r="F169" s="15"/>
      <c r="G169" s="15"/>
      <c r="H169" s="15"/>
      <c r="I169" s="26"/>
      <c r="J169" s="15"/>
      <c r="K169" s="26"/>
      <c r="L169" s="15"/>
      <c r="M169" s="26"/>
      <c r="N169" s="26"/>
      <c r="O169" s="26"/>
      <c r="P169" s="26"/>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row>
    <row r="170" spans="1:40">
      <c r="A170" s="15"/>
      <c r="B170" s="15"/>
      <c r="C170" s="26"/>
      <c r="D170" s="15"/>
      <c r="E170" s="15"/>
      <c r="F170" s="15"/>
      <c r="G170" s="15"/>
      <c r="H170" s="15"/>
      <c r="I170" s="26"/>
      <c r="J170" s="15"/>
      <c r="K170" s="26"/>
      <c r="L170" s="15"/>
      <c r="M170" s="26"/>
      <c r="N170" s="26"/>
      <c r="O170" s="26"/>
      <c r="P170" s="26"/>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row>
    <row r="171" spans="1:40">
      <c r="A171" s="15"/>
      <c r="B171" s="15"/>
      <c r="C171" s="26"/>
      <c r="D171" s="15"/>
      <c r="E171" s="15"/>
      <c r="F171" s="15"/>
      <c r="G171" s="15"/>
      <c r="H171" s="15"/>
      <c r="I171" s="26"/>
      <c r="J171" s="15"/>
      <c r="K171" s="26"/>
      <c r="L171" s="15"/>
      <c r="M171" s="26"/>
      <c r="N171" s="26"/>
      <c r="O171" s="26"/>
      <c r="P171" s="26"/>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row>
    <row r="172" spans="1:40">
      <c r="A172" s="15"/>
      <c r="B172" s="15"/>
      <c r="C172" s="26"/>
      <c r="D172" s="15"/>
      <c r="E172" s="15"/>
      <c r="F172" s="15"/>
      <c r="G172" s="15"/>
      <c r="H172" s="15"/>
      <c r="I172" s="26"/>
      <c r="J172" s="15"/>
      <c r="K172" s="26"/>
      <c r="L172" s="15"/>
      <c r="M172" s="26"/>
      <c r="N172" s="26"/>
      <c r="O172" s="26"/>
      <c r="P172" s="26"/>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row>
    <row r="173" spans="1:40">
      <c r="A173" s="15"/>
      <c r="B173" s="15"/>
      <c r="C173" s="26"/>
      <c r="D173" s="15"/>
      <c r="E173" s="15"/>
      <c r="F173" s="15"/>
      <c r="G173" s="15"/>
      <c r="H173" s="15"/>
      <c r="I173" s="26"/>
      <c r="J173" s="15"/>
      <c r="K173" s="26"/>
      <c r="L173" s="15"/>
      <c r="M173" s="26"/>
      <c r="N173" s="26"/>
      <c r="O173" s="26"/>
      <c r="P173" s="26"/>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row>
    <row r="174" spans="1:40">
      <c r="A174" s="15"/>
      <c r="B174" s="15"/>
      <c r="C174" s="26"/>
      <c r="D174" s="15"/>
      <c r="E174" s="15"/>
      <c r="F174" s="15"/>
      <c r="G174" s="15"/>
      <c r="H174" s="15"/>
      <c r="I174" s="26"/>
      <c r="J174" s="15"/>
      <c r="K174" s="26"/>
      <c r="L174" s="15"/>
      <c r="M174" s="26"/>
      <c r="N174" s="26"/>
      <c r="O174" s="26"/>
      <c r="P174" s="26"/>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row>
    <row r="175" spans="1:40">
      <c r="A175" s="15"/>
      <c r="B175" s="15"/>
      <c r="C175" s="26"/>
      <c r="D175" s="15"/>
      <c r="E175" s="15"/>
      <c r="F175" s="15"/>
      <c r="G175" s="15"/>
      <c r="H175" s="15"/>
      <c r="I175" s="26"/>
      <c r="J175" s="15"/>
      <c r="K175" s="26"/>
      <c r="L175" s="15"/>
      <c r="M175" s="26"/>
      <c r="N175" s="26"/>
      <c r="O175" s="26"/>
      <c r="P175" s="26"/>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row>
    <row r="176" spans="1:40">
      <c r="A176" s="15"/>
      <c r="B176" s="15"/>
      <c r="C176" s="26"/>
      <c r="D176" s="15"/>
      <c r="E176" s="15"/>
      <c r="F176" s="15"/>
      <c r="G176" s="15"/>
      <c r="H176" s="15"/>
      <c r="I176" s="26"/>
      <c r="J176" s="15"/>
      <c r="K176" s="26"/>
      <c r="L176" s="15"/>
      <c r="M176" s="26"/>
      <c r="N176" s="26"/>
      <c r="O176" s="26"/>
      <c r="P176" s="26"/>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row>
    <row r="177" spans="1:40">
      <c r="A177" s="15"/>
      <c r="B177" s="15"/>
      <c r="C177" s="26"/>
      <c r="D177" s="15"/>
      <c r="E177" s="15"/>
      <c r="F177" s="15"/>
      <c r="G177" s="15"/>
      <c r="H177" s="15"/>
      <c r="I177" s="26"/>
      <c r="J177" s="15"/>
      <c r="K177" s="26"/>
      <c r="L177" s="15"/>
      <c r="M177" s="26"/>
      <c r="N177" s="26"/>
      <c r="O177" s="26"/>
      <c r="P177" s="26"/>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row>
    <row r="178" spans="1:40">
      <c r="A178" s="15"/>
      <c r="B178" s="15"/>
      <c r="C178" s="26"/>
      <c r="D178" s="15"/>
      <c r="E178" s="15"/>
      <c r="F178" s="15"/>
      <c r="G178" s="15"/>
      <c r="H178" s="15"/>
      <c r="I178" s="26"/>
      <c r="J178" s="15"/>
      <c r="K178" s="26"/>
      <c r="L178" s="15"/>
      <c r="M178" s="26"/>
      <c r="N178" s="26"/>
      <c r="O178" s="26"/>
      <c r="P178" s="26"/>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row>
    <row r="179" spans="1:40">
      <c r="A179" s="15"/>
      <c r="B179" s="15"/>
      <c r="C179" s="26"/>
      <c r="D179" s="15"/>
      <c r="E179" s="15"/>
      <c r="F179" s="15"/>
      <c r="G179" s="15"/>
      <c r="H179" s="15"/>
      <c r="I179" s="26"/>
      <c r="J179" s="15"/>
      <c r="K179" s="26"/>
      <c r="L179" s="15"/>
      <c r="M179" s="26"/>
      <c r="N179" s="26"/>
      <c r="O179" s="26"/>
      <c r="P179" s="26"/>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row>
    <row r="180" spans="1:40">
      <c r="A180" s="15"/>
      <c r="B180" s="15"/>
      <c r="C180" s="26"/>
      <c r="D180" s="15"/>
      <c r="E180" s="15"/>
      <c r="F180" s="15"/>
      <c r="G180" s="15"/>
      <c r="H180" s="15"/>
      <c r="I180" s="26"/>
      <c r="J180" s="15"/>
      <c r="K180" s="26"/>
      <c r="L180" s="15"/>
      <c r="M180" s="26"/>
      <c r="N180" s="26"/>
      <c r="O180" s="26"/>
      <c r="P180" s="26"/>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row>
    <row r="181" spans="1:40">
      <c r="A181" s="15"/>
      <c r="B181" s="15"/>
      <c r="C181" s="26"/>
      <c r="D181" s="15"/>
      <c r="E181" s="15"/>
      <c r="F181" s="15"/>
      <c r="G181" s="15"/>
      <c r="H181" s="15"/>
      <c r="I181" s="26"/>
      <c r="J181" s="15"/>
      <c r="K181" s="26"/>
      <c r="L181" s="15"/>
      <c r="M181" s="26"/>
      <c r="N181" s="26"/>
      <c r="O181" s="26"/>
      <c r="P181" s="26"/>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row>
    <row r="182" spans="1:40">
      <c r="A182" s="15"/>
      <c r="B182" s="15"/>
      <c r="C182" s="26"/>
      <c r="D182" s="15"/>
      <c r="E182" s="15"/>
      <c r="F182" s="15"/>
      <c r="G182" s="15"/>
      <c r="H182" s="15"/>
      <c r="I182" s="26"/>
      <c r="J182" s="15"/>
      <c r="K182" s="26"/>
      <c r="L182" s="15"/>
      <c r="M182" s="26"/>
      <c r="N182" s="26"/>
      <c r="O182" s="26"/>
      <c r="P182" s="26"/>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row>
    <row r="183" spans="1:40">
      <c r="A183" s="15"/>
      <c r="B183" s="15"/>
      <c r="C183" s="26"/>
      <c r="D183" s="15"/>
      <c r="E183" s="15"/>
      <c r="F183" s="15"/>
      <c r="G183" s="15"/>
      <c r="H183" s="15"/>
      <c r="I183" s="26"/>
      <c r="J183" s="15"/>
      <c r="K183" s="26"/>
      <c r="L183" s="15"/>
      <c r="M183" s="26"/>
      <c r="N183" s="26"/>
      <c r="O183" s="26"/>
      <c r="P183" s="26"/>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row>
    <row r="184" spans="1:40">
      <c r="A184" s="15"/>
      <c r="B184" s="15"/>
      <c r="C184" s="26"/>
      <c r="D184" s="15"/>
      <c r="E184" s="15"/>
      <c r="F184" s="15"/>
      <c r="G184" s="15"/>
      <c r="H184" s="15"/>
      <c r="I184" s="26"/>
      <c r="J184" s="15"/>
      <c r="K184" s="26"/>
      <c r="L184" s="15"/>
      <c r="M184" s="26"/>
      <c r="N184" s="26"/>
      <c r="O184" s="26"/>
      <c r="P184" s="26"/>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row>
    <row r="185" spans="1:40">
      <c r="A185" s="15"/>
      <c r="B185" s="15"/>
      <c r="C185" s="26"/>
      <c r="D185" s="15"/>
      <c r="E185" s="15"/>
      <c r="F185" s="15"/>
      <c r="G185" s="15"/>
      <c r="H185" s="15"/>
      <c r="I185" s="26"/>
      <c r="J185" s="15"/>
      <c r="K185" s="26"/>
      <c r="L185" s="15"/>
      <c r="M185" s="26"/>
      <c r="N185" s="26"/>
      <c r="O185" s="26"/>
      <c r="P185" s="26"/>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row>
    <row r="186" spans="1:40">
      <c r="A186" s="15"/>
      <c r="B186" s="15"/>
      <c r="C186" s="26"/>
      <c r="D186" s="15"/>
      <c r="E186" s="15"/>
      <c r="F186" s="15"/>
      <c r="G186" s="15"/>
      <c r="H186" s="15"/>
      <c r="I186" s="26"/>
      <c r="J186" s="15"/>
      <c r="K186" s="26"/>
      <c r="L186" s="15"/>
      <c r="M186" s="26"/>
      <c r="N186" s="26"/>
      <c r="O186" s="26"/>
      <c r="P186" s="26"/>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row>
    <row r="187" spans="1:40">
      <c r="A187" s="15"/>
      <c r="B187" s="15"/>
      <c r="C187" s="26"/>
      <c r="D187" s="15"/>
      <c r="E187" s="15"/>
      <c r="F187" s="15"/>
      <c r="G187" s="15"/>
      <c r="H187" s="15"/>
      <c r="I187" s="26"/>
      <c r="J187" s="15"/>
      <c r="K187" s="26"/>
      <c r="L187" s="15"/>
      <c r="M187" s="26"/>
      <c r="N187" s="26"/>
      <c r="O187" s="26"/>
      <c r="P187" s="26"/>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row>
    <row r="188" spans="1:40">
      <c r="A188" s="15"/>
      <c r="B188" s="15"/>
      <c r="C188" s="26"/>
      <c r="D188" s="15"/>
      <c r="E188" s="15"/>
      <c r="F188" s="15"/>
      <c r="G188" s="15"/>
      <c r="H188" s="15"/>
      <c r="I188" s="26"/>
      <c r="J188" s="15"/>
      <c r="K188" s="26"/>
      <c r="L188" s="15"/>
      <c r="M188" s="26"/>
      <c r="N188" s="26"/>
      <c r="O188" s="26"/>
      <c r="P188" s="26"/>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row>
    <row r="189" spans="1:40">
      <c r="A189" s="15"/>
      <c r="B189" s="15"/>
      <c r="C189" s="26"/>
      <c r="D189" s="15"/>
      <c r="E189" s="15"/>
      <c r="F189" s="15"/>
      <c r="G189" s="15"/>
      <c r="H189" s="15"/>
      <c r="I189" s="26"/>
      <c r="J189" s="15"/>
      <c r="K189" s="26"/>
      <c r="L189" s="15"/>
      <c r="M189" s="26"/>
      <c r="N189" s="26"/>
      <c r="O189" s="26"/>
      <c r="P189" s="26"/>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row>
    <row r="190" spans="1:40">
      <c r="A190" s="15"/>
      <c r="B190" s="15"/>
      <c r="C190" s="26"/>
      <c r="D190" s="15"/>
      <c r="E190" s="15"/>
      <c r="F190" s="15"/>
      <c r="G190" s="15"/>
      <c r="H190" s="15"/>
      <c r="I190" s="26"/>
      <c r="J190" s="15"/>
      <c r="K190" s="26"/>
      <c r="L190" s="15"/>
      <c r="M190" s="26"/>
      <c r="N190" s="26"/>
      <c r="O190" s="26"/>
      <c r="P190" s="26"/>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row>
    <row r="191" spans="1:40">
      <c r="A191" s="15"/>
      <c r="B191" s="15"/>
      <c r="C191" s="26"/>
      <c r="D191" s="15"/>
      <c r="E191" s="15"/>
      <c r="F191" s="15"/>
      <c r="G191" s="15"/>
      <c r="H191" s="15"/>
      <c r="I191" s="26"/>
      <c r="J191" s="15"/>
      <c r="K191" s="26"/>
      <c r="L191" s="15"/>
      <c r="M191" s="26"/>
      <c r="N191" s="26"/>
      <c r="O191" s="26"/>
      <c r="P191" s="26"/>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row>
    <row r="192" spans="1:40">
      <c r="A192" s="15"/>
      <c r="B192" s="15"/>
      <c r="C192" s="26"/>
      <c r="D192" s="15"/>
      <c r="E192" s="15"/>
      <c r="F192" s="15"/>
      <c r="G192" s="15"/>
      <c r="H192" s="15"/>
      <c r="I192" s="26"/>
      <c r="J192" s="15"/>
      <c r="K192" s="26"/>
      <c r="L192" s="15"/>
      <c r="M192" s="26"/>
      <c r="N192" s="26"/>
      <c r="O192" s="26"/>
      <c r="P192" s="26"/>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row>
    <row r="193" spans="1:40">
      <c r="A193" s="15"/>
      <c r="B193" s="15"/>
      <c r="C193" s="26"/>
      <c r="D193" s="15"/>
      <c r="E193" s="15"/>
      <c r="F193" s="15"/>
      <c r="G193" s="15"/>
      <c r="H193" s="15"/>
      <c r="I193" s="26"/>
      <c r="J193" s="15"/>
      <c r="K193" s="26"/>
      <c r="L193" s="15"/>
      <c r="M193" s="26"/>
      <c r="N193" s="26"/>
      <c r="O193" s="26"/>
      <c r="P193" s="26"/>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row>
    <row r="194" spans="1:40">
      <c r="A194" s="15"/>
      <c r="B194" s="15"/>
      <c r="C194" s="26"/>
      <c r="D194" s="15"/>
      <c r="E194" s="15"/>
      <c r="F194" s="15"/>
      <c r="G194" s="15"/>
      <c r="H194" s="15"/>
      <c r="I194" s="26"/>
      <c r="J194" s="15"/>
      <c r="K194" s="26"/>
      <c r="L194" s="15"/>
      <c r="M194" s="26"/>
      <c r="N194" s="26"/>
      <c r="O194" s="26"/>
      <c r="P194" s="26"/>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row>
    <row r="195" spans="1:40">
      <c r="A195" s="15"/>
      <c r="B195" s="15"/>
      <c r="C195" s="26"/>
      <c r="D195" s="15"/>
      <c r="E195" s="15"/>
      <c r="F195" s="15"/>
      <c r="G195" s="15"/>
      <c r="H195" s="15"/>
      <c r="I195" s="26"/>
      <c r="J195" s="15"/>
      <c r="K195" s="26"/>
      <c r="L195" s="15"/>
      <c r="M195" s="26"/>
      <c r="N195" s="26"/>
      <c r="O195" s="26"/>
      <c r="P195" s="26"/>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row>
    <row r="196" spans="1:40">
      <c r="A196" s="15"/>
      <c r="B196" s="15"/>
      <c r="C196" s="26"/>
      <c r="D196" s="15"/>
      <c r="E196" s="15"/>
      <c r="F196" s="15"/>
      <c r="G196" s="15"/>
      <c r="H196" s="15"/>
      <c r="I196" s="26"/>
      <c r="J196" s="15"/>
      <c r="K196" s="26"/>
      <c r="L196" s="15"/>
      <c r="M196" s="26"/>
      <c r="N196" s="26"/>
      <c r="O196" s="26"/>
      <c r="P196" s="26"/>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row>
    <row r="197" spans="1:40">
      <c r="A197" s="15"/>
      <c r="B197" s="15"/>
      <c r="C197" s="26"/>
      <c r="D197" s="15"/>
      <c r="E197" s="15"/>
      <c r="F197" s="15"/>
      <c r="G197" s="15"/>
      <c r="H197" s="15"/>
      <c r="I197" s="26"/>
      <c r="J197" s="15"/>
      <c r="K197" s="26"/>
      <c r="L197" s="15"/>
      <c r="M197" s="26"/>
      <c r="N197" s="26"/>
      <c r="O197" s="26"/>
      <c r="P197" s="26"/>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row>
    <row r="198" spans="1:40">
      <c r="A198" s="15"/>
      <c r="B198" s="15"/>
      <c r="C198" s="26"/>
      <c r="D198" s="15"/>
      <c r="E198" s="15"/>
      <c r="F198" s="15"/>
      <c r="G198" s="15"/>
      <c r="H198" s="15"/>
      <c r="I198" s="26"/>
      <c r="J198" s="15"/>
      <c r="K198" s="26"/>
      <c r="L198" s="15"/>
      <c r="M198" s="26"/>
      <c r="N198" s="26"/>
      <c r="O198" s="26"/>
      <c r="P198" s="26"/>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row>
    <row r="199" spans="1:40">
      <c r="A199" s="15"/>
      <c r="B199" s="15"/>
      <c r="C199" s="26"/>
      <c r="D199" s="15"/>
      <c r="E199" s="15"/>
      <c r="F199" s="15"/>
      <c r="G199" s="15"/>
      <c r="H199" s="15"/>
      <c r="I199" s="26"/>
      <c r="J199" s="15"/>
      <c r="K199" s="26"/>
      <c r="L199" s="15"/>
      <c r="M199" s="26"/>
      <c r="N199" s="26"/>
      <c r="O199" s="26"/>
      <c r="P199" s="26"/>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row>
    <row r="200" spans="1:40">
      <c r="A200" s="15"/>
      <c r="B200" s="15"/>
      <c r="C200" s="26"/>
      <c r="D200" s="15"/>
      <c r="E200" s="15"/>
      <c r="F200" s="15"/>
      <c r="G200" s="15"/>
      <c r="H200" s="15"/>
      <c r="I200" s="26"/>
      <c r="J200" s="15"/>
      <c r="K200" s="26"/>
      <c r="L200" s="15"/>
      <c r="M200" s="26"/>
      <c r="N200" s="26"/>
      <c r="O200" s="26"/>
      <c r="P200" s="26"/>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row>
    <row r="201" spans="1:40">
      <c r="A201" s="15"/>
      <c r="B201" s="15"/>
      <c r="C201" s="26"/>
      <c r="D201" s="15"/>
      <c r="E201" s="15"/>
      <c r="F201" s="15"/>
      <c r="G201" s="15"/>
      <c r="H201" s="15"/>
      <c r="I201" s="26"/>
      <c r="J201" s="15"/>
      <c r="K201" s="26"/>
      <c r="L201" s="15"/>
      <c r="M201" s="26"/>
      <c r="N201" s="26"/>
      <c r="O201" s="26"/>
      <c r="P201" s="26"/>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row>
    <row r="202" spans="1:40">
      <c r="A202" s="15"/>
      <c r="B202" s="15"/>
      <c r="C202" s="26"/>
      <c r="D202" s="15"/>
      <c r="E202" s="15"/>
      <c r="F202" s="15"/>
      <c r="G202" s="15"/>
      <c r="H202" s="15"/>
      <c r="I202" s="26"/>
      <c r="J202" s="15"/>
      <c r="K202" s="26"/>
      <c r="L202" s="15"/>
      <c r="M202" s="26"/>
      <c r="N202" s="26"/>
      <c r="O202" s="26"/>
      <c r="P202" s="26"/>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row>
    <row r="203" spans="1:40">
      <c r="A203" s="15"/>
      <c r="B203" s="15"/>
      <c r="C203" s="26"/>
      <c r="D203" s="15"/>
      <c r="E203" s="15"/>
      <c r="F203" s="15"/>
      <c r="G203" s="15"/>
      <c r="H203" s="15"/>
      <c r="I203" s="26"/>
      <c r="J203" s="15"/>
      <c r="K203" s="26"/>
      <c r="L203" s="15"/>
      <c r="M203" s="26"/>
      <c r="N203" s="26"/>
      <c r="O203" s="26"/>
      <c r="P203" s="26"/>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row>
    <row r="204" spans="1:40">
      <c r="A204" s="15"/>
      <c r="B204" s="15"/>
      <c r="C204" s="26"/>
      <c r="D204" s="15"/>
      <c r="E204" s="15"/>
      <c r="F204" s="15"/>
      <c r="G204" s="15"/>
      <c r="H204" s="15"/>
      <c r="I204" s="26"/>
      <c r="J204" s="15"/>
      <c r="K204" s="26"/>
      <c r="L204" s="15"/>
      <c r="M204" s="26"/>
      <c r="N204" s="26"/>
      <c r="O204" s="26"/>
      <c r="P204" s="26"/>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row>
    <row r="205" spans="1:40">
      <c r="A205" s="15"/>
      <c r="B205" s="15"/>
      <c r="C205" s="26"/>
      <c r="D205" s="15"/>
      <c r="E205" s="15"/>
      <c r="F205" s="15"/>
      <c r="G205" s="15"/>
      <c r="H205" s="15"/>
      <c r="I205" s="26"/>
      <c r="J205" s="15"/>
      <c r="K205" s="26"/>
      <c r="L205" s="15"/>
      <c r="M205" s="26"/>
      <c r="N205" s="26"/>
      <c r="O205" s="26"/>
      <c r="P205" s="26"/>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row>
    <row r="206" spans="1:40">
      <c r="A206" s="15"/>
      <c r="B206" s="15"/>
      <c r="C206" s="26"/>
      <c r="D206" s="15"/>
      <c r="E206" s="15"/>
      <c r="F206" s="15"/>
      <c r="G206" s="15"/>
      <c r="H206" s="15"/>
      <c r="I206" s="26"/>
      <c r="J206" s="15"/>
      <c r="K206" s="26"/>
      <c r="L206" s="15"/>
      <c r="M206" s="26"/>
      <c r="N206" s="26"/>
      <c r="O206" s="26"/>
      <c r="P206" s="26"/>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row>
    <row r="207" spans="1:40">
      <c r="A207" s="15"/>
      <c r="B207" s="15"/>
      <c r="C207" s="26"/>
      <c r="D207" s="15"/>
      <c r="E207" s="15"/>
      <c r="F207" s="15"/>
      <c r="G207" s="15"/>
      <c r="H207" s="15"/>
      <c r="I207" s="26"/>
      <c r="J207" s="15"/>
      <c r="K207" s="26"/>
      <c r="L207" s="15"/>
      <c r="M207" s="26"/>
      <c r="N207" s="26"/>
      <c r="O207" s="26"/>
      <c r="P207" s="26"/>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row>
    <row r="208" spans="1:40">
      <c r="A208" s="15"/>
      <c r="B208" s="15"/>
      <c r="C208" s="26"/>
      <c r="D208" s="15"/>
      <c r="E208" s="15"/>
      <c r="F208" s="15"/>
      <c r="G208" s="15"/>
      <c r="H208" s="15"/>
      <c r="I208" s="26"/>
      <c r="J208" s="15"/>
      <c r="K208" s="26"/>
      <c r="L208" s="15"/>
      <c r="M208" s="26"/>
      <c r="N208" s="26"/>
      <c r="O208" s="26"/>
      <c r="P208" s="26"/>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row>
    <row r="209" spans="1:40">
      <c r="A209" s="15"/>
      <c r="B209" s="15"/>
      <c r="C209" s="26"/>
      <c r="D209" s="15"/>
      <c r="E209" s="15"/>
      <c r="F209" s="15"/>
      <c r="G209" s="15"/>
      <c r="H209" s="15"/>
      <c r="I209" s="26"/>
      <c r="J209" s="15"/>
      <c r="K209" s="26"/>
      <c r="L209" s="15"/>
      <c r="M209" s="26"/>
      <c r="N209" s="26"/>
      <c r="O209" s="26"/>
      <c r="P209" s="26"/>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row>
    <row r="210" spans="1:40">
      <c r="A210" s="15"/>
      <c r="B210" s="15"/>
      <c r="C210" s="26"/>
      <c r="D210" s="15"/>
      <c r="E210" s="15"/>
      <c r="F210" s="15"/>
      <c r="G210" s="15"/>
      <c r="H210" s="15"/>
      <c r="I210" s="26"/>
      <c r="J210" s="15"/>
      <c r="K210" s="26"/>
      <c r="L210" s="15"/>
      <c r="M210" s="26"/>
      <c r="N210" s="26"/>
      <c r="O210" s="26"/>
      <c r="P210" s="26"/>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row>
    <row r="211" spans="1:40">
      <c r="A211" s="15"/>
      <c r="B211" s="15"/>
      <c r="C211" s="26"/>
      <c r="D211" s="15"/>
      <c r="E211" s="15"/>
      <c r="F211" s="15"/>
      <c r="G211" s="15"/>
      <c r="H211" s="15"/>
      <c r="I211" s="26"/>
      <c r="J211" s="15"/>
      <c r="K211" s="26"/>
      <c r="L211" s="15"/>
      <c r="M211" s="26"/>
      <c r="N211" s="26"/>
      <c r="O211" s="26"/>
      <c r="P211" s="26"/>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row>
    <row r="212" spans="1:40">
      <c r="A212" s="15"/>
      <c r="B212" s="15"/>
      <c r="C212" s="26"/>
      <c r="D212" s="15"/>
      <c r="E212" s="15"/>
      <c r="F212" s="15"/>
      <c r="G212" s="15"/>
      <c r="H212" s="15"/>
      <c r="I212" s="26"/>
      <c r="J212" s="15"/>
      <c r="K212" s="26"/>
      <c r="L212" s="15"/>
      <c r="M212" s="26"/>
      <c r="N212" s="26"/>
      <c r="O212" s="26"/>
      <c r="P212" s="26"/>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row>
    <row r="213" spans="1:40">
      <c r="A213" s="15"/>
      <c r="B213" s="15"/>
      <c r="C213" s="26"/>
      <c r="D213" s="15"/>
      <c r="E213" s="15"/>
      <c r="F213" s="15"/>
      <c r="G213" s="15"/>
      <c r="H213" s="15"/>
      <c r="I213" s="26"/>
      <c r="J213" s="15"/>
      <c r="K213" s="26"/>
      <c r="L213" s="15"/>
      <c r="M213" s="26"/>
      <c r="N213" s="26"/>
      <c r="O213" s="26"/>
      <c r="P213" s="26"/>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row>
    <row r="214" spans="1:40">
      <c r="A214" s="15"/>
      <c r="B214" s="15"/>
      <c r="C214" s="26"/>
      <c r="D214" s="15"/>
      <c r="E214" s="15"/>
      <c r="F214" s="15"/>
      <c r="G214" s="15"/>
      <c r="H214" s="15"/>
      <c r="I214" s="26"/>
      <c r="J214" s="15"/>
      <c r="K214" s="26"/>
      <c r="L214" s="15"/>
      <c r="M214" s="26"/>
      <c r="N214" s="26"/>
      <c r="O214" s="26"/>
      <c r="P214" s="26"/>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row>
    <row r="215" spans="1:40">
      <c r="A215" s="15"/>
      <c r="B215" s="15"/>
      <c r="C215" s="26"/>
      <c r="D215" s="15"/>
      <c r="E215" s="15"/>
      <c r="F215" s="15"/>
      <c r="G215" s="15"/>
      <c r="H215" s="15"/>
      <c r="I215" s="26"/>
      <c r="J215" s="15"/>
      <c r="K215" s="26"/>
      <c r="L215" s="15"/>
      <c r="M215" s="26"/>
      <c r="N215" s="26"/>
      <c r="O215" s="26"/>
      <c r="P215" s="26"/>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row>
    <row r="216" spans="1:40">
      <c r="A216" s="15"/>
      <c r="B216" s="15"/>
      <c r="C216" s="26"/>
      <c r="D216" s="15"/>
      <c r="E216" s="15"/>
      <c r="F216" s="15"/>
      <c r="G216" s="15"/>
      <c r="H216" s="15"/>
      <c r="I216" s="26"/>
      <c r="J216" s="15"/>
      <c r="K216" s="26"/>
      <c r="L216" s="15"/>
      <c r="M216" s="26"/>
      <c r="N216" s="26"/>
      <c r="O216" s="26"/>
      <c r="P216" s="26"/>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row>
    <row r="217" spans="1:40">
      <c r="A217" s="15"/>
      <c r="B217" s="15"/>
      <c r="C217" s="26"/>
      <c r="D217" s="15"/>
      <c r="E217" s="15"/>
      <c r="F217" s="15"/>
      <c r="G217" s="15"/>
      <c r="H217" s="15"/>
      <c r="I217" s="26"/>
      <c r="J217" s="15"/>
      <c r="K217" s="26"/>
      <c r="L217" s="15"/>
      <c r="M217" s="26"/>
      <c r="N217" s="26"/>
      <c r="O217" s="26"/>
      <c r="P217" s="26"/>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row>
    <row r="218" spans="1:40">
      <c r="A218" s="15"/>
      <c r="B218" s="15"/>
      <c r="C218" s="26"/>
      <c r="D218" s="15"/>
      <c r="E218" s="15"/>
      <c r="F218" s="15"/>
      <c r="G218" s="15"/>
      <c r="H218" s="15"/>
      <c r="I218" s="26"/>
      <c r="J218" s="15"/>
      <c r="K218" s="26"/>
      <c r="L218" s="15"/>
      <c r="M218" s="26"/>
      <c r="N218" s="26"/>
      <c r="O218" s="26"/>
      <c r="P218" s="26"/>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row>
    <row r="219" spans="1:40">
      <c r="A219" s="15"/>
      <c r="B219" s="15"/>
      <c r="C219" s="26"/>
      <c r="D219" s="15"/>
      <c r="E219" s="15"/>
      <c r="F219" s="15"/>
      <c r="G219" s="15"/>
      <c r="H219" s="15"/>
      <c r="I219" s="26"/>
      <c r="J219" s="15"/>
      <c r="K219" s="26"/>
      <c r="L219" s="15"/>
      <c r="M219" s="26"/>
      <c r="N219" s="26"/>
      <c r="O219" s="26"/>
      <c r="P219" s="26"/>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row>
    <row r="220" spans="1:40">
      <c r="A220" s="15"/>
      <c r="B220" s="15"/>
      <c r="C220" s="26"/>
      <c r="D220" s="15"/>
      <c r="E220" s="15"/>
      <c r="F220" s="15"/>
      <c r="G220" s="15"/>
      <c r="H220" s="15"/>
      <c r="I220" s="26"/>
      <c r="J220" s="15"/>
      <c r="K220" s="26"/>
      <c r="L220" s="15"/>
      <c r="M220" s="26"/>
      <c r="N220" s="26"/>
      <c r="O220" s="26"/>
      <c r="P220" s="26"/>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row>
    <row r="221" spans="1:40">
      <c r="A221" s="15"/>
      <c r="B221" s="15"/>
      <c r="C221" s="26"/>
      <c r="D221" s="15"/>
      <c r="E221" s="15"/>
      <c r="F221" s="15"/>
      <c r="G221" s="15"/>
      <c r="H221" s="15"/>
      <c r="I221" s="26"/>
      <c r="J221" s="15"/>
      <c r="K221" s="26"/>
      <c r="L221" s="15"/>
      <c r="M221" s="26"/>
      <c r="N221" s="26"/>
      <c r="O221" s="26"/>
      <c r="P221" s="26"/>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row>
    <row r="222" spans="1:40">
      <c r="A222" s="15"/>
      <c r="B222" s="15"/>
      <c r="C222" s="26"/>
      <c r="D222" s="15"/>
      <c r="E222" s="15"/>
      <c r="F222" s="15"/>
      <c r="G222" s="15"/>
      <c r="H222" s="15"/>
      <c r="I222" s="26"/>
      <c r="J222" s="15"/>
      <c r="K222" s="26"/>
      <c r="L222" s="15"/>
      <c r="M222" s="26"/>
      <c r="N222" s="26"/>
      <c r="O222" s="26"/>
      <c r="P222" s="26"/>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row>
    <row r="223" spans="1:40">
      <c r="A223" s="15"/>
      <c r="B223" s="15"/>
      <c r="C223" s="26"/>
      <c r="D223" s="15"/>
      <c r="E223" s="15"/>
      <c r="F223" s="15"/>
      <c r="G223" s="15"/>
      <c r="H223" s="15"/>
      <c r="I223" s="26"/>
      <c r="J223" s="15"/>
      <c r="K223" s="26"/>
      <c r="L223" s="15"/>
      <c r="M223" s="26"/>
      <c r="N223" s="26"/>
      <c r="O223" s="26"/>
      <c r="P223" s="26"/>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row>
    <row r="224" spans="1:40">
      <c r="A224" s="15"/>
      <c r="B224" s="15"/>
      <c r="C224" s="26"/>
      <c r="D224" s="15"/>
      <c r="E224" s="15"/>
      <c r="F224" s="15"/>
      <c r="G224" s="15"/>
      <c r="H224" s="15"/>
      <c r="I224" s="26"/>
      <c r="J224" s="15"/>
      <c r="K224" s="26"/>
      <c r="L224" s="15"/>
      <c r="M224" s="26"/>
      <c r="N224" s="26"/>
      <c r="O224" s="26"/>
      <c r="P224" s="26"/>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row>
    <row r="225" spans="1:40">
      <c r="A225" s="15"/>
      <c r="B225" s="15"/>
      <c r="C225" s="26"/>
      <c r="D225" s="15"/>
      <c r="E225" s="15"/>
      <c r="F225" s="15"/>
      <c r="G225" s="15"/>
      <c r="H225" s="15"/>
      <c r="I225" s="26"/>
      <c r="J225" s="15"/>
      <c r="K225" s="26"/>
      <c r="L225" s="15"/>
      <c r="M225" s="26"/>
      <c r="N225" s="26"/>
      <c r="O225" s="26"/>
      <c r="P225" s="26"/>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row>
    <row r="226" spans="1:40">
      <c r="A226" s="15"/>
      <c r="B226" s="15"/>
      <c r="C226" s="26"/>
      <c r="D226" s="15"/>
      <c r="E226" s="15"/>
      <c r="F226" s="15"/>
      <c r="G226" s="15"/>
      <c r="H226" s="15"/>
      <c r="I226" s="26"/>
      <c r="J226" s="15"/>
      <c r="K226" s="26"/>
      <c r="L226" s="15"/>
      <c r="M226" s="26"/>
      <c r="N226" s="26"/>
      <c r="O226" s="26"/>
      <c r="P226" s="26"/>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row>
    <row r="227" spans="1:40">
      <c r="A227" s="15"/>
      <c r="B227" s="15"/>
      <c r="C227" s="26"/>
      <c r="D227" s="15"/>
      <c r="E227" s="15"/>
      <c r="F227" s="15"/>
      <c r="G227" s="15"/>
      <c r="H227" s="15"/>
      <c r="I227" s="26"/>
      <c r="J227" s="15"/>
      <c r="K227" s="26"/>
      <c r="L227" s="15"/>
      <c r="M227" s="26"/>
      <c r="N227" s="26"/>
      <c r="O227" s="26"/>
      <c r="P227" s="26"/>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row>
    <row r="228" spans="1:40">
      <c r="A228" s="15"/>
      <c r="B228" s="15"/>
      <c r="C228" s="26"/>
      <c r="D228" s="15"/>
      <c r="E228" s="15"/>
      <c r="F228" s="15"/>
      <c r="G228" s="15"/>
      <c r="H228" s="15"/>
      <c r="I228" s="26"/>
      <c r="J228" s="15"/>
      <c r="K228" s="26"/>
      <c r="L228" s="15"/>
      <c r="M228" s="26"/>
      <c r="N228" s="26"/>
      <c r="O228" s="26"/>
      <c r="P228" s="26"/>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row>
    <row r="229" spans="1:40">
      <c r="A229" s="15"/>
      <c r="B229" s="15"/>
      <c r="C229" s="26"/>
      <c r="D229" s="15"/>
      <c r="E229" s="15"/>
      <c r="F229" s="15"/>
      <c r="G229" s="15"/>
      <c r="H229" s="15"/>
      <c r="I229" s="26"/>
      <c r="J229" s="15"/>
      <c r="K229" s="26"/>
      <c r="L229" s="15"/>
      <c r="M229" s="26"/>
      <c r="N229" s="26"/>
      <c r="O229" s="26"/>
      <c r="P229" s="26"/>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row>
    <row r="230" spans="1:40">
      <c r="A230" s="15"/>
      <c r="B230" s="15"/>
      <c r="C230" s="26"/>
      <c r="D230" s="15"/>
      <c r="E230" s="15"/>
      <c r="F230" s="15"/>
      <c r="G230" s="15"/>
      <c r="H230" s="15"/>
      <c r="I230" s="26"/>
      <c r="J230" s="15"/>
      <c r="K230" s="26"/>
      <c r="L230" s="15"/>
      <c r="M230" s="26"/>
      <c r="N230" s="26"/>
      <c r="O230" s="26"/>
      <c r="P230" s="26"/>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row>
    <row r="231" spans="1:40">
      <c r="A231" s="15"/>
      <c r="B231" s="15"/>
      <c r="C231" s="26"/>
      <c r="D231" s="15"/>
      <c r="E231" s="15"/>
      <c r="F231" s="15"/>
      <c r="G231" s="15"/>
      <c r="H231" s="15"/>
      <c r="I231" s="26"/>
      <c r="J231" s="15"/>
      <c r="K231" s="26"/>
      <c r="L231" s="15"/>
      <c r="M231" s="26"/>
      <c r="N231" s="26"/>
      <c r="O231" s="26"/>
      <c r="P231" s="26"/>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row>
    <row r="232" spans="1:40">
      <c r="A232" s="15"/>
      <c r="B232" s="15"/>
      <c r="C232" s="26"/>
      <c r="D232" s="15"/>
      <c r="E232" s="15"/>
      <c r="F232" s="15"/>
      <c r="G232" s="15"/>
      <c r="H232" s="15"/>
      <c r="I232" s="26"/>
      <c r="J232" s="15"/>
      <c r="K232" s="26"/>
      <c r="L232" s="15"/>
      <c r="M232" s="26"/>
      <c r="N232" s="26"/>
      <c r="O232" s="26"/>
      <c r="P232" s="26"/>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row>
    <row r="233" spans="1:40">
      <c r="A233" s="15"/>
      <c r="B233" s="15"/>
      <c r="C233" s="26"/>
      <c r="D233" s="15"/>
      <c r="E233" s="15"/>
      <c r="F233" s="15"/>
      <c r="G233" s="15"/>
      <c r="H233" s="15"/>
      <c r="I233" s="26"/>
      <c r="J233" s="15"/>
      <c r="K233" s="26"/>
      <c r="L233" s="15"/>
      <c r="M233" s="26"/>
      <c r="N233" s="26"/>
      <c r="O233" s="26"/>
      <c r="P233" s="26"/>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row>
    <row r="234" spans="1:40">
      <c r="A234" s="15"/>
      <c r="B234" s="15"/>
      <c r="C234" s="26"/>
      <c r="D234" s="15"/>
      <c r="E234" s="15"/>
      <c r="F234" s="15"/>
      <c r="G234" s="15"/>
      <c r="H234" s="15"/>
      <c r="I234" s="26"/>
      <c r="J234" s="15"/>
      <c r="K234" s="26"/>
      <c r="L234" s="15"/>
      <c r="M234" s="26"/>
      <c r="N234" s="26"/>
      <c r="O234" s="26"/>
      <c r="P234" s="26"/>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row>
    <row r="235" spans="1:40">
      <c r="A235" s="15"/>
      <c r="B235" s="15"/>
      <c r="C235" s="26"/>
      <c r="D235" s="15"/>
      <c r="E235" s="15"/>
      <c r="F235" s="15"/>
      <c r="G235" s="15"/>
      <c r="H235" s="15"/>
      <c r="I235" s="26"/>
      <c r="J235" s="15"/>
      <c r="K235" s="26"/>
      <c r="L235" s="15"/>
      <c r="M235" s="26"/>
      <c r="N235" s="26"/>
      <c r="O235" s="26"/>
      <c r="P235" s="26"/>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row>
    <row r="236" spans="1:40">
      <c r="A236" s="15"/>
      <c r="B236" s="15"/>
      <c r="C236" s="26"/>
      <c r="D236" s="15"/>
      <c r="E236" s="15"/>
      <c r="F236" s="15"/>
      <c r="G236" s="15"/>
      <c r="H236" s="15"/>
      <c r="I236" s="26"/>
      <c r="J236" s="15"/>
      <c r="K236" s="26"/>
      <c r="L236" s="15"/>
      <c r="M236" s="26"/>
      <c r="N236" s="26"/>
      <c r="O236" s="26"/>
      <c r="P236" s="26"/>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row>
    <row r="237" spans="1:40">
      <c r="A237" s="15"/>
      <c r="B237" s="15"/>
      <c r="C237" s="26"/>
      <c r="D237" s="15"/>
      <c r="E237" s="15"/>
      <c r="F237" s="15"/>
      <c r="G237" s="15"/>
      <c r="H237" s="15"/>
      <c r="I237" s="26"/>
      <c r="J237" s="15"/>
      <c r="K237" s="26"/>
      <c r="L237" s="15"/>
      <c r="M237" s="26"/>
      <c r="N237" s="26"/>
      <c r="O237" s="26"/>
      <c r="P237" s="26"/>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row>
    <row r="238" spans="1:40">
      <c r="A238" s="15"/>
      <c r="B238" s="15"/>
      <c r="C238" s="26"/>
      <c r="D238" s="15"/>
      <c r="E238" s="15"/>
      <c r="F238" s="15"/>
      <c r="G238" s="15"/>
      <c r="H238" s="15"/>
      <c r="I238" s="26"/>
      <c r="J238" s="15"/>
      <c r="K238" s="26"/>
      <c r="L238" s="15"/>
      <c r="M238" s="26"/>
      <c r="N238" s="26"/>
      <c r="O238" s="26"/>
      <c r="P238" s="26"/>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row>
    <row r="239" spans="1:40">
      <c r="A239" s="15"/>
      <c r="B239" s="15"/>
      <c r="C239" s="26"/>
      <c r="D239" s="15"/>
      <c r="E239" s="15"/>
      <c r="F239" s="15"/>
      <c r="G239" s="15"/>
      <c r="H239" s="15"/>
      <c r="I239" s="26"/>
      <c r="J239" s="15"/>
      <c r="K239" s="26"/>
      <c r="L239" s="15"/>
      <c r="M239" s="26"/>
      <c r="N239" s="26"/>
      <c r="O239" s="26"/>
      <c r="P239" s="26"/>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row>
    <row r="240" spans="1:40">
      <c r="A240" s="15"/>
      <c r="B240" s="15"/>
      <c r="C240" s="26"/>
      <c r="D240" s="15"/>
      <c r="E240" s="15"/>
      <c r="F240" s="15"/>
      <c r="G240" s="15"/>
      <c r="H240" s="15"/>
      <c r="I240" s="26"/>
      <c r="J240" s="15"/>
      <c r="K240" s="26"/>
      <c r="L240" s="15"/>
      <c r="M240" s="26"/>
      <c r="N240" s="26"/>
      <c r="O240" s="26"/>
      <c r="P240" s="26"/>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row>
    <row r="241" spans="1:40">
      <c r="A241" s="15"/>
      <c r="B241" s="15"/>
      <c r="C241" s="26"/>
      <c r="D241" s="15"/>
      <c r="E241" s="15"/>
      <c r="F241" s="15"/>
      <c r="G241" s="15"/>
      <c r="H241" s="15"/>
      <c r="I241" s="26"/>
      <c r="J241" s="15"/>
      <c r="K241" s="26"/>
      <c r="L241" s="15"/>
      <c r="M241" s="26"/>
      <c r="N241" s="26"/>
      <c r="O241" s="26"/>
      <c r="P241" s="26"/>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row>
    <row r="242" spans="1:40">
      <c r="A242" s="15"/>
      <c r="B242" s="15"/>
      <c r="C242" s="26"/>
      <c r="D242" s="15"/>
      <c r="E242" s="15"/>
      <c r="F242" s="15"/>
      <c r="G242" s="15"/>
      <c r="H242" s="15"/>
      <c r="I242" s="26"/>
      <c r="J242" s="15"/>
      <c r="K242" s="26"/>
      <c r="L242" s="15"/>
      <c r="M242" s="26"/>
      <c r="N242" s="26"/>
      <c r="O242" s="26"/>
      <c r="P242" s="26"/>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row>
    <row r="243" spans="1:40">
      <c r="A243" s="15"/>
      <c r="B243" s="15"/>
      <c r="C243" s="26"/>
      <c r="D243" s="15"/>
      <c r="E243" s="15"/>
      <c r="F243" s="15"/>
      <c r="G243" s="15"/>
      <c r="H243" s="15"/>
      <c r="I243" s="26"/>
      <c r="J243" s="15"/>
      <c r="K243" s="26"/>
      <c r="L243" s="15"/>
      <c r="M243" s="26"/>
      <c r="N243" s="26"/>
      <c r="O243" s="26"/>
      <c r="P243" s="26"/>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row>
    <row r="244" spans="1:40">
      <c r="A244" s="15"/>
      <c r="B244" s="15"/>
      <c r="C244" s="26"/>
      <c r="D244" s="15"/>
      <c r="E244" s="15"/>
      <c r="F244" s="15"/>
      <c r="G244" s="15"/>
      <c r="H244" s="15"/>
      <c r="I244" s="26"/>
      <c r="J244" s="15"/>
      <c r="K244" s="26"/>
      <c r="L244" s="15"/>
      <c r="M244" s="26"/>
      <c r="N244" s="26"/>
      <c r="O244" s="26"/>
      <c r="P244" s="26"/>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row>
    <row r="245" spans="1:40">
      <c r="A245" s="15"/>
      <c r="B245" s="15"/>
      <c r="C245" s="26"/>
      <c r="D245" s="15"/>
      <c r="E245" s="15"/>
      <c r="F245" s="15"/>
      <c r="G245" s="15"/>
      <c r="H245" s="15"/>
      <c r="I245" s="26"/>
      <c r="J245" s="15"/>
      <c r="K245" s="26"/>
      <c r="L245" s="15"/>
      <c r="M245" s="26"/>
      <c r="N245" s="26"/>
      <c r="O245" s="26"/>
      <c r="P245" s="26"/>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row>
    <row r="246" spans="1:40">
      <c r="A246" s="15"/>
      <c r="B246" s="15"/>
      <c r="C246" s="26"/>
      <c r="D246" s="15"/>
      <c r="E246" s="15"/>
      <c r="F246" s="15"/>
      <c r="G246" s="15"/>
      <c r="H246" s="15"/>
      <c r="I246" s="26"/>
      <c r="J246" s="15"/>
      <c r="K246" s="26"/>
      <c r="L246" s="15"/>
      <c r="M246" s="26"/>
      <c r="N246" s="26"/>
      <c r="O246" s="26"/>
      <c r="P246" s="26"/>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row>
    <row r="247" spans="1:40">
      <c r="A247" s="15"/>
      <c r="B247" s="15"/>
      <c r="C247" s="26"/>
      <c r="D247" s="15"/>
      <c r="E247" s="15"/>
      <c r="F247" s="15"/>
      <c r="G247" s="15"/>
      <c r="H247" s="15"/>
      <c r="I247" s="26"/>
      <c r="J247" s="15"/>
      <c r="K247" s="26"/>
      <c r="L247" s="15"/>
      <c r="M247" s="26"/>
      <c r="N247" s="26"/>
      <c r="O247" s="26"/>
      <c r="P247" s="26"/>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row>
    <row r="248" spans="1:40">
      <c r="A248" s="15"/>
      <c r="B248" s="15"/>
      <c r="C248" s="26"/>
      <c r="D248" s="15"/>
      <c r="E248" s="15"/>
      <c r="F248" s="15"/>
      <c r="G248" s="15"/>
      <c r="H248" s="15"/>
      <c r="I248" s="26"/>
      <c r="J248" s="15"/>
      <c r="K248" s="26"/>
      <c r="L248" s="15"/>
      <c r="M248" s="26"/>
      <c r="N248" s="26"/>
      <c r="O248" s="26"/>
      <c r="P248" s="26"/>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row>
    <row r="249" spans="1:40">
      <c r="A249" s="15"/>
      <c r="B249" s="15"/>
      <c r="C249" s="26"/>
      <c r="D249" s="15"/>
      <c r="E249" s="15"/>
      <c r="F249" s="15"/>
      <c r="G249" s="15"/>
      <c r="H249" s="15"/>
      <c r="I249" s="26"/>
      <c r="J249" s="15"/>
      <c r="K249" s="26"/>
      <c r="L249" s="15"/>
      <c r="M249" s="26"/>
      <c r="N249" s="26"/>
      <c r="O249" s="26"/>
      <c r="P249" s="26"/>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row>
    <row r="250" spans="1:40">
      <c r="A250" s="15"/>
      <c r="B250" s="15"/>
      <c r="C250" s="26"/>
      <c r="D250" s="15"/>
      <c r="E250" s="15"/>
      <c r="F250" s="15"/>
      <c r="G250" s="15"/>
      <c r="H250" s="15"/>
      <c r="I250" s="26"/>
      <c r="J250" s="15"/>
      <c r="K250" s="26"/>
      <c r="L250" s="15"/>
      <c r="M250" s="26"/>
      <c r="N250" s="26"/>
      <c r="O250" s="26"/>
      <c r="P250" s="26"/>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row>
    <row r="251" spans="1:40">
      <c r="A251" s="15"/>
      <c r="B251" s="15"/>
      <c r="C251" s="26"/>
      <c r="D251" s="15"/>
      <c r="E251" s="15"/>
      <c r="F251" s="15"/>
      <c r="G251" s="15"/>
      <c r="H251" s="15"/>
      <c r="I251" s="26"/>
      <c r="J251" s="15"/>
      <c r="K251" s="26"/>
      <c r="L251" s="15"/>
      <c r="M251" s="26"/>
      <c r="N251" s="26"/>
      <c r="O251" s="26"/>
      <c r="P251" s="26"/>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row>
    <row r="252" spans="1:40">
      <c r="A252" s="15"/>
      <c r="B252" s="15"/>
      <c r="C252" s="26"/>
      <c r="D252" s="15"/>
      <c r="E252" s="15"/>
      <c r="F252" s="15"/>
      <c r="G252" s="15"/>
      <c r="H252" s="15"/>
      <c r="I252" s="26"/>
      <c r="J252" s="15"/>
      <c r="K252" s="26"/>
      <c r="L252" s="15"/>
      <c r="M252" s="26"/>
      <c r="N252" s="26"/>
      <c r="O252" s="26"/>
      <c r="P252" s="26"/>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row>
    <row r="253" spans="1:40">
      <c r="A253" s="15"/>
      <c r="B253" s="15"/>
      <c r="C253" s="26"/>
      <c r="D253" s="15"/>
      <c r="E253" s="15"/>
      <c r="F253" s="15"/>
      <c r="G253" s="15"/>
      <c r="H253" s="15"/>
      <c r="I253" s="26"/>
      <c r="J253" s="15"/>
      <c r="K253" s="26"/>
      <c r="L253" s="15"/>
      <c r="M253" s="26"/>
      <c r="N253" s="26"/>
      <c r="O253" s="26"/>
      <c r="P253" s="26"/>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row>
    <row r="254" spans="1:40">
      <c r="A254" s="15"/>
      <c r="B254" s="15"/>
      <c r="C254" s="26"/>
      <c r="D254" s="15"/>
      <c r="E254" s="15"/>
      <c r="F254" s="15"/>
      <c r="G254" s="15"/>
      <c r="H254" s="15"/>
      <c r="I254" s="26"/>
      <c r="J254" s="15"/>
      <c r="K254" s="26"/>
      <c r="L254" s="15"/>
      <c r="M254" s="26"/>
      <c r="N254" s="26"/>
      <c r="O254" s="26"/>
      <c r="P254" s="26"/>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row>
    <row r="255" spans="1:40">
      <c r="A255" s="15"/>
      <c r="B255" s="15"/>
      <c r="C255" s="26"/>
      <c r="D255" s="15"/>
      <c r="E255" s="15"/>
      <c r="F255" s="15"/>
      <c r="G255" s="15"/>
      <c r="H255" s="15"/>
      <c r="I255" s="26"/>
      <c r="J255" s="15"/>
      <c r="K255" s="26"/>
      <c r="L255" s="15"/>
      <c r="M255" s="26"/>
      <c r="N255" s="26"/>
      <c r="O255" s="26"/>
      <c r="P255" s="26"/>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row>
    <row r="256" spans="1:40">
      <c r="A256" s="15"/>
      <c r="B256" s="15"/>
      <c r="C256" s="26"/>
      <c r="D256" s="15"/>
      <c r="E256" s="15"/>
      <c r="F256" s="15"/>
      <c r="G256" s="15"/>
      <c r="H256" s="15"/>
      <c r="I256" s="26"/>
      <c r="J256" s="15"/>
      <c r="K256" s="26"/>
      <c r="L256" s="15"/>
      <c r="M256" s="26"/>
      <c r="N256" s="26"/>
      <c r="O256" s="26"/>
      <c r="P256" s="26"/>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row>
    <row r="257" spans="1:40">
      <c r="A257" s="15"/>
      <c r="B257" s="15"/>
      <c r="C257" s="26"/>
      <c r="D257" s="15"/>
      <c r="E257" s="15"/>
      <c r="F257" s="15"/>
      <c r="G257" s="15"/>
      <c r="H257" s="15"/>
      <c r="I257" s="26"/>
      <c r="J257" s="15"/>
      <c r="K257" s="26"/>
      <c r="L257" s="15"/>
      <c r="M257" s="26"/>
      <c r="N257" s="26"/>
      <c r="O257" s="26"/>
      <c r="P257" s="26"/>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row>
    <row r="258" spans="1:40">
      <c r="A258" s="15"/>
      <c r="B258" s="15"/>
      <c r="C258" s="26"/>
      <c r="D258" s="15"/>
      <c r="E258" s="15"/>
      <c r="F258" s="15"/>
      <c r="G258" s="15"/>
      <c r="H258" s="15"/>
      <c r="I258" s="26"/>
      <c r="J258" s="15"/>
      <c r="K258" s="26"/>
      <c r="L258" s="15"/>
      <c r="M258" s="26"/>
      <c r="N258" s="26"/>
      <c r="O258" s="26"/>
      <c r="P258" s="26"/>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row>
    <row r="259" spans="1:40">
      <c r="A259" s="15"/>
      <c r="B259" s="15"/>
      <c r="C259" s="26"/>
      <c r="D259" s="15"/>
      <c r="E259" s="15"/>
      <c r="F259" s="15"/>
      <c r="G259" s="15"/>
      <c r="H259" s="15"/>
      <c r="I259" s="26"/>
      <c r="J259" s="15"/>
      <c r="K259" s="26"/>
      <c r="L259" s="15"/>
      <c r="M259" s="26"/>
      <c r="N259" s="26"/>
      <c r="O259" s="26"/>
      <c r="P259" s="26"/>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row>
    <row r="260" spans="1:40">
      <c r="A260" s="15"/>
      <c r="B260" s="15"/>
      <c r="C260" s="26"/>
      <c r="D260" s="15"/>
      <c r="E260" s="15"/>
      <c r="F260" s="15"/>
      <c r="G260" s="15"/>
      <c r="H260" s="15"/>
      <c r="I260" s="26"/>
      <c r="J260" s="15"/>
      <c r="K260" s="26"/>
      <c r="L260" s="15"/>
      <c r="M260" s="26"/>
      <c r="N260" s="26"/>
      <c r="O260" s="26"/>
      <c r="P260" s="26"/>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row>
    <row r="261" spans="1:40">
      <c r="A261" s="15"/>
      <c r="B261" s="15"/>
      <c r="C261" s="26"/>
      <c r="D261" s="15"/>
      <c r="E261" s="15"/>
      <c r="F261" s="15"/>
      <c r="G261" s="15"/>
      <c r="H261" s="15"/>
      <c r="I261" s="26"/>
      <c r="J261" s="15"/>
      <c r="K261" s="26"/>
      <c r="L261" s="15"/>
      <c r="M261" s="26"/>
      <c r="N261" s="26"/>
      <c r="O261" s="26"/>
      <c r="P261" s="26"/>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row>
    <row r="262" spans="1:40">
      <c r="A262" s="15"/>
      <c r="B262" s="15"/>
      <c r="C262" s="26"/>
      <c r="D262" s="15"/>
      <c r="E262" s="15"/>
      <c r="F262" s="15"/>
      <c r="G262" s="15"/>
      <c r="H262" s="15"/>
      <c r="I262" s="26"/>
      <c r="J262" s="15"/>
      <c r="K262" s="26"/>
      <c r="L262" s="15"/>
      <c r="M262" s="26"/>
      <c r="N262" s="26"/>
      <c r="O262" s="26"/>
      <c r="P262" s="26"/>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row>
    <row r="263" spans="1:40">
      <c r="A263" s="15"/>
      <c r="B263" s="15"/>
      <c r="C263" s="26"/>
      <c r="D263" s="15"/>
      <c r="E263" s="15"/>
      <c r="F263" s="15"/>
      <c r="G263" s="15"/>
      <c r="H263" s="15"/>
      <c r="I263" s="26"/>
      <c r="J263" s="15"/>
      <c r="K263" s="26"/>
      <c r="L263" s="15"/>
      <c r="M263" s="26"/>
      <c r="N263" s="26"/>
      <c r="O263" s="26"/>
      <c r="P263" s="26"/>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row>
    <row r="264" spans="1:40">
      <c r="A264" s="15"/>
      <c r="B264" s="15"/>
      <c r="C264" s="26"/>
      <c r="D264" s="15"/>
      <c r="E264" s="15"/>
      <c r="F264" s="15"/>
      <c r="G264" s="15"/>
      <c r="H264" s="15"/>
      <c r="I264" s="26"/>
      <c r="J264" s="15"/>
      <c r="K264" s="26"/>
      <c r="L264" s="15"/>
      <c r="M264" s="26"/>
      <c r="N264" s="26"/>
      <c r="O264" s="26"/>
      <c r="P264" s="26"/>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row>
    <row r="265" spans="1:40">
      <c r="A265" s="15"/>
      <c r="B265" s="15"/>
      <c r="C265" s="26"/>
      <c r="D265" s="15"/>
      <c r="E265" s="15"/>
      <c r="F265" s="15"/>
      <c r="G265" s="15"/>
      <c r="H265" s="15"/>
      <c r="I265" s="26"/>
      <c r="J265" s="15"/>
      <c r="K265" s="26"/>
      <c r="L265" s="15"/>
      <c r="M265" s="26"/>
      <c r="N265" s="26"/>
      <c r="O265" s="26"/>
      <c r="P265" s="26"/>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row>
    <row r="266" spans="1:40">
      <c r="A266" s="15"/>
      <c r="B266" s="15"/>
      <c r="C266" s="26"/>
      <c r="D266" s="15"/>
      <c r="E266" s="15"/>
      <c r="F266" s="15"/>
      <c r="G266" s="15"/>
      <c r="H266" s="15"/>
      <c r="I266" s="26"/>
      <c r="J266" s="15"/>
      <c r="K266" s="26"/>
      <c r="L266" s="15"/>
      <c r="M266" s="26"/>
      <c r="N266" s="26"/>
      <c r="O266" s="26"/>
      <c r="P266" s="26"/>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row>
    <row r="267" spans="1:40">
      <c r="A267" s="15"/>
      <c r="B267" s="15"/>
      <c r="C267" s="26"/>
      <c r="D267" s="15"/>
      <c r="E267" s="15"/>
      <c r="F267" s="15"/>
      <c r="G267" s="15"/>
      <c r="H267" s="15"/>
      <c r="I267" s="26"/>
      <c r="J267" s="15"/>
      <c r="K267" s="26"/>
      <c r="L267" s="15"/>
      <c r="M267" s="26"/>
      <c r="N267" s="26"/>
      <c r="O267" s="26"/>
      <c r="P267" s="26"/>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row>
    <row r="268" spans="1:40">
      <c r="A268" s="15"/>
      <c r="B268" s="15"/>
      <c r="C268" s="26"/>
      <c r="D268" s="15"/>
      <c r="E268" s="15"/>
      <c r="F268" s="15"/>
      <c r="G268" s="15"/>
      <c r="H268" s="15"/>
      <c r="I268" s="26"/>
      <c r="J268" s="15"/>
      <c r="K268" s="26"/>
      <c r="L268" s="15"/>
      <c r="M268" s="26"/>
      <c r="N268" s="26"/>
      <c r="O268" s="26"/>
      <c r="P268" s="26"/>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row>
    <row r="269" spans="1:40">
      <c r="A269" s="15"/>
      <c r="B269" s="15"/>
      <c r="C269" s="26"/>
      <c r="D269" s="15"/>
      <c r="E269" s="15"/>
      <c r="F269" s="15"/>
      <c r="G269" s="15"/>
      <c r="H269" s="15"/>
      <c r="I269" s="26"/>
      <c r="J269" s="15"/>
      <c r="K269" s="26"/>
      <c r="L269" s="15"/>
      <c r="M269" s="26"/>
      <c r="N269" s="26"/>
      <c r="O269" s="26"/>
      <c r="P269" s="26"/>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row>
    <row r="270" spans="1:40">
      <c r="A270" s="15"/>
      <c r="B270" s="15"/>
      <c r="C270" s="26"/>
      <c r="D270" s="15"/>
      <c r="E270" s="15"/>
      <c r="F270" s="15"/>
      <c r="G270" s="15"/>
      <c r="H270" s="15"/>
      <c r="I270" s="26"/>
      <c r="J270" s="15"/>
      <c r="K270" s="26"/>
      <c r="L270" s="15"/>
      <c r="M270" s="26"/>
      <c r="N270" s="26"/>
      <c r="O270" s="26"/>
      <c r="P270" s="26"/>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row>
    <row r="271" spans="1:40">
      <c r="A271" s="15"/>
      <c r="B271" s="15"/>
      <c r="C271" s="26"/>
      <c r="D271" s="15"/>
      <c r="E271" s="15"/>
      <c r="F271" s="15"/>
      <c r="G271" s="15"/>
      <c r="H271" s="15"/>
      <c r="I271" s="26"/>
      <c r="J271" s="15"/>
      <c r="K271" s="26"/>
      <c r="L271" s="15"/>
      <c r="M271" s="26"/>
      <c r="N271" s="26"/>
      <c r="O271" s="26"/>
      <c r="P271" s="26"/>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row>
    <row r="272" spans="1:40">
      <c r="A272" s="15"/>
      <c r="B272" s="15"/>
      <c r="C272" s="26"/>
      <c r="D272" s="15"/>
      <c r="E272" s="15"/>
      <c r="F272" s="15"/>
      <c r="G272" s="15"/>
      <c r="H272" s="15"/>
      <c r="I272" s="26"/>
      <c r="J272" s="15"/>
      <c r="K272" s="26"/>
      <c r="L272" s="15"/>
      <c r="M272" s="26"/>
      <c r="N272" s="26"/>
      <c r="O272" s="26"/>
      <c r="P272" s="26"/>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row>
    <row r="273" spans="1:40">
      <c r="A273" s="15"/>
      <c r="B273" s="15"/>
      <c r="C273" s="26"/>
      <c r="D273" s="15"/>
      <c r="E273" s="15"/>
      <c r="F273" s="15"/>
      <c r="G273" s="15"/>
      <c r="H273" s="15"/>
      <c r="I273" s="26"/>
      <c r="J273" s="15"/>
      <c r="K273" s="26"/>
      <c r="L273" s="15"/>
      <c r="M273" s="26"/>
      <c r="N273" s="26"/>
      <c r="O273" s="26"/>
      <c r="P273" s="26"/>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row>
    <row r="274" spans="1:40">
      <c r="A274" s="15"/>
      <c r="B274" s="15"/>
      <c r="C274" s="26"/>
      <c r="D274" s="15"/>
      <c r="E274" s="15"/>
      <c r="F274" s="15"/>
      <c r="G274" s="15"/>
      <c r="H274" s="15"/>
      <c r="I274" s="26"/>
      <c r="J274" s="15"/>
      <c r="K274" s="26"/>
      <c r="L274" s="15"/>
      <c r="M274" s="26"/>
      <c r="N274" s="26"/>
      <c r="O274" s="26"/>
      <c r="P274" s="26"/>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row>
    <row r="275" spans="1:40">
      <c r="A275" s="15"/>
      <c r="B275" s="15"/>
      <c r="C275" s="26"/>
      <c r="D275" s="15"/>
      <c r="E275" s="15"/>
      <c r="F275" s="15"/>
      <c r="G275" s="15"/>
      <c r="H275" s="15"/>
      <c r="I275" s="26"/>
      <c r="J275" s="15"/>
      <c r="K275" s="26"/>
      <c r="L275" s="15"/>
      <c r="M275" s="26"/>
      <c r="N275" s="26"/>
      <c r="O275" s="26"/>
      <c r="P275" s="26"/>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row>
    <row r="276" spans="1:40">
      <c r="A276" s="15"/>
      <c r="B276" s="15"/>
      <c r="C276" s="26"/>
      <c r="D276" s="15"/>
      <c r="E276" s="15"/>
      <c r="F276" s="15"/>
      <c r="G276" s="15"/>
      <c r="H276" s="15"/>
      <c r="I276" s="26"/>
      <c r="J276" s="15"/>
      <c r="K276" s="26"/>
      <c r="L276" s="15"/>
      <c r="M276" s="26"/>
      <c r="N276" s="26"/>
      <c r="O276" s="26"/>
      <c r="P276" s="26"/>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row>
    <row r="277" spans="1:40">
      <c r="A277" s="15"/>
      <c r="B277" s="15"/>
      <c r="C277" s="26"/>
      <c r="D277" s="15"/>
      <c r="E277" s="15"/>
      <c r="F277" s="15"/>
      <c r="G277" s="15"/>
      <c r="H277" s="15"/>
      <c r="I277" s="26"/>
      <c r="J277" s="15"/>
      <c r="K277" s="26"/>
      <c r="L277" s="15"/>
      <c r="M277" s="26"/>
      <c r="N277" s="26"/>
      <c r="O277" s="26"/>
      <c r="P277" s="26"/>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row>
    <row r="278" spans="1:40">
      <c r="A278" s="15"/>
      <c r="B278" s="15"/>
      <c r="C278" s="26"/>
      <c r="D278" s="15"/>
      <c r="E278" s="15"/>
      <c r="F278" s="15"/>
      <c r="G278" s="15"/>
      <c r="H278" s="15"/>
      <c r="I278" s="26"/>
      <c r="J278" s="15"/>
      <c r="K278" s="26"/>
      <c r="L278" s="15"/>
      <c r="M278" s="26"/>
      <c r="N278" s="26"/>
      <c r="O278" s="26"/>
      <c r="P278" s="26"/>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row>
    <row r="279" spans="1:40">
      <c r="A279" s="15"/>
      <c r="B279" s="15"/>
      <c r="C279" s="26"/>
      <c r="D279" s="15"/>
      <c r="E279" s="15"/>
      <c r="F279" s="15"/>
      <c r="G279" s="15"/>
      <c r="H279" s="15"/>
      <c r="I279" s="26"/>
      <c r="J279" s="15"/>
      <c r="K279" s="26"/>
      <c r="L279" s="15"/>
      <c r="M279" s="26"/>
      <c r="N279" s="26"/>
      <c r="O279" s="26"/>
      <c r="P279" s="26"/>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row>
    <row r="280" spans="1:40">
      <c r="A280" s="15"/>
      <c r="B280" s="15"/>
      <c r="C280" s="26"/>
      <c r="D280" s="15"/>
      <c r="E280" s="15"/>
      <c r="F280" s="15"/>
      <c r="G280" s="15"/>
      <c r="H280" s="15"/>
      <c r="I280" s="26"/>
      <c r="J280" s="15"/>
      <c r="K280" s="26"/>
      <c r="L280" s="15"/>
      <c r="M280" s="26"/>
      <c r="N280" s="26"/>
      <c r="O280" s="26"/>
      <c r="P280" s="26"/>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row>
    <row r="281" spans="1:40">
      <c r="A281" s="15"/>
      <c r="B281" s="15"/>
      <c r="C281" s="26"/>
      <c r="D281" s="15"/>
      <c r="E281" s="15"/>
      <c r="F281" s="15"/>
      <c r="G281" s="15"/>
      <c r="H281" s="15"/>
      <c r="I281" s="26"/>
      <c r="J281" s="15"/>
      <c r="K281" s="26"/>
      <c r="L281" s="15"/>
      <c r="M281" s="26"/>
      <c r="N281" s="26"/>
      <c r="O281" s="26"/>
      <c r="P281" s="26"/>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row>
    <row r="282" spans="1:40">
      <c r="A282" s="15"/>
      <c r="B282" s="15"/>
      <c r="C282" s="26"/>
      <c r="D282" s="15"/>
      <c r="E282" s="15"/>
      <c r="F282" s="15"/>
      <c r="G282" s="15"/>
      <c r="H282" s="15"/>
      <c r="I282" s="26"/>
      <c r="J282" s="15"/>
      <c r="K282" s="26"/>
      <c r="L282" s="15"/>
      <c r="M282" s="26"/>
      <c r="N282" s="26"/>
      <c r="O282" s="26"/>
      <c r="P282" s="26"/>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row>
    <row r="283" spans="1:40">
      <c r="A283" s="15"/>
      <c r="B283" s="15"/>
      <c r="C283" s="26"/>
      <c r="D283" s="15"/>
      <c r="E283" s="15"/>
      <c r="F283" s="15"/>
      <c r="G283" s="15"/>
      <c r="H283" s="15"/>
      <c r="I283" s="26"/>
      <c r="J283" s="15"/>
      <c r="K283" s="26"/>
      <c r="L283" s="15"/>
      <c r="M283" s="26"/>
      <c r="N283" s="26"/>
      <c r="O283" s="26"/>
      <c r="P283" s="26"/>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row>
    <row r="284" spans="1:40">
      <c r="A284" s="15"/>
      <c r="B284" s="15"/>
      <c r="C284" s="26"/>
      <c r="D284" s="15"/>
      <c r="E284" s="15"/>
      <c r="F284" s="15"/>
      <c r="G284" s="15"/>
      <c r="H284" s="15"/>
      <c r="I284" s="26"/>
      <c r="J284" s="15"/>
      <c r="K284" s="26"/>
      <c r="L284" s="15"/>
      <c r="M284" s="26"/>
      <c r="N284" s="26"/>
      <c r="O284" s="26"/>
      <c r="P284" s="26"/>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row>
    <row r="285" spans="1:40">
      <c r="A285" s="15"/>
      <c r="B285" s="15"/>
      <c r="C285" s="26"/>
      <c r="D285" s="15"/>
      <c r="E285" s="15"/>
      <c r="F285" s="15"/>
      <c r="G285" s="15"/>
      <c r="H285" s="15"/>
      <c r="I285" s="26"/>
      <c r="J285" s="15"/>
      <c r="K285" s="26"/>
      <c r="L285" s="15"/>
      <c r="M285" s="26"/>
      <c r="N285" s="26"/>
      <c r="O285" s="26"/>
      <c r="P285" s="26"/>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row>
    <row r="286" spans="1:40">
      <c r="A286" s="15"/>
      <c r="B286" s="15"/>
      <c r="C286" s="26"/>
      <c r="D286" s="15"/>
      <c r="E286" s="15"/>
      <c r="F286" s="15"/>
      <c r="G286" s="15"/>
      <c r="H286" s="15"/>
      <c r="I286" s="26"/>
      <c r="J286" s="15"/>
      <c r="K286" s="26"/>
      <c r="L286" s="15"/>
      <c r="M286" s="26"/>
      <c r="N286" s="26"/>
      <c r="O286" s="26"/>
      <c r="P286" s="26"/>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row>
    <row r="287" spans="1:40">
      <c r="A287" s="15"/>
      <c r="B287" s="15"/>
      <c r="C287" s="26"/>
      <c r="D287" s="15"/>
      <c r="E287" s="15"/>
      <c r="F287" s="15"/>
      <c r="G287" s="15"/>
      <c r="H287" s="15"/>
      <c r="I287" s="26"/>
      <c r="J287" s="15"/>
      <c r="K287" s="26"/>
      <c r="L287" s="15"/>
      <c r="M287" s="26"/>
      <c r="N287" s="26"/>
      <c r="O287" s="26"/>
      <c r="P287" s="26"/>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row>
    <row r="288" spans="1:40">
      <c r="A288" s="15"/>
      <c r="B288" s="15"/>
      <c r="C288" s="26"/>
      <c r="D288" s="15"/>
      <c r="E288" s="15"/>
      <c r="F288" s="15"/>
      <c r="G288" s="15"/>
      <c r="H288" s="15"/>
      <c r="I288" s="26"/>
      <c r="J288" s="15"/>
      <c r="K288" s="26"/>
      <c r="L288" s="15"/>
      <c r="M288" s="26"/>
      <c r="N288" s="26"/>
      <c r="O288" s="26"/>
      <c r="P288" s="26"/>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row>
    <row r="289" spans="1:40">
      <c r="A289" s="15"/>
      <c r="B289" s="15"/>
      <c r="C289" s="26"/>
      <c r="D289" s="15"/>
      <c r="E289" s="15"/>
      <c r="F289" s="15"/>
      <c r="G289" s="15"/>
      <c r="H289" s="15"/>
      <c r="I289" s="26"/>
      <c r="J289" s="15"/>
      <c r="K289" s="26"/>
      <c r="L289" s="15"/>
      <c r="M289" s="26"/>
      <c r="N289" s="26"/>
      <c r="O289" s="26"/>
      <c r="P289" s="26"/>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row>
    <row r="290" spans="1:40">
      <c r="A290" s="15"/>
      <c r="B290" s="15"/>
      <c r="C290" s="26"/>
      <c r="D290" s="15"/>
      <c r="E290" s="15"/>
      <c r="F290" s="15"/>
      <c r="G290" s="15"/>
      <c r="H290" s="15"/>
      <c r="I290" s="26"/>
      <c r="J290" s="15"/>
      <c r="K290" s="26"/>
      <c r="L290" s="15"/>
      <c r="M290" s="26"/>
      <c r="N290" s="26"/>
      <c r="O290" s="26"/>
      <c r="P290" s="26"/>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row>
    <row r="291" spans="1:40">
      <c r="A291" s="15"/>
      <c r="B291" s="15"/>
      <c r="C291" s="26"/>
      <c r="D291" s="15"/>
      <c r="E291" s="15"/>
      <c r="F291" s="15"/>
      <c r="G291" s="15"/>
      <c r="H291" s="15"/>
      <c r="I291" s="26"/>
      <c r="J291" s="15"/>
      <c r="K291" s="26"/>
      <c r="L291" s="15"/>
      <c r="M291" s="26"/>
      <c r="N291" s="26"/>
      <c r="O291" s="26"/>
      <c r="P291" s="26"/>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row>
    <row r="292" spans="1:40">
      <c r="A292" s="15"/>
      <c r="B292" s="15"/>
      <c r="C292" s="26"/>
      <c r="D292" s="15"/>
      <c r="E292" s="15"/>
      <c r="F292" s="15"/>
      <c r="G292" s="15"/>
      <c r="H292" s="15"/>
      <c r="I292" s="26"/>
      <c r="J292" s="15"/>
      <c r="K292" s="26"/>
      <c r="L292" s="15"/>
      <c r="M292" s="26"/>
      <c r="N292" s="26"/>
      <c r="O292" s="26"/>
      <c r="P292" s="26"/>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row>
    <row r="293" spans="1:40">
      <c r="A293" s="15"/>
      <c r="B293" s="15"/>
      <c r="C293" s="26"/>
      <c r="D293" s="15"/>
      <c r="E293" s="15"/>
      <c r="F293" s="15"/>
      <c r="G293" s="15"/>
      <c r="H293" s="15"/>
      <c r="I293" s="26"/>
      <c r="J293" s="15"/>
      <c r="K293" s="26"/>
      <c r="L293" s="15"/>
      <c r="M293" s="26"/>
      <c r="N293" s="26"/>
      <c r="O293" s="26"/>
      <c r="P293" s="26"/>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row>
    <row r="294" spans="1:40">
      <c r="A294" s="15"/>
      <c r="B294" s="15"/>
      <c r="C294" s="26"/>
      <c r="D294" s="15"/>
      <c r="E294" s="15"/>
      <c r="F294" s="15"/>
      <c r="G294" s="15"/>
      <c r="H294" s="15"/>
      <c r="I294" s="26"/>
      <c r="J294" s="15"/>
      <c r="K294" s="26"/>
      <c r="L294" s="15"/>
      <c r="M294" s="26"/>
      <c r="N294" s="26"/>
      <c r="O294" s="26"/>
      <c r="P294" s="26"/>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row>
    <row r="295" spans="1:40">
      <c r="A295" s="15"/>
      <c r="B295" s="15"/>
      <c r="C295" s="26"/>
      <c r="D295" s="15"/>
      <c r="E295" s="15"/>
      <c r="F295" s="15"/>
      <c r="G295" s="15"/>
      <c r="H295" s="15"/>
      <c r="I295" s="26"/>
      <c r="J295" s="15"/>
      <c r="K295" s="26"/>
      <c r="L295" s="15"/>
      <c r="M295" s="26"/>
      <c r="N295" s="26"/>
      <c r="O295" s="26"/>
      <c r="P295" s="26"/>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row>
    <row r="296" spans="1:40">
      <c r="A296" s="15"/>
      <c r="B296" s="15"/>
      <c r="C296" s="26"/>
      <c r="D296" s="15"/>
      <c r="E296" s="15"/>
      <c r="F296" s="15"/>
      <c r="G296" s="15"/>
      <c r="H296" s="15"/>
      <c r="I296" s="26"/>
      <c r="J296" s="15"/>
      <c r="K296" s="26"/>
      <c r="L296" s="15"/>
      <c r="M296" s="26"/>
      <c r="N296" s="26"/>
      <c r="O296" s="26"/>
      <c r="P296" s="26"/>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row>
    <row r="297" spans="1:40">
      <c r="A297" s="15"/>
      <c r="B297" s="15"/>
      <c r="C297" s="26"/>
      <c r="D297" s="15"/>
      <c r="E297" s="15"/>
      <c r="F297" s="15"/>
      <c r="G297" s="15"/>
      <c r="H297" s="15"/>
      <c r="I297" s="26"/>
      <c r="J297" s="15"/>
      <c r="K297" s="26"/>
      <c r="L297" s="15"/>
      <c r="M297" s="26"/>
      <c r="N297" s="26"/>
      <c r="O297" s="26"/>
      <c r="P297" s="26"/>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row>
    <row r="298" spans="1:40">
      <c r="A298" s="15"/>
      <c r="B298" s="15"/>
      <c r="C298" s="26"/>
      <c r="D298" s="15"/>
      <c r="E298" s="15"/>
      <c r="F298" s="15"/>
      <c r="G298" s="15"/>
      <c r="H298" s="15"/>
      <c r="I298" s="26"/>
      <c r="J298" s="15"/>
      <c r="K298" s="26"/>
      <c r="L298" s="15"/>
      <c r="M298" s="26"/>
      <c r="N298" s="26"/>
      <c r="O298" s="26"/>
      <c r="P298" s="26"/>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row>
    <row r="299" spans="1:40">
      <c r="A299" s="15"/>
      <c r="B299" s="15"/>
      <c r="C299" s="26"/>
      <c r="D299" s="15"/>
      <c r="E299" s="15"/>
      <c r="F299" s="15"/>
      <c r="G299" s="15"/>
      <c r="H299" s="15"/>
      <c r="I299" s="26"/>
      <c r="J299" s="15"/>
      <c r="K299" s="26"/>
      <c r="L299" s="15"/>
      <c r="M299" s="26"/>
      <c r="N299" s="26"/>
      <c r="O299" s="26"/>
      <c r="P299" s="26"/>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row>
    <row r="300" spans="1:40">
      <c r="A300" s="15"/>
      <c r="B300" s="15"/>
      <c r="C300" s="26"/>
      <c r="D300" s="15"/>
      <c r="E300" s="15"/>
      <c r="F300" s="15"/>
      <c r="G300" s="15"/>
      <c r="H300" s="15"/>
      <c r="I300" s="26"/>
      <c r="J300" s="15"/>
      <c r="K300" s="26"/>
      <c r="L300" s="15"/>
      <c r="M300" s="26"/>
      <c r="N300" s="26"/>
      <c r="O300" s="26"/>
      <c r="P300" s="26"/>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row>
    <row r="301" spans="1:40">
      <c r="A301" s="15"/>
      <c r="B301" s="15"/>
      <c r="C301" s="26"/>
      <c r="D301" s="15"/>
      <c r="E301" s="15"/>
      <c r="F301" s="15"/>
      <c r="G301" s="15"/>
      <c r="H301" s="15"/>
      <c r="I301" s="26"/>
      <c r="J301" s="15"/>
      <c r="K301" s="26"/>
      <c r="L301" s="15"/>
      <c r="M301" s="26"/>
      <c r="N301" s="26"/>
      <c r="O301" s="26"/>
      <c r="P301" s="26"/>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row>
    <row r="302" spans="1:40">
      <c r="A302" s="15"/>
      <c r="B302" s="15"/>
      <c r="C302" s="26"/>
      <c r="D302" s="15"/>
      <c r="E302" s="15"/>
      <c r="F302" s="15"/>
      <c r="G302" s="15"/>
      <c r="H302" s="15"/>
      <c r="I302" s="26"/>
      <c r="J302" s="15"/>
      <c r="K302" s="26"/>
      <c r="L302" s="15"/>
      <c r="M302" s="26"/>
      <c r="N302" s="26"/>
      <c r="O302" s="26"/>
      <c r="P302" s="26"/>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row>
    <row r="303" spans="1:40">
      <c r="A303" s="15"/>
      <c r="B303" s="15"/>
      <c r="C303" s="26"/>
      <c r="D303" s="15"/>
      <c r="E303" s="15"/>
      <c r="F303" s="15"/>
      <c r="G303" s="15"/>
      <c r="H303" s="15"/>
      <c r="I303" s="26"/>
      <c r="J303" s="15"/>
      <c r="K303" s="26"/>
      <c r="L303" s="15"/>
      <c r="M303" s="26"/>
      <c r="N303" s="26"/>
      <c r="O303" s="26"/>
      <c r="P303" s="26"/>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row>
    <row r="304" spans="1:40">
      <c r="A304" s="15"/>
      <c r="B304" s="15"/>
      <c r="C304" s="26"/>
      <c r="D304" s="15"/>
      <c r="E304" s="15"/>
      <c r="F304" s="15"/>
      <c r="G304" s="15"/>
      <c r="H304" s="15"/>
      <c r="I304" s="26"/>
      <c r="J304" s="15"/>
      <c r="K304" s="26"/>
      <c r="L304" s="15"/>
      <c r="M304" s="26"/>
      <c r="N304" s="26"/>
      <c r="O304" s="26"/>
      <c r="P304" s="26"/>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row>
    <row r="305" spans="1:40">
      <c r="A305" s="15"/>
      <c r="B305" s="15"/>
      <c r="C305" s="26"/>
      <c r="D305" s="15"/>
      <c r="E305" s="15"/>
      <c r="F305" s="15"/>
      <c r="G305" s="15"/>
      <c r="H305" s="15"/>
      <c r="I305" s="26"/>
      <c r="J305" s="15"/>
      <c r="K305" s="26"/>
      <c r="L305" s="15"/>
      <c r="M305" s="26"/>
      <c r="N305" s="26"/>
      <c r="O305" s="26"/>
      <c r="P305" s="26"/>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row>
    <row r="306" spans="1:40">
      <c r="A306" s="15"/>
      <c r="B306" s="15"/>
      <c r="C306" s="26"/>
      <c r="D306" s="15"/>
      <c r="E306" s="15"/>
      <c r="F306" s="15"/>
      <c r="G306" s="15"/>
      <c r="H306" s="15"/>
      <c r="I306" s="26"/>
      <c r="J306" s="15"/>
      <c r="K306" s="26"/>
      <c r="L306" s="15"/>
      <c r="M306" s="26"/>
      <c r="N306" s="26"/>
      <c r="O306" s="26"/>
      <c r="P306" s="26"/>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row>
    <row r="307" spans="1:40">
      <c r="A307" s="15"/>
      <c r="B307" s="15"/>
      <c r="C307" s="26"/>
      <c r="D307" s="15"/>
      <c r="E307" s="15"/>
      <c r="F307" s="15"/>
      <c r="G307" s="15"/>
      <c r="H307" s="15"/>
      <c r="I307" s="26"/>
      <c r="J307" s="15"/>
      <c r="K307" s="26"/>
      <c r="L307" s="15"/>
      <c r="M307" s="26"/>
      <c r="N307" s="26"/>
      <c r="O307" s="26"/>
      <c r="P307" s="26"/>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row>
    <row r="308" spans="1:40">
      <c r="A308" s="15"/>
      <c r="B308" s="15"/>
      <c r="C308" s="26"/>
      <c r="D308" s="15"/>
      <c r="E308" s="15"/>
      <c r="F308" s="15"/>
      <c r="G308" s="15"/>
      <c r="H308" s="15"/>
      <c r="I308" s="26"/>
      <c r="J308" s="15"/>
      <c r="K308" s="26"/>
      <c r="L308" s="15"/>
      <c r="M308" s="26"/>
      <c r="N308" s="26"/>
      <c r="O308" s="26"/>
      <c r="P308" s="26"/>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row>
    <row r="309" spans="1:40">
      <c r="A309" s="15"/>
      <c r="B309" s="15"/>
      <c r="C309" s="26"/>
      <c r="D309" s="15"/>
      <c r="E309" s="15"/>
      <c r="F309" s="15"/>
      <c r="G309" s="15"/>
      <c r="H309" s="15"/>
      <c r="I309" s="26"/>
      <c r="J309" s="15"/>
      <c r="K309" s="26"/>
      <c r="L309" s="15"/>
      <c r="M309" s="26"/>
      <c r="N309" s="26"/>
      <c r="O309" s="26"/>
      <c r="P309" s="26"/>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row>
    <row r="310" spans="1:40">
      <c r="A310" s="15"/>
      <c r="B310" s="15"/>
      <c r="C310" s="26"/>
      <c r="D310" s="15"/>
      <c r="E310" s="15"/>
      <c r="F310" s="15"/>
      <c r="G310" s="15"/>
      <c r="H310" s="15"/>
      <c r="I310" s="26"/>
      <c r="J310" s="15"/>
      <c r="K310" s="26"/>
      <c r="L310" s="15"/>
      <c r="M310" s="26"/>
      <c r="N310" s="26"/>
      <c r="O310" s="26"/>
      <c r="P310" s="26"/>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row>
    <row r="311" spans="1:40">
      <c r="A311" s="15"/>
      <c r="B311" s="15"/>
      <c r="C311" s="26"/>
      <c r="D311" s="15"/>
      <c r="E311" s="15"/>
      <c r="F311" s="15"/>
      <c r="G311" s="15"/>
      <c r="H311" s="15"/>
      <c r="I311" s="26"/>
      <c r="J311" s="15"/>
      <c r="K311" s="26"/>
      <c r="L311" s="15"/>
      <c r="M311" s="26"/>
      <c r="N311" s="26"/>
      <c r="O311" s="26"/>
      <c r="P311" s="26"/>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row>
    <row r="312" spans="1:40">
      <c r="A312" s="15"/>
      <c r="B312" s="15"/>
      <c r="C312" s="26"/>
      <c r="D312" s="15"/>
      <c r="E312" s="15"/>
      <c r="F312" s="15"/>
      <c r="G312" s="15"/>
      <c r="H312" s="15"/>
      <c r="I312" s="26"/>
      <c r="J312" s="15"/>
      <c r="K312" s="26"/>
      <c r="L312" s="15"/>
      <c r="M312" s="26"/>
      <c r="N312" s="26"/>
      <c r="O312" s="26"/>
      <c r="P312" s="26"/>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row>
    <row r="313" spans="1:40">
      <c r="A313" s="15"/>
      <c r="B313" s="15"/>
      <c r="C313" s="26"/>
      <c r="D313" s="15"/>
      <c r="E313" s="15"/>
      <c r="F313" s="15"/>
      <c r="G313" s="15"/>
      <c r="H313" s="15"/>
      <c r="I313" s="26"/>
      <c r="J313" s="15"/>
      <c r="K313" s="26"/>
      <c r="L313" s="15"/>
      <c r="M313" s="26"/>
      <c r="N313" s="26"/>
      <c r="O313" s="26"/>
      <c r="P313" s="26"/>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row>
    <row r="314" spans="1:40">
      <c r="A314" s="15"/>
      <c r="B314" s="15"/>
      <c r="C314" s="26"/>
      <c r="D314" s="15"/>
      <c r="E314" s="15"/>
      <c r="F314" s="15"/>
      <c r="G314" s="15"/>
      <c r="H314" s="15"/>
      <c r="I314" s="26"/>
      <c r="J314" s="15"/>
      <c r="K314" s="26"/>
      <c r="L314" s="15"/>
      <c r="M314" s="26"/>
      <c r="N314" s="26"/>
      <c r="O314" s="26"/>
      <c r="P314" s="26"/>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row>
    <row r="315" spans="1:40">
      <c r="A315" s="15"/>
      <c r="B315" s="15"/>
      <c r="C315" s="26"/>
      <c r="D315" s="15"/>
      <c r="E315" s="15"/>
      <c r="F315" s="15"/>
      <c r="G315" s="15"/>
      <c r="H315" s="15"/>
      <c r="I315" s="26"/>
      <c r="J315" s="15"/>
      <c r="K315" s="26"/>
      <c r="L315" s="15"/>
      <c r="M315" s="26"/>
      <c r="N315" s="26"/>
      <c r="O315" s="26"/>
      <c r="P315" s="26"/>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row>
    <row r="316" spans="1:40">
      <c r="A316" s="15"/>
      <c r="B316" s="15"/>
      <c r="C316" s="26"/>
      <c r="D316" s="15"/>
      <c r="E316" s="15"/>
      <c r="F316" s="15"/>
      <c r="G316" s="15"/>
      <c r="H316" s="15"/>
      <c r="I316" s="26"/>
      <c r="J316" s="15"/>
      <c r="K316" s="26"/>
      <c r="L316" s="15"/>
      <c r="M316" s="26"/>
      <c r="N316" s="26"/>
      <c r="O316" s="26"/>
      <c r="P316" s="26"/>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row>
    <row r="317" spans="1:40">
      <c r="A317" s="15"/>
      <c r="B317" s="15"/>
      <c r="C317" s="26"/>
      <c r="D317" s="15"/>
      <c r="E317" s="15"/>
      <c r="F317" s="15"/>
      <c r="G317" s="15"/>
      <c r="H317" s="15"/>
      <c r="I317" s="26"/>
      <c r="J317" s="15"/>
      <c r="K317" s="26"/>
      <c r="L317" s="15"/>
      <c r="M317" s="26"/>
      <c r="N317" s="26"/>
      <c r="O317" s="26"/>
      <c r="P317" s="26"/>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row>
    <row r="318" spans="1:40">
      <c r="A318" s="15"/>
      <c r="B318" s="15"/>
      <c r="C318" s="26"/>
      <c r="D318" s="15"/>
      <c r="E318" s="15"/>
      <c r="F318" s="15"/>
      <c r="G318" s="15"/>
      <c r="H318" s="15"/>
      <c r="I318" s="26"/>
      <c r="J318" s="15"/>
      <c r="K318" s="26"/>
      <c r="L318" s="15"/>
      <c r="M318" s="26"/>
      <c r="N318" s="26"/>
      <c r="O318" s="26"/>
      <c r="P318" s="26"/>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row>
    <row r="319" spans="1:40">
      <c r="A319" s="15"/>
      <c r="B319" s="15"/>
      <c r="C319" s="26"/>
      <c r="D319" s="15"/>
      <c r="E319" s="15"/>
      <c r="F319" s="15"/>
      <c r="G319" s="15"/>
      <c r="H319" s="15"/>
      <c r="I319" s="26"/>
      <c r="J319" s="15"/>
      <c r="K319" s="26"/>
      <c r="L319" s="15"/>
      <c r="M319" s="26"/>
      <c r="N319" s="26"/>
      <c r="O319" s="26"/>
      <c r="P319" s="26"/>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row>
    <row r="320" spans="1:40">
      <c r="A320" s="15"/>
      <c r="B320" s="15"/>
      <c r="C320" s="26"/>
      <c r="D320" s="15"/>
      <c r="E320" s="15"/>
      <c r="F320" s="15"/>
      <c r="G320" s="15"/>
      <c r="H320" s="15"/>
      <c r="I320" s="26"/>
      <c r="J320" s="15"/>
      <c r="K320" s="26"/>
      <c r="L320" s="15"/>
      <c r="M320" s="26"/>
      <c r="N320" s="26"/>
      <c r="O320" s="26"/>
      <c r="P320" s="26"/>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row>
    <row r="321" spans="1:40">
      <c r="A321" s="15"/>
      <c r="B321" s="15"/>
      <c r="C321" s="26"/>
      <c r="D321" s="15"/>
      <c r="E321" s="15"/>
      <c r="F321" s="15"/>
      <c r="G321" s="15"/>
      <c r="H321" s="15"/>
      <c r="I321" s="26"/>
      <c r="J321" s="15"/>
      <c r="K321" s="26"/>
      <c r="L321" s="15"/>
      <c r="M321" s="26"/>
      <c r="N321" s="26"/>
      <c r="O321" s="26"/>
      <c r="P321" s="26"/>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row>
    <row r="322" spans="1:40">
      <c r="A322" s="15"/>
      <c r="B322" s="15"/>
      <c r="C322" s="26"/>
      <c r="D322" s="15"/>
      <c r="E322" s="15"/>
      <c r="F322" s="15"/>
      <c r="G322" s="15"/>
      <c r="H322" s="15"/>
      <c r="I322" s="26"/>
      <c r="J322" s="15"/>
      <c r="K322" s="26"/>
      <c r="L322" s="15"/>
      <c r="M322" s="26"/>
      <c r="N322" s="26"/>
      <c r="O322" s="26"/>
      <c r="P322" s="26"/>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row>
    <row r="323" spans="1:40">
      <c r="A323" s="15"/>
      <c r="B323" s="15"/>
      <c r="C323" s="26"/>
      <c r="D323" s="15"/>
      <c r="E323" s="15"/>
      <c r="F323" s="15"/>
      <c r="G323" s="15"/>
      <c r="H323" s="15"/>
      <c r="I323" s="26"/>
      <c r="J323" s="15"/>
      <c r="K323" s="26"/>
      <c r="L323" s="15"/>
      <c r="M323" s="26"/>
      <c r="N323" s="26"/>
      <c r="O323" s="26"/>
      <c r="P323" s="26"/>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row>
    <row r="324" spans="1:40">
      <c r="A324" s="15"/>
      <c r="B324" s="15"/>
      <c r="C324" s="26"/>
      <c r="D324" s="15"/>
      <c r="E324" s="15"/>
      <c r="F324" s="15"/>
      <c r="G324" s="15"/>
      <c r="H324" s="15"/>
      <c r="I324" s="26"/>
      <c r="J324" s="15"/>
      <c r="K324" s="26"/>
      <c r="L324" s="15"/>
      <c r="M324" s="26"/>
      <c r="N324" s="26"/>
      <c r="O324" s="26"/>
      <c r="P324" s="26"/>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row>
    <row r="325" spans="1:40">
      <c r="A325" s="15"/>
      <c r="B325" s="15"/>
      <c r="C325" s="26"/>
      <c r="D325" s="15"/>
      <c r="E325" s="15"/>
      <c r="F325" s="15"/>
      <c r="G325" s="15"/>
      <c r="H325" s="15"/>
      <c r="I325" s="26"/>
      <c r="J325" s="15"/>
      <c r="K325" s="26"/>
      <c r="L325" s="15"/>
      <c r="M325" s="26"/>
      <c r="N325" s="26"/>
      <c r="O325" s="26"/>
      <c r="P325" s="26"/>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row>
    <row r="326" spans="1:40">
      <c r="A326" s="15"/>
      <c r="B326" s="15"/>
      <c r="C326" s="26"/>
      <c r="D326" s="15"/>
      <c r="E326" s="15"/>
      <c r="F326" s="15"/>
      <c r="G326" s="15"/>
      <c r="H326" s="15"/>
      <c r="I326" s="26"/>
      <c r="J326" s="15"/>
      <c r="K326" s="26"/>
      <c r="L326" s="15"/>
      <c r="M326" s="26"/>
      <c r="N326" s="26"/>
      <c r="O326" s="26"/>
      <c r="P326" s="26"/>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row>
    <row r="327" spans="1:40">
      <c r="A327" s="15"/>
      <c r="B327" s="15"/>
      <c r="C327" s="26"/>
      <c r="D327" s="15"/>
      <c r="E327" s="15"/>
      <c r="F327" s="15"/>
      <c r="G327" s="15"/>
      <c r="H327" s="15"/>
      <c r="I327" s="26"/>
      <c r="J327" s="15"/>
      <c r="K327" s="26"/>
      <c r="L327" s="15"/>
      <c r="M327" s="26"/>
      <c r="N327" s="26"/>
      <c r="O327" s="26"/>
      <c r="P327" s="26"/>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row>
    <row r="328" spans="1:40">
      <c r="A328" s="15"/>
      <c r="B328" s="15"/>
      <c r="C328" s="26"/>
      <c r="D328" s="15"/>
      <c r="E328" s="15"/>
      <c r="F328" s="15"/>
      <c r="G328" s="15"/>
      <c r="H328" s="15"/>
      <c r="I328" s="26"/>
      <c r="J328" s="15"/>
      <c r="K328" s="26"/>
      <c r="L328" s="15"/>
      <c r="M328" s="26"/>
      <c r="N328" s="26"/>
      <c r="O328" s="26"/>
      <c r="P328" s="26"/>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row>
    <row r="329" spans="1:40">
      <c r="A329" s="15"/>
      <c r="B329" s="15"/>
      <c r="C329" s="26"/>
      <c r="D329" s="15"/>
      <c r="E329" s="15"/>
      <c r="F329" s="15"/>
      <c r="G329" s="15"/>
      <c r="H329" s="15"/>
      <c r="I329" s="26"/>
      <c r="J329" s="15"/>
      <c r="K329" s="26"/>
      <c r="L329" s="15"/>
      <c r="M329" s="26"/>
      <c r="N329" s="26"/>
      <c r="O329" s="26"/>
      <c r="P329" s="26"/>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row>
    <row r="330" spans="1:40">
      <c r="A330" s="15"/>
      <c r="B330" s="15"/>
      <c r="C330" s="26"/>
      <c r="D330" s="15"/>
      <c r="E330" s="15"/>
      <c r="F330" s="15"/>
      <c r="G330" s="15"/>
      <c r="H330" s="15"/>
      <c r="I330" s="26"/>
      <c r="J330" s="15"/>
      <c r="K330" s="26"/>
      <c r="L330" s="15"/>
      <c r="M330" s="26"/>
      <c r="N330" s="26"/>
      <c r="O330" s="26"/>
      <c r="P330" s="26"/>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row>
    <row r="331" spans="1:40">
      <c r="A331" s="15"/>
      <c r="B331" s="15"/>
      <c r="C331" s="26"/>
      <c r="D331" s="15"/>
      <c r="E331" s="15"/>
      <c r="F331" s="15"/>
      <c r="G331" s="15"/>
      <c r="H331" s="15"/>
      <c r="I331" s="26"/>
      <c r="J331" s="15"/>
      <c r="K331" s="26"/>
      <c r="L331" s="15"/>
      <c r="M331" s="26"/>
      <c r="N331" s="26"/>
      <c r="O331" s="26"/>
      <c r="P331" s="26"/>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row>
    <row r="332" spans="1:40">
      <c r="A332" s="15"/>
      <c r="B332" s="15"/>
      <c r="C332" s="26"/>
      <c r="D332" s="15"/>
      <c r="E332" s="15"/>
      <c r="F332" s="15"/>
      <c r="G332" s="15"/>
      <c r="H332" s="15"/>
      <c r="I332" s="26"/>
      <c r="J332" s="15"/>
      <c r="K332" s="26"/>
      <c r="L332" s="15"/>
      <c r="M332" s="26"/>
      <c r="N332" s="26"/>
      <c r="O332" s="26"/>
      <c r="P332" s="26"/>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row>
    <row r="333" spans="1:40">
      <c r="A333" s="15"/>
      <c r="B333" s="15"/>
      <c r="C333" s="26"/>
      <c r="D333" s="15"/>
      <c r="E333" s="15"/>
      <c r="F333" s="15"/>
      <c r="G333" s="15"/>
      <c r="H333" s="15"/>
      <c r="I333" s="26"/>
      <c r="J333" s="15"/>
      <c r="K333" s="26"/>
      <c r="L333" s="15"/>
      <c r="M333" s="26"/>
      <c r="N333" s="26"/>
      <c r="O333" s="26"/>
      <c r="P333" s="26"/>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row>
    <row r="334" spans="1:40">
      <c r="A334" s="15"/>
      <c r="B334" s="15"/>
      <c r="C334" s="26"/>
      <c r="D334" s="15"/>
      <c r="E334" s="15"/>
      <c r="F334" s="15"/>
      <c r="G334" s="15"/>
      <c r="H334" s="15"/>
      <c r="I334" s="26"/>
      <c r="J334" s="15"/>
      <c r="K334" s="26"/>
      <c r="L334" s="15"/>
      <c r="M334" s="26"/>
      <c r="N334" s="26"/>
      <c r="O334" s="26"/>
      <c r="P334" s="26"/>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row>
    <row r="335" spans="1:40">
      <c r="A335" s="15"/>
      <c r="B335" s="15"/>
      <c r="C335" s="26"/>
      <c r="D335" s="15"/>
      <c r="E335" s="15"/>
      <c r="F335" s="15"/>
      <c r="G335" s="15"/>
      <c r="H335" s="15"/>
      <c r="I335" s="26"/>
      <c r="J335" s="15"/>
      <c r="K335" s="26"/>
      <c r="L335" s="15"/>
      <c r="M335" s="26"/>
      <c r="N335" s="26"/>
      <c r="O335" s="26"/>
      <c r="P335" s="26"/>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row>
    <row r="336" spans="1:40">
      <c r="A336" s="15"/>
      <c r="B336" s="15"/>
      <c r="C336" s="26"/>
      <c r="D336" s="15"/>
      <c r="E336" s="15"/>
      <c r="F336" s="15"/>
      <c r="G336" s="15"/>
      <c r="H336" s="15"/>
      <c r="I336" s="26"/>
      <c r="J336" s="15"/>
      <c r="K336" s="26"/>
      <c r="L336" s="15"/>
      <c r="M336" s="26"/>
      <c r="N336" s="26"/>
      <c r="O336" s="26"/>
      <c r="P336" s="26"/>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row>
    <row r="337" spans="1:40">
      <c r="A337" s="15"/>
      <c r="B337" s="15"/>
      <c r="C337" s="26"/>
      <c r="D337" s="15"/>
      <c r="E337" s="15"/>
      <c r="F337" s="15"/>
      <c r="G337" s="15"/>
      <c r="H337" s="15"/>
      <c r="I337" s="26"/>
      <c r="J337" s="15"/>
      <c r="K337" s="26"/>
      <c r="L337" s="15"/>
      <c r="M337" s="26"/>
      <c r="N337" s="26"/>
      <c r="O337" s="26"/>
      <c r="P337" s="26"/>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row>
    <row r="338" spans="1:40">
      <c r="A338" s="15"/>
      <c r="B338" s="15"/>
      <c r="C338" s="26"/>
      <c r="D338" s="15"/>
      <c r="E338" s="15"/>
      <c r="F338" s="15"/>
      <c r="G338" s="15"/>
      <c r="H338" s="15"/>
      <c r="I338" s="26"/>
      <c r="J338" s="15"/>
      <c r="K338" s="26"/>
      <c r="L338" s="15"/>
      <c r="M338" s="26"/>
      <c r="N338" s="26"/>
      <c r="O338" s="26"/>
      <c r="P338" s="26"/>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row>
    <row r="339" spans="1:40">
      <c r="A339" s="15"/>
      <c r="B339" s="15"/>
      <c r="C339" s="26"/>
      <c r="D339" s="15"/>
      <c r="E339" s="15"/>
      <c r="F339" s="15"/>
      <c r="G339" s="15"/>
      <c r="H339" s="15"/>
      <c r="I339" s="26"/>
      <c r="J339" s="15"/>
      <c r="K339" s="26"/>
      <c r="L339" s="15"/>
      <c r="M339" s="26"/>
      <c r="N339" s="26"/>
      <c r="O339" s="26"/>
      <c r="P339" s="26"/>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row>
    <row r="340" spans="1:40">
      <c r="A340" s="15"/>
      <c r="B340" s="15"/>
      <c r="C340" s="26"/>
      <c r="D340" s="15"/>
      <c r="E340" s="15"/>
      <c r="F340" s="15"/>
      <c r="G340" s="15"/>
      <c r="H340" s="15"/>
      <c r="I340" s="26"/>
      <c r="J340" s="15"/>
      <c r="K340" s="26"/>
      <c r="L340" s="15"/>
      <c r="M340" s="26"/>
      <c r="N340" s="26"/>
      <c r="O340" s="26"/>
      <c r="P340" s="26"/>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row>
    <row r="341" spans="1:40">
      <c r="A341" s="15"/>
      <c r="B341" s="15"/>
      <c r="C341" s="26"/>
      <c r="D341" s="15"/>
      <c r="E341" s="15"/>
      <c r="F341" s="15"/>
      <c r="G341" s="15"/>
      <c r="H341" s="15"/>
      <c r="I341" s="26"/>
      <c r="J341" s="15"/>
      <c r="K341" s="26"/>
      <c r="L341" s="15"/>
      <c r="M341" s="26"/>
      <c r="N341" s="26"/>
      <c r="O341" s="26"/>
      <c r="P341" s="26"/>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row>
    <row r="342" spans="1:40">
      <c r="A342" s="15"/>
      <c r="B342" s="15"/>
      <c r="C342" s="26"/>
      <c r="D342" s="15"/>
      <c r="E342" s="15"/>
      <c r="F342" s="15"/>
      <c r="G342" s="15"/>
      <c r="H342" s="15"/>
      <c r="I342" s="26"/>
      <c r="J342" s="15"/>
      <c r="K342" s="26"/>
      <c r="L342" s="15"/>
      <c r="M342" s="26"/>
      <c r="N342" s="26"/>
      <c r="O342" s="26"/>
      <c r="P342" s="26"/>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row>
    <row r="343" spans="1:40">
      <c r="A343" s="15"/>
      <c r="B343" s="15"/>
      <c r="C343" s="26"/>
      <c r="D343" s="15"/>
      <c r="E343" s="15"/>
      <c r="F343" s="15"/>
      <c r="G343" s="15"/>
      <c r="H343" s="15"/>
      <c r="I343" s="26"/>
      <c r="J343" s="15"/>
      <c r="K343" s="26"/>
      <c r="L343" s="15"/>
      <c r="M343" s="26"/>
      <c r="N343" s="26"/>
      <c r="O343" s="26"/>
      <c r="P343" s="26"/>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row>
    <row r="344" spans="1:40">
      <c r="A344" s="15"/>
      <c r="B344" s="15"/>
      <c r="C344" s="26"/>
      <c r="D344" s="15"/>
      <c r="E344" s="15"/>
      <c r="F344" s="15"/>
      <c r="G344" s="15"/>
      <c r="H344" s="15"/>
      <c r="I344" s="26"/>
      <c r="J344" s="15"/>
      <c r="K344" s="26"/>
      <c r="L344" s="15"/>
      <c r="M344" s="26"/>
      <c r="N344" s="26"/>
      <c r="O344" s="26"/>
      <c r="P344" s="26"/>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row>
    <row r="345" spans="1:40">
      <c r="A345" s="15"/>
      <c r="B345" s="15"/>
      <c r="C345" s="26"/>
      <c r="D345" s="15"/>
      <c r="E345" s="15"/>
      <c r="F345" s="15"/>
      <c r="G345" s="15"/>
      <c r="H345" s="15"/>
      <c r="I345" s="26"/>
      <c r="J345" s="15"/>
      <c r="K345" s="26"/>
      <c r="L345" s="15"/>
      <c r="M345" s="26"/>
      <c r="N345" s="26"/>
      <c r="O345" s="26"/>
      <c r="P345" s="26"/>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row>
    <row r="346" spans="1:40">
      <c r="A346" s="15"/>
      <c r="B346" s="15"/>
      <c r="C346" s="26"/>
      <c r="D346" s="15"/>
      <c r="E346" s="15"/>
      <c r="F346" s="15"/>
      <c r="G346" s="15"/>
      <c r="H346" s="15"/>
      <c r="I346" s="26"/>
      <c r="J346" s="15"/>
      <c r="K346" s="26"/>
      <c r="L346" s="15"/>
      <c r="M346" s="26"/>
      <c r="N346" s="26"/>
      <c r="O346" s="26"/>
      <c r="P346" s="26"/>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row>
    <row r="347" spans="1:40">
      <c r="A347" s="15"/>
      <c r="B347" s="15"/>
      <c r="C347" s="26"/>
      <c r="D347" s="15"/>
      <c r="E347" s="15"/>
      <c r="F347" s="15"/>
      <c r="G347" s="15"/>
      <c r="H347" s="15"/>
      <c r="I347" s="26"/>
      <c r="J347" s="15"/>
      <c r="K347" s="26"/>
      <c r="L347" s="15"/>
      <c r="M347" s="26"/>
      <c r="N347" s="26"/>
      <c r="O347" s="26"/>
      <c r="P347" s="26"/>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row>
    <row r="348" spans="1:40">
      <c r="A348" s="15"/>
      <c r="B348" s="15"/>
      <c r="C348" s="26"/>
      <c r="D348" s="15"/>
      <c r="E348" s="15"/>
      <c r="F348" s="15"/>
      <c r="G348" s="15"/>
      <c r="H348" s="15"/>
      <c r="I348" s="26"/>
      <c r="J348" s="15"/>
      <c r="K348" s="26"/>
      <c r="L348" s="15"/>
      <c r="M348" s="26"/>
      <c r="N348" s="26"/>
      <c r="O348" s="26"/>
      <c r="P348" s="26"/>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row>
    <row r="349" spans="1:40">
      <c r="A349" s="15"/>
      <c r="B349" s="15"/>
      <c r="C349" s="26"/>
      <c r="D349" s="15"/>
      <c r="E349" s="15"/>
      <c r="F349" s="15"/>
      <c r="G349" s="15"/>
      <c r="H349" s="15"/>
      <c r="I349" s="26"/>
      <c r="J349" s="15"/>
      <c r="K349" s="26"/>
      <c r="L349" s="15"/>
      <c r="M349" s="26"/>
      <c r="N349" s="26"/>
      <c r="O349" s="26"/>
      <c r="P349" s="26"/>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row>
    <row r="350" spans="1:40">
      <c r="A350" s="15"/>
      <c r="B350" s="15"/>
      <c r="C350" s="26"/>
      <c r="D350" s="15"/>
      <c r="E350" s="15"/>
      <c r="F350" s="15"/>
      <c r="G350" s="15"/>
      <c r="H350" s="15"/>
      <c r="I350" s="26"/>
      <c r="J350" s="15"/>
      <c r="K350" s="26"/>
      <c r="L350" s="15"/>
      <c r="M350" s="26"/>
      <c r="N350" s="26"/>
      <c r="O350" s="26"/>
      <c r="P350" s="26"/>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row>
    <row r="351" spans="1:40">
      <c r="A351" s="15"/>
      <c r="B351" s="15"/>
      <c r="C351" s="26"/>
      <c r="D351" s="15"/>
      <c r="E351" s="15"/>
      <c r="F351" s="15"/>
      <c r="G351" s="15"/>
      <c r="H351" s="15"/>
      <c r="I351" s="26"/>
      <c r="J351" s="15"/>
      <c r="K351" s="26"/>
      <c r="L351" s="15"/>
      <c r="M351" s="26"/>
      <c r="N351" s="26"/>
      <c r="O351" s="26"/>
      <c r="P351" s="26"/>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row>
    <row r="352" spans="1:40">
      <c r="A352" s="15"/>
      <c r="B352" s="15"/>
      <c r="C352" s="26"/>
      <c r="D352" s="15"/>
      <c r="E352" s="15"/>
      <c r="F352" s="15"/>
      <c r="G352" s="15"/>
      <c r="H352" s="15"/>
      <c r="I352" s="26"/>
      <c r="J352" s="15"/>
      <c r="K352" s="26"/>
      <c r="L352" s="15"/>
      <c r="M352" s="26"/>
      <c r="N352" s="26"/>
      <c r="O352" s="26"/>
      <c r="P352" s="26"/>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row>
    <row r="353" spans="1:40">
      <c r="A353" s="15"/>
      <c r="B353" s="15"/>
      <c r="C353" s="26"/>
      <c r="D353" s="15"/>
      <c r="E353" s="15"/>
      <c r="F353" s="15"/>
      <c r="G353" s="15"/>
      <c r="H353" s="15"/>
      <c r="I353" s="26"/>
      <c r="J353" s="15"/>
      <c r="K353" s="26"/>
      <c r="L353" s="15"/>
      <c r="M353" s="26"/>
      <c r="N353" s="26"/>
      <c r="O353" s="26"/>
      <c r="P353" s="26"/>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row>
    <row r="354" spans="1:40">
      <c r="A354" s="15"/>
      <c r="B354" s="15"/>
      <c r="C354" s="26"/>
      <c r="D354" s="15"/>
      <c r="E354" s="15"/>
      <c r="F354" s="15"/>
      <c r="G354" s="15"/>
      <c r="H354" s="15"/>
      <c r="I354" s="26"/>
      <c r="J354" s="15"/>
      <c r="K354" s="26"/>
      <c r="L354" s="15"/>
      <c r="M354" s="26"/>
      <c r="N354" s="26"/>
      <c r="O354" s="26"/>
      <c r="P354" s="26"/>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row>
    <row r="355" spans="1:40">
      <c r="A355" s="15"/>
      <c r="B355" s="15"/>
      <c r="C355" s="26"/>
      <c r="D355" s="15"/>
      <c r="E355" s="15"/>
      <c r="F355" s="15"/>
      <c r="G355" s="15"/>
      <c r="H355" s="15"/>
      <c r="I355" s="26"/>
      <c r="J355" s="15"/>
      <c r="K355" s="26"/>
      <c r="L355" s="15"/>
      <c r="M355" s="26"/>
      <c r="N355" s="26"/>
      <c r="O355" s="26"/>
      <c r="P355" s="26"/>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row>
    <row r="356" spans="1:40">
      <c r="A356" s="15"/>
      <c r="B356" s="15"/>
      <c r="C356" s="26"/>
      <c r="D356" s="15"/>
      <c r="E356" s="15"/>
      <c r="F356" s="15"/>
      <c r="G356" s="15"/>
      <c r="H356" s="15"/>
      <c r="I356" s="26"/>
      <c r="J356" s="15"/>
      <c r="K356" s="26"/>
      <c r="L356" s="15"/>
      <c r="M356" s="26"/>
      <c r="N356" s="26"/>
      <c r="O356" s="26"/>
      <c r="P356" s="26"/>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row>
    <row r="357" spans="1:40">
      <c r="A357" s="15"/>
      <c r="B357" s="15"/>
      <c r="C357" s="26"/>
      <c r="D357" s="15"/>
      <c r="E357" s="15"/>
      <c r="F357" s="15"/>
      <c r="G357" s="15"/>
      <c r="H357" s="15"/>
      <c r="I357" s="26"/>
      <c r="J357" s="15"/>
      <c r="K357" s="26"/>
      <c r="L357" s="15"/>
      <c r="M357" s="26"/>
      <c r="N357" s="26"/>
      <c r="O357" s="26"/>
      <c r="P357" s="26"/>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row>
    <row r="358" spans="1:40">
      <c r="A358" s="15"/>
      <c r="B358" s="15"/>
      <c r="C358" s="26"/>
      <c r="D358" s="15"/>
      <c r="E358" s="15"/>
      <c r="F358" s="15"/>
      <c r="G358" s="15"/>
      <c r="H358" s="15"/>
      <c r="I358" s="26"/>
      <c r="J358" s="15"/>
      <c r="K358" s="26"/>
      <c r="L358" s="15"/>
      <c r="M358" s="26"/>
      <c r="N358" s="26"/>
      <c r="O358" s="26"/>
      <c r="P358" s="26"/>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row>
    <row r="359" spans="1:40">
      <c r="A359" s="15"/>
      <c r="B359" s="15"/>
      <c r="C359" s="26"/>
      <c r="D359" s="15"/>
      <c r="E359" s="15"/>
      <c r="F359" s="15"/>
      <c r="G359" s="15"/>
      <c r="H359" s="15"/>
      <c r="I359" s="26"/>
      <c r="J359" s="15"/>
      <c r="K359" s="26"/>
      <c r="L359" s="15"/>
      <c r="M359" s="26"/>
      <c r="N359" s="26"/>
      <c r="O359" s="26"/>
      <c r="P359" s="26"/>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row>
    <row r="360" spans="1:40">
      <c r="A360" s="15"/>
      <c r="B360" s="15"/>
      <c r="C360" s="26"/>
      <c r="D360" s="15"/>
      <c r="E360" s="15"/>
      <c r="F360" s="15"/>
      <c r="G360" s="15"/>
      <c r="H360" s="15"/>
      <c r="I360" s="26"/>
      <c r="J360" s="15"/>
      <c r="K360" s="26"/>
      <c r="L360" s="15"/>
      <c r="M360" s="26"/>
      <c r="N360" s="26"/>
      <c r="O360" s="26"/>
      <c r="P360" s="26"/>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row>
    <row r="361" spans="1:40">
      <c r="A361" s="15"/>
      <c r="B361" s="15"/>
      <c r="C361" s="26"/>
      <c r="D361" s="15"/>
      <c r="E361" s="15"/>
      <c r="F361" s="15"/>
      <c r="G361" s="15"/>
      <c r="H361" s="15"/>
      <c r="I361" s="26"/>
      <c r="J361" s="15"/>
      <c r="K361" s="26"/>
      <c r="L361" s="15"/>
      <c r="M361" s="26"/>
      <c r="N361" s="26"/>
      <c r="O361" s="26"/>
      <c r="P361" s="26"/>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row>
    <row r="362" spans="1:40">
      <c r="A362" s="15"/>
      <c r="B362" s="15"/>
      <c r="C362" s="26"/>
      <c r="D362" s="15"/>
      <c r="E362" s="15"/>
      <c r="F362" s="15"/>
      <c r="G362" s="15"/>
      <c r="H362" s="15"/>
      <c r="I362" s="26"/>
      <c r="J362" s="15"/>
      <c r="K362" s="26"/>
      <c r="L362" s="15"/>
      <c r="M362" s="26"/>
      <c r="N362" s="26"/>
      <c r="O362" s="26"/>
      <c r="P362" s="26"/>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row>
    <row r="363" spans="1:40">
      <c r="A363" s="15"/>
      <c r="B363" s="15"/>
      <c r="C363" s="26"/>
      <c r="D363" s="15"/>
      <c r="E363" s="15"/>
      <c r="F363" s="15"/>
      <c r="G363" s="15"/>
      <c r="H363" s="15"/>
      <c r="I363" s="26"/>
      <c r="J363" s="15"/>
      <c r="K363" s="26"/>
      <c r="L363" s="15"/>
      <c r="M363" s="26"/>
      <c r="N363" s="26"/>
      <c r="O363" s="26"/>
      <c r="P363" s="26"/>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row>
    <row r="364" spans="1:40">
      <c r="A364" s="15"/>
      <c r="B364" s="15"/>
      <c r="C364" s="26"/>
      <c r="D364" s="15"/>
      <c r="E364" s="15"/>
      <c r="F364" s="15"/>
      <c r="G364" s="15"/>
      <c r="H364" s="15"/>
      <c r="I364" s="26"/>
      <c r="J364" s="15"/>
      <c r="K364" s="26"/>
      <c r="L364" s="15"/>
      <c r="M364" s="26"/>
      <c r="N364" s="26"/>
      <c r="O364" s="26"/>
      <c r="P364" s="26"/>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row>
    <row r="365" spans="1:40">
      <c r="A365" s="15"/>
      <c r="B365" s="15"/>
      <c r="C365" s="26"/>
      <c r="D365" s="15"/>
      <c r="E365" s="15"/>
      <c r="F365" s="15"/>
      <c r="G365" s="15"/>
      <c r="H365" s="15"/>
      <c r="I365" s="26"/>
      <c r="J365" s="15"/>
      <c r="K365" s="26"/>
      <c r="L365" s="15"/>
      <c r="M365" s="26"/>
      <c r="N365" s="26"/>
      <c r="O365" s="26"/>
      <c r="P365" s="26"/>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row>
    <row r="366" spans="1:40">
      <c r="A366" s="15"/>
      <c r="B366" s="15"/>
      <c r="C366" s="26"/>
      <c r="D366" s="15"/>
      <c r="E366" s="15"/>
      <c r="F366" s="15"/>
      <c r="G366" s="15"/>
      <c r="H366" s="15"/>
      <c r="I366" s="26"/>
      <c r="J366" s="15"/>
      <c r="K366" s="26"/>
      <c r="L366" s="15"/>
      <c r="M366" s="26"/>
      <c r="N366" s="26"/>
      <c r="O366" s="26"/>
      <c r="P366" s="26"/>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row>
    <row r="367" spans="1:40">
      <c r="A367" s="15"/>
      <c r="B367" s="15"/>
      <c r="C367" s="26"/>
      <c r="D367" s="15"/>
      <c r="E367" s="15"/>
      <c r="F367" s="15"/>
      <c r="G367" s="15"/>
      <c r="H367" s="15"/>
      <c r="I367" s="26"/>
      <c r="J367" s="15"/>
      <c r="K367" s="26"/>
      <c r="L367" s="15"/>
      <c r="M367" s="26"/>
      <c r="N367" s="26"/>
      <c r="O367" s="26"/>
      <c r="P367" s="26"/>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row>
    <row r="368" spans="1:40">
      <c r="A368" s="15"/>
      <c r="B368" s="15"/>
      <c r="C368" s="26"/>
      <c r="D368" s="15"/>
      <c r="E368" s="15"/>
      <c r="F368" s="15"/>
      <c r="G368" s="15"/>
      <c r="H368" s="15"/>
      <c r="I368" s="26"/>
      <c r="J368" s="15"/>
      <c r="K368" s="26"/>
      <c r="L368" s="15"/>
      <c r="M368" s="26"/>
      <c r="N368" s="26"/>
      <c r="O368" s="26"/>
      <c r="P368" s="26"/>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row>
    <row r="369" spans="1:40">
      <c r="A369" s="15"/>
      <c r="B369" s="15"/>
      <c r="C369" s="26"/>
      <c r="D369" s="15"/>
      <c r="E369" s="15"/>
      <c r="F369" s="15"/>
      <c r="G369" s="15"/>
      <c r="H369" s="15"/>
      <c r="I369" s="26"/>
      <c r="J369" s="15"/>
      <c r="K369" s="26"/>
      <c r="L369" s="15"/>
      <c r="M369" s="26"/>
      <c r="N369" s="26"/>
      <c r="O369" s="26"/>
      <c r="P369" s="26"/>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row>
    <row r="370" spans="1:40">
      <c r="A370" s="15"/>
      <c r="B370" s="15"/>
      <c r="C370" s="26"/>
      <c r="D370" s="15"/>
      <c r="E370" s="15"/>
      <c r="F370" s="15"/>
      <c r="G370" s="15"/>
      <c r="H370" s="15"/>
      <c r="I370" s="26"/>
      <c r="J370" s="15"/>
      <c r="K370" s="26"/>
      <c r="L370" s="15"/>
      <c r="M370" s="26"/>
      <c r="N370" s="26"/>
      <c r="O370" s="26"/>
      <c r="P370" s="26"/>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row>
    <row r="371" spans="1:40">
      <c r="A371" s="15"/>
      <c r="B371" s="15"/>
      <c r="C371" s="26"/>
      <c r="D371" s="15"/>
      <c r="E371" s="15"/>
      <c r="F371" s="15"/>
      <c r="G371" s="15"/>
      <c r="H371" s="15"/>
      <c r="I371" s="26"/>
      <c r="J371" s="15"/>
      <c r="K371" s="26"/>
      <c r="L371" s="15"/>
      <c r="M371" s="26"/>
      <c r="N371" s="26"/>
      <c r="O371" s="26"/>
      <c r="P371" s="26"/>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row>
    <row r="372" spans="1:40">
      <c r="A372" s="15"/>
      <c r="B372" s="15"/>
      <c r="C372" s="26"/>
      <c r="D372" s="15"/>
      <c r="E372" s="15"/>
      <c r="F372" s="15"/>
      <c r="G372" s="15"/>
      <c r="H372" s="15"/>
      <c r="I372" s="26"/>
      <c r="J372" s="15"/>
      <c r="K372" s="26"/>
      <c r="L372" s="15"/>
      <c r="M372" s="26"/>
      <c r="N372" s="26"/>
      <c r="O372" s="26"/>
      <c r="P372" s="26"/>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row>
    <row r="373" spans="1:40">
      <c r="A373" s="15"/>
      <c r="B373" s="15"/>
      <c r="C373" s="26"/>
      <c r="D373" s="15"/>
      <c r="E373" s="15"/>
      <c r="F373" s="15"/>
      <c r="G373" s="15"/>
      <c r="H373" s="15"/>
      <c r="I373" s="26"/>
      <c r="J373" s="15"/>
      <c r="K373" s="26"/>
      <c r="L373" s="15"/>
      <c r="M373" s="26"/>
      <c r="N373" s="26"/>
      <c r="O373" s="26"/>
      <c r="P373" s="26"/>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row>
    <row r="374" spans="1:40">
      <c r="A374" s="15"/>
      <c r="B374" s="15"/>
      <c r="C374" s="26"/>
      <c r="D374" s="15"/>
      <c r="E374" s="15"/>
      <c r="F374" s="15"/>
      <c r="G374" s="15"/>
      <c r="H374" s="15"/>
      <c r="I374" s="26"/>
      <c r="J374" s="15"/>
      <c r="K374" s="26"/>
      <c r="L374" s="15"/>
      <c r="M374" s="26"/>
      <c r="N374" s="26"/>
      <c r="O374" s="26"/>
      <c r="P374" s="26"/>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row>
    <row r="375" spans="1:40">
      <c r="A375" s="15"/>
      <c r="B375" s="15"/>
      <c r="C375" s="26"/>
      <c r="D375" s="15"/>
      <c r="E375" s="15"/>
      <c r="F375" s="15"/>
      <c r="G375" s="15"/>
      <c r="H375" s="15"/>
      <c r="I375" s="26"/>
      <c r="J375" s="15"/>
      <c r="K375" s="26"/>
      <c r="L375" s="15"/>
      <c r="M375" s="26"/>
      <c r="N375" s="26"/>
      <c r="O375" s="26"/>
      <c r="P375" s="26"/>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row>
    <row r="376" spans="1:40">
      <c r="A376" s="15"/>
      <c r="B376" s="15"/>
      <c r="C376" s="26"/>
      <c r="D376" s="15"/>
      <c r="E376" s="15"/>
      <c r="F376" s="15"/>
      <c r="G376" s="15"/>
      <c r="H376" s="15"/>
      <c r="I376" s="26"/>
      <c r="J376" s="15"/>
      <c r="K376" s="26"/>
      <c r="L376" s="15"/>
      <c r="M376" s="26"/>
      <c r="N376" s="26"/>
      <c r="O376" s="26"/>
      <c r="P376" s="26"/>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row>
    <row r="377" spans="1:40">
      <c r="A377" s="15"/>
      <c r="B377" s="15"/>
      <c r="C377" s="26"/>
      <c r="D377" s="15"/>
      <c r="E377" s="15"/>
      <c r="F377" s="15"/>
      <c r="G377" s="15"/>
      <c r="H377" s="15"/>
      <c r="I377" s="26"/>
      <c r="J377" s="15"/>
      <c r="K377" s="26"/>
      <c r="L377" s="15"/>
      <c r="M377" s="26"/>
      <c r="N377" s="26"/>
      <c r="O377" s="26"/>
      <c r="P377" s="26"/>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row>
    <row r="378" spans="1:40">
      <c r="A378" s="15"/>
      <c r="B378" s="15"/>
      <c r="C378" s="26"/>
      <c r="D378" s="15"/>
      <c r="E378" s="15"/>
      <c r="F378" s="15"/>
      <c r="G378" s="15"/>
      <c r="H378" s="15"/>
      <c r="I378" s="26"/>
      <c r="J378" s="15"/>
      <c r="K378" s="26"/>
      <c r="L378" s="15"/>
      <c r="M378" s="26"/>
      <c r="N378" s="26"/>
      <c r="O378" s="26"/>
      <c r="P378" s="26"/>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row>
    <row r="379" spans="1:40">
      <c r="A379" s="15"/>
      <c r="B379" s="15"/>
      <c r="C379" s="26"/>
      <c r="D379" s="15"/>
      <c r="E379" s="15"/>
      <c r="F379" s="15"/>
      <c r="G379" s="15"/>
      <c r="H379" s="15"/>
      <c r="I379" s="26"/>
      <c r="J379" s="15"/>
      <c r="K379" s="26"/>
      <c r="L379" s="15"/>
      <c r="M379" s="26"/>
      <c r="N379" s="26"/>
      <c r="O379" s="26"/>
      <c r="P379" s="26"/>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row>
    <row r="380" spans="1:40">
      <c r="A380" s="15"/>
      <c r="B380" s="15"/>
      <c r="C380" s="26"/>
      <c r="D380" s="15"/>
      <c r="E380" s="15"/>
      <c r="F380" s="15"/>
      <c r="G380" s="15"/>
      <c r="H380" s="15"/>
      <c r="I380" s="26"/>
      <c r="J380" s="15"/>
      <c r="K380" s="26"/>
      <c r="L380" s="15"/>
      <c r="M380" s="26"/>
      <c r="N380" s="26"/>
      <c r="O380" s="26"/>
      <c r="P380" s="26"/>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row>
    <row r="381" spans="1:40">
      <c r="A381" s="15"/>
      <c r="B381" s="15"/>
      <c r="C381" s="26"/>
      <c r="D381" s="15"/>
      <c r="E381" s="15"/>
      <c r="F381" s="15"/>
      <c r="G381" s="15"/>
      <c r="H381" s="15"/>
      <c r="I381" s="26"/>
      <c r="J381" s="15"/>
      <c r="K381" s="26"/>
      <c r="L381" s="15"/>
      <c r="M381" s="26"/>
      <c r="N381" s="26"/>
      <c r="O381" s="26"/>
      <c r="P381" s="26"/>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row>
    <row r="382" spans="1:40">
      <c r="A382" s="15"/>
      <c r="B382" s="15"/>
      <c r="C382" s="26"/>
      <c r="D382" s="15"/>
      <c r="E382" s="15"/>
      <c r="F382" s="15"/>
      <c r="G382" s="15"/>
      <c r="H382" s="15"/>
      <c r="I382" s="26"/>
      <c r="J382" s="15"/>
      <c r="K382" s="26"/>
      <c r="L382" s="15"/>
      <c r="M382" s="26"/>
      <c r="N382" s="26"/>
      <c r="O382" s="26"/>
      <c r="P382" s="26"/>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row>
    <row r="383" spans="1:40">
      <c r="A383" s="15"/>
      <c r="B383" s="15"/>
      <c r="C383" s="26"/>
      <c r="D383" s="15"/>
      <c r="E383" s="15"/>
      <c r="F383" s="15"/>
      <c r="G383" s="15"/>
      <c r="H383" s="15"/>
      <c r="I383" s="26"/>
      <c r="J383" s="15"/>
      <c r="K383" s="26"/>
      <c r="L383" s="15"/>
      <c r="M383" s="26"/>
      <c r="N383" s="26"/>
      <c r="O383" s="26"/>
      <c r="P383" s="26"/>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row>
    <row r="384" spans="1:40">
      <c r="A384" s="15"/>
      <c r="B384" s="15"/>
      <c r="C384" s="26"/>
      <c r="D384" s="15"/>
      <c r="E384" s="15"/>
      <c r="F384" s="15"/>
      <c r="G384" s="15"/>
      <c r="H384" s="15"/>
      <c r="I384" s="26"/>
      <c r="J384" s="15"/>
      <c r="K384" s="26"/>
      <c r="L384" s="15"/>
      <c r="M384" s="26"/>
      <c r="N384" s="26"/>
      <c r="O384" s="26"/>
      <c r="P384" s="26"/>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row>
    <row r="385" spans="1:40">
      <c r="A385" s="15"/>
      <c r="B385" s="15"/>
      <c r="C385" s="26"/>
      <c r="D385" s="15"/>
      <c r="E385" s="15"/>
      <c r="F385" s="15"/>
      <c r="G385" s="15"/>
      <c r="H385" s="15"/>
      <c r="I385" s="26"/>
      <c r="J385" s="15"/>
      <c r="K385" s="26"/>
      <c r="L385" s="15"/>
      <c r="M385" s="26"/>
      <c r="N385" s="26"/>
      <c r="O385" s="26"/>
      <c r="P385" s="26"/>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row>
    <row r="386" spans="1:40">
      <c r="A386" s="15"/>
      <c r="B386" s="15"/>
      <c r="C386" s="26"/>
      <c r="D386" s="15"/>
      <c r="E386" s="15"/>
      <c r="F386" s="15"/>
      <c r="G386" s="15"/>
      <c r="H386" s="15"/>
      <c r="I386" s="26"/>
      <c r="J386" s="15"/>
      <c r="K386" s="26"/>
      <c r="L386" s="15"/>
      <c r="M386" s="26"/>
      <c r="N386" s="26"/>
      <c r="O386" s="26"/>
      <c r="P386" s="26"/>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row>
    <row r="387" spans="1:40">
      <c r="A387" s="15"/>
      <c r="B387" s="15"/>
      <c r="C387" s="26"/>
      <c r="D387" s="15"/>
      <c r="E387" s="15"/>
      <c r="F387" s="15"/>
      <c r="G387" s="15"/>
      <c r="H387" s="15"/>
      <c r="I387" s="26"/>
      <c r="J387" s="15"/>
      <c r="K387" s="26"/>
      <c r="L387" s="15"/>
      <c r="M387" s="26"/>
      <c r="N387" s="26"/>
      <c r="O387" s="26"/>
      <c r="P387" s="26"/>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row>
    <row r="388" spans="1:40">
      <c r="A388" s="15"/>
      <c r="B388" s="15"/>
      <c r="C388" s="26"/>
      <c r="D388" s="15"/>
      <c r="E388" s="15"/>
      <c r="F388" s="15"/>
      <c r="G388" s="15"/>
      <c r="H388" s="15"/>
      <c r="I388" s="26"/>
      <c r="J388" s="15"/>
      <c r="K388" s="26"/>
      <c r="L388" s="15"/>
      <c r="M388" s="26"/>
      <c r="N388" s="26"/>
      <c r="O388" s="26"/>
      <c r="P388" s="26"/>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row>
    <row r="389" spans="1:40">
      <c r="A389" s="15"/>
      <c r="B389" s="15"/>
      <c r="C389" s="26"/>
      <c r="D389" s="15"/>
      <c r="E389" s="15"/>
      <c r="F389" s="15"/>
      <c r="G389" s="15"/>
      <c r="H389" s="15"/>
      <c r="I389" s="26"/>
      <c r="J389" s="15"/>
      <c r="K389" s="26"/>
      <c r="L389" s="15"/>
      <c r="M389" s="26"/>
      <c r="N389" s="26"/>
      <c r="O389" s="26"/>
      <c r="P389" s="26"/>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row>
    <row r="390" spans="1:40">
      <c r="A390" s="15"/>
      <c r="B390" s="15"/>
      <c r="C390" s="26"/>
      <c r="D390" s="15"/>
      <c r="E390" s="15"/>
      <c r="F390" s="15"/>
      <c r="G390" s="15"/>
      <c r="H390" s="15"/>
      <c r="I390" s="26"/>
      <c r="J390" s="15"/>
      <c r="K390" s="26"/>
      <c r="L390" s="15"/>
      <c r="M390" s="26"/>
      <c r="N390" s="26"/>
      <c r="O390" s="26"/>
      <c r="P390" s="26"/>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row>
    <row r="391" spans="1:40">
      <c r="A391" s="15"/>
      <c r="B391" s="15"/>
      <c r="C391" s="26"/>
      <c r="D391" s="15"/>
      <c r="E391" s="15"/>
      <c r="F391" s="15"/>
      <c r="G391" s="15"/>
      <c r="H391" s="15"/>
      <c r="I391" s="26"/>
      <c r="J391" s="15"/>
      <c r="K391" s="26"/>
      <c r="L391" s="15"/>
      <c r="M391" s="26"/>
      <c r="N391" s="26"/>
      <c r="O391" s="26"/>
      <c r="P391" s="26"/>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row>
    <row r="392" spans="1:40">
      <c r="A392" s="15"/>
      <c r="B392" s="15"/>
      <c r="C392" s="26"/>
      <c r="D392" s="15"/>
      <c r="E392" s="15"/>
      <c r="F392" s="15"/>
      <c r="G392" s="15"/>
      <c r="H392" s="15"/>
      <c r="I392" s="26"/>
      <c r="J392" s="15"/>
      <c r="K392" s="26"/>
      <c r="L392" s="15"/>
      <c r="M392" s="26"/>
      <c r="N392" s="26"/>
      <c r="O392" s="26"/>
      <c r="P392" s="26"/>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row>
    <row r="393" spans="1:40">
      <c r="A393" s="15"/>
      <c r="B393" s="15"/>
      <c r="C393" s="26"/>
      <c r="D393" s="15"/>
      <c r="E393" s="15"/>
      <c r="F393" s="15"/>
      <c r="G393" s="15"/>
      <c r="H393" s="15"/>
      <c r="I393" s="26"/>
      <c r="J393" s="15"/>
      <c r="K393" s="26"/>
      <c r="L393" s="15"/>
      <c r="M393" s="26"/>
      <c r="N393" s="26"/>
      <c r="O393" s="26"/>
      <c r="P393" s="26"/>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row>
    <row r="394" spans="1:40">
      <c r="A394" s="15"/>
      <c r="B394" s="15"/>
      <c r="C394" s="26"/>
      <c r="D394" s="15"/>
      <c r="E394" s="15"/>
      <c r="F394" s="15"/>
      <c r="G394" s="15"/>
      <c r="H394" s="15"/>
      <c r="I394" s="26"/>
      <c r="J394" s="15"/>
      <c r="K394" s="26"/>
      <c r="L394" s="15"/>
      <c r="M394" s="26"/>
      <c r="N394" s="26"/>
      <c r="O394" s="26"/>
      <c r="P394" s="26"/>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row>
    <row r="395" spans="1:40">
      <c r="A395" s="15"/>
      <c r="B395" s="15"/>
      <c r="C395" s="26"/>
      <c r="D395" s="15"/>
      <c r="E395" s="15"/>
      <c r="F395" s="15"/>
      <c r="G395" s="15"/>
      <c r="H395" s="15"/>
      <c r="I395" s="26"/>
      <c r="J395" s="15"/>
      <c r="K395" s="26"/>
      <c r="L395" s="15"/>
      <c r="M395" s="26"/>
      <c r="N395" s="26"/>
      <c r="O395" s="26"/>
      <c r="P395" s="26"/>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row>
    <row r="396" spans="1:40">
      <c r="A396" s="15"/>
      <c r="B396" s="15"/>
      <c r="C396" s="26"/>
      <c r="D396" s="15"/>
      <c r="E396" s="15"/>
      <c r="F396" s="15"/>
      <c r="G396" s="15"/>
      <c r="H396" s="15"/>
      <c r="I396" s="26"/>
      <c r="J396" s="15"/>
      <c r="K396" s="26"/>
      <c r="L396" s="15"/>
      <c r="M396" s="26"/>
      <c r="N396" s="26"/>
      <c r="O396" s="26"/>
      <c r="P396" s="26"/>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row>
    <row r="397" spans="1:40">
      <c r="A397" s="15"/>
      <c r="B397" s="15"/>
      <c r="C397" s="26"/>
      <c r="D397" s="15"/>
      <c r="E397" s="15"/>
      <c r="F397" s="15"/>
      <c r="G397" s="15"/>
      <c r="H397" s="15"/>
      <c r="I397" s="26"/>
      <c r="J397" s="15"/>
      <c r="K397" s="26"/>
      <c r="L397" s="15"/>
      <c r="M397" s="26"/>
      <c r="N397" s="26"/>
      <c r="O397" s="26"/>
      <c r="P397" s="26"/>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row>
    <row r="398" spans="1:40">
      <c r="A398" s="15"/>
      <c r="B398" s="15"/>
      <c r="C398" s="26"/>
      <c r="D398" s="15"/>
      <c r="E398" s="15"/>
      <c r="F398" s="15"/>
      <c r="G398" s="15"/>
      <c r="H398" s="15"/>
      <c r="I398" s="26"/>
      <c r="J398" s="15"/>
      <c r="K398" s="26"/>
      <c r="L398" s="15"/>
      <c r="M398" s="26"/>
      <c r="N398" s="26"/>
      <c r="O398" s="26"/>
      <c r="P398" s="26"/>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row>
    <row r="399" spans="1:40">
      <c r="A399" s="15"/>
      <c r="B399" s="15"/>
      <c r="C399" s="26"/>
      <c r="D399" s="15"/>
      <c r="E399" s="15"/>
      <c r="F399" s="15"/>
      <c r="G399" s="15"/>
      <c r="H399" s="15"/>
      <c r="I399" s="26"/>
      <c r="J399" s="15"/>
      <c r="K399" s="26"/>
      <c r="L399" s="15"/>
      <c r="M399" s="26"/>
      <c r="N399" s="26"/>
      <c r="O399" s="26"/>
      <c r="P399" s="26"/>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row>
    <row r="400" spans="1:40">
      <c r="A400" s="15"/>
      <c r="B400" s="15"/>
      <c r="C400" s="26"/>
      <c r="D400" s="15"/>
      <c r="E400" s="15"/>
      <c r="F400" s="15"/>
      <c r="G400" s="15"/>
      <c r="H400" s="15"/>
      <c r="I400" s="26"/>
      <c r="J400" s="15"/>
      <c r="K400" s="26"/>
      <c r="L400" s="15"/>
      <c r="M400" s="26"/>
      <c r="N400" s="26"/>
      <c r="O400" s="26"/>
      <c r="P400" s="26"/>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row>
    <row r="401" spans="1:40">
      <c r="A401" s="15"/>
      <c r="B401" s="15"/>
      <c r="C401" s="26"/>
      <c r="D401" s="15"/>
      <c r="E401" s="15"/>
      <c r="F401" s="15"/>
      <c r="G401" s="15"/>
      <c r="H401" s="15"/>
      <c r="I401" s="26"/>
      <c r="J401" s="15"/>
      <c r="K401" s="26"/>
      <c r="L401" s="15"/>
      <c r="M401" s="26"/>
      <c r="N401" s="26"/>
      <c r="O401" s="26"/>
      <c r="P401" s="26"/>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row>
    <row r="402" spans="1:40">
      <c r="A402" s="15"/>
      <c r="B402" s="15"/>
      <c r="C402" s="26"/>
      <c r="D402" s="15"/>
      <c r="E402" s="15"/>
      <c r="F402" s="15"/>
      <c r="G402" s="15"/>
      <c r="H402" s="15"/>
      <c r="I402" s="26"/>
      <c r="J402" s="15"/>
      <c r="K402" s="26"/>
      <c r="L402" s="15"/>
      <c r="M402" s="26"/>
      <c r="N402" s="26"/>
      <c r="O402" s="26"/>
      <c r="P402" s="26"/>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row>
    <row r="403" spans="1:40">
      <c r="A403" s="15"/>
      <c r="B403" s="15"/>
      <c r="C403" s="26"/>
      <c r="D403" s="15"/>
      <c r="E403" s="15"/>
      <c r="F403" s="15"/>
      <c r="G403" s="15"/>
      <c r="H403" s="15"/>
      <c r="I403" s="26"/>
      <c r="J403" s="15"/>
      <c r="K403" s="26"/>
      <c r="L403" s="15"/>
      <c r="M403" s="26"/>
      <c r="N403" s="26"/>
      <c r="O403" s="26"/>
      <c r="P403" s="26"/>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row>
    <row r="404" spans="1:40">
      <c r="A404" s="15"/>
      <c r="B404" s="15"/>
      <c r="C404" s="26"/>
      <c r="D404" s="15"/>
      <c r="E404" s="15"/>
      <c r="F404" s="15"/>
      <c r="G404" s="15"/>
      <c r="H404" s="15"/>
      <c r="I404" s="26"/>
      <c r="J404" s="15"/>
      <c r="K404" s="26"/>
      <c r="L404" s="15"/>
      <c r="M404" s="26"/>
      <c r="N404" s="26"/>
      <c r="O404" s="26"/>
      <c r="P404" s="26"/>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row>
    <row r="405" spans="1:40">
      <c r="A405" s="15"/>
      <c r="B405" s="15"/>
      <c r="C405" s="26"/>
      <c r="D405" s="15"/>
      <c r="E405" s="15"/>
      <c r="F405" s="15"/>
      <c r="G405" s="15"/>
      <c r="H405" s="15"/>
      <c r="I405" s="26"/>
      <c r="J405" s="15"/>
      <c r="K405" s="26"/>
      <c r="L405" s="15"/>
      <c r="M405" s="26"/>
      <c r="N405" s="26"/>
      <c r="O405" s="26"/>
      <c r="P405" s="26"/>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row>
    <row r="406" spans="1:40">
      <c r="A406" s="15"/>
      <c r="B406" s="15"/>
      <c r="C406" s="26"/>
      <c r="D406" s="15"/>
      <c r="E406" s="15"/>
      <c r="F406" s="15"/>
      <c r="G406" s="15"/>
      <c r="H406" s="15"/>
      <c r="I406" s="26"/>
      <c r="J406" s="15"/>
      <c r="K406" s="26"/>
      <c r="L406" s="15"/>
      <c r="M406" s="26"/>
      <c r="N406" s="26"/>
      <c r="O406" s="26"/>
      <c r="P406" s="26"/>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row>
    <row r="407" spans="1:40">
      <c r="A407" s="15"/>
      <c r="B407" s="15"/>
      <c r="C407" s="26"/>
      <c r="D407" s="15"/>
      <c r="E407" s="15"/>
      <c r="F407" s="15"/>
      <c r="G407" s="15"/>
      <c r="H407" s="15"/>
      <c r="I407" s="26"/>
      <c r="J407" s="15"/>
      <c r="K407" s="26"/>
      <c r="L407" s="15"/>
      <c r="M407" s="26"/>
      <c r="N407" s="26"/>
      <c r="O407" s="26"/>
      <c r="P407" s="26"/>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row>
    <row r="408" spans="1:40">
      <c r="A408" s="15"/>
      <c r="B408" s="15"/>
      <c r="C408" s="26"/>
      <c r="D408" s="15"/>
      <c r="E408" s="15"/>
      <c r="F408" s="15"/>
      <c r="G408" s="15"/>
      <c r="H408" s="15"/>
      <c r="I408" s="26"/>
      <c r="J408" s="15"/>
      <c r="K408" s="26"/>
      <c r="L408" s="15"/>
      <c r="M408" s="26"/>
      <c r="N408" s="26"/>
      <c r="O408" s="26"/>
      <c r="P408" s="26"/>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row>
    <row r="409" spans="1:40">
      <c r="A409" s="15"/>
      <c r="B409" s="15"/>
      <c r="C409" s="26"/>
      <c r="D409" s="15"/>
      <c r="E409" s="15"/>
      <c r="F409" s="15"/>
      <c r="G409" s="15"/>
      <c r="H409" s="15"/>
      <c r="I409" s="26"/>
      <c r="J409" s="15"/>
      <c r="K409" s="26"/>
      <c r="L409" s="15"/>
      <c r="M409" s="26"/>
      <c r="N409" s="26"/>
      <c r="O409" s="26"/>
      <c r="P409" s="26"/>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row>
    <row r="410" spans="1:40">
      <c r="A410" s="15"/>
      <c r="B410" s="15"/>
      <c r="C410" s="26"/>
      <c r="D410" s="15"/>
      <c r="E410" s="15"/>
      <c r="F410" s="15"/>
      <c r="G410" s="15"/>
      <c r="H410" s="15"/>
      <c r="I410" s="26"/>
      <c r="J410" s="15"/>
      <c r="K410" s="26"/>
      <c r="L410" s="15"/>
      <c r="M410" s="26"/>
      <c r="N410" s="26"/>
      <c r="O410" s="26"/>
      <c r="P410" s="26"/>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row>
    <row r="411" spans="1:40">
      <c r="A411" s="15"/>
      <c r="B411" s="15"/>
      <c r="C411" s="26"/>
      <c r="D411" s="15"/>
      <c r="E411" s="15"/>
      <c r="F411" s="15"/>
      <c r="G411" s="15"/>
      <c r="H411" s="15"/>
      <c r="I411" s="26"/>
      <c r="J411" s="15"/>
      <c r="K411" s="26"/>
      <c r="L411" s="15"/>
      <c r="M411" s="26"/>
      <c r="N411" s="26"/>
      <c r="O411" s="26"/>
      <c r="P411" s="26"/>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row>
    <row r="412" spans="1:40">
      <c r="A412" s="15"/>
      <c r="B412" s="15"/>
      <c r="C412" s="26"/>
      <c r="D412" s="15"/>
      <c r="E412" s="15"/>
      <c r="F412" s="15"/>
      <c r="G412" s="15"/>
      <c r="H412" s="15"/>
      <c r="I412" s="26"/>
      <c r="J412" s="15"/>
      <c r="K412" s="26"/>
      <c r="L412" s="15"/>
      <c r="M412" s="26"/>
      <c r="N412" s="26"/>
      <c r="O412" s="26"/>
      <c r="P412" s="26"/>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row>
    <row r="413" spans="1:40">
      <c r="A413" s="15"/>
      <c r="B413" s="15"/>
      <c r="C413" s="26"/>
      <c r="D413" s="15"/>
      <c r="E413" s="15"/>
      <c r="F413" s="15"/>
      <c r="G413" s="15"/>
      <c r="H413" s="15"/>
      <c r="I413" s="26"/>
      <c r="J413" s="15"/>
      <c r="K413" s="26"/>
      <c r="L413" s="15"/>
      <c r="M413" s="26"/>
      <c r="N413" s="26"/>
      <c r="O413" s="26"/>
      <c r="P413" s="26"/>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row>
    <row r="414" spans="1:40">
      <c r="A414" s="15"/>
      <c r="B414" s="15"/>
      <c r="C414" s="26"/>
      <c r="D414" s="15"/>
      <c r="E414" s="15"/>
      <c r="F414" s="15"/>
      <c r="G414" s="15"/>
      <c r="H414" s="15"/>
      <c r="I414" s="26"/>
      <c r="J414" s="15"/>
      <c r="K414" s="26"/>
      <c r="L414" s="15"/>
      <c r="M414" s="26"/>
      <c r="N414" s="26"/>
      <c r="O414" s="26"/>
      <c r="P414" s="26"/>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row>
    <row r="415" spans="1:40">
      <c r="A415" s="15"/>
      <c r="B415" s="15"/>
      <c r="C415" s="26"/>
      <c r="D415" s="15"/>
      <c r="E415" s="15"/>
      <c r="F415" s="15"/>
      <c r="G415" s="15"/>
      <c r="H415" s="15"/>
      <c r="I415" s="26"/>
      <c r="J415" s="15"/>
      <c r="K415" s="26"/>
      <c r="L415" s="15"/>
      <c r="M415" s="26"/>
      <c r="N415" s="26"/>
      <c r="O415" s="26"/>
      <c r="P415" s="26"/>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row>
    <row r="416" spans="1:40">
      <c r="A416" s="15"/>
      <c r="B416" s="15"/>
      <c r="C416" s="26"/>
      <c r="D416" s="15"/>
      <c r="E416" s="15"/>
      <c r="F416" s="15"/>
      <c r="G416" s="15"/>
      <c r="H416" s="15"/>
      <c r="I416" s="26"/>
      <c r="J416" s="15"/>
      <c r="K416" s="26"/>
      <c r="L416" s="15"/>
      <c r="M416" s="26"/>
      <c r="N416" s="26"/>
      <c r="O416" s="26"/>
      <c r="P416" s="26"/>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row>
    <row r="417" spans="1:40">
      <c r="A417" s="15"/>
      <c r="B417" s="15"/>
      <c r="C417" s="26"/>
      <c r="D417" s="15"/>
      <c r="E417" s="15"/>
      <c r="F417" s="15"/>
      <c r="G417" s="15"/>
      <c r="H417" s="15"/>
      <c r="I417" s="26"/>
      <c r="J417" s="15"/>
      <c r="K417" s="26"/>
      <c r="L417" s="15"/>
      <c r="M417" s="26"/>
      <c r="N417" s="26"/>
      <c r="O417" s="26"/>
      <c r="P417" s="26"/>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row>
    <row r="418" spans="1:40">
      <c r="A418" s="15"/>
      <c r="B418" s="15"/>
      <c r="C418" s="26"/>
      <c r="D418" s="15"/>
      <c r="E418" s="15"/>
      <c r="F418" s="15"/>
      <c r="G418" s="15"/>
      <c r="H418" s="15"/>
      <c r="I418" s="26"/>
      <c r="J418" s="15"/>
      <c r="K418" s="26"/>
      <c r="L418" s="15"/>
      <c r="M418" s="26"/>
      <c r="N418" s="26"/>
      <c r="O418" s="26"/>
      <c r="P418" s="26"/>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row>
    <row r="419" spans="1:40">
      <c r="A419" s="15"/>
      <c r="B419" s="15"/>
      <c r="C419" s="26"/>
      <c r="D419" s="15"/>
      <c r="E419" s="15"/>
      <c r="F419" s="15"/>
      <c r="G419" s="15"/>
      <c r="H419" s="15"/>
      <c r="I419" s="26"/>
      <c r="J419" s="15"/>
      <c r="K419" s="26"/>
      <c r="L419" s="15"/>
      <c r="M419" s="26"/>
      <c r="N419" s="26"/>
      <c r="O419" s="26"/>
      <c r="P419" s="26"/>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row>
    <row r="420" spans="1:40">
      <c r="A420" s="15"/>
      <c r="B420" s="15"/>
      <c r="C420" s="26"/>
      <c r="D420" s="15"/>
      <c r="E420" s="15"/>
      <c r="F420" s="15"/>
      <c r="G420" s="15"/>
      <c r="H420" s="15"/>
      <c r="I420" s="26"/>
      <c r="J420" s="15"/>
      <c r="K420" s="26"/>
      <c r="L420" s="15"/>
      <c r="M420" s="26"/>
      <c r="N420" s="26"/>
      <c r="O420" s="26"/>
      <c r="P420" s="26"/>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row>
    <row r="421" spans="1:40">
      <c r="A421" s="15"/>
      <c r="B421" s="15"/>
      <c r="C421" s="26"/>
      <c r="D421" s="15"/>
      <c r="E421" s="15"/>
      <c r="F421" s="15"/>
      <c r="G421" s="15"/>
      <c r="H421" s="15"/>
      <c r="I421" s="26"/>
      <c r="J421" s="15"/>
      <c r="K421" s="26"/>
      <c r="L421" s="15"/>
      <c r="M421" s="26"/>
      <c r="N421" s="26"/>
      <c r="O421" s="26"/>
      <c r="P421" s="26"/>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row>
    <row r="422" spans="1:40">
      <c r="A422" s="15"/>
      <c r="B422" s="15"/>
      <c r="C422" s="26"/>
      <c r="D422" s="15"/>
      <c r="E422" s="15"/>
      <c r="F422" s="15"/>
      <c r="G422" s="15"/>
      <c r="H422" s="15"/>
      <c r="I422" s="26"/>
      <c r="J422" s="15"/>
      <c r="K422" s="26"/>
      <c r="L422" s="15"/>
      <c r="M422" s="26"/>
      <c r="N422" s="26"/>
      <c r="O422" s="26"/>
      <c r="P422" s="26"/>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row>
    <row r="423" spans="1:40">
      <c r="A423" s="15"/>
      <c r="B423" s="15"/>
      <c r="C423" s="26"/>
      <c r="D423" s="15"/>
      <c r="E423" s="15"/>
      <c r="F423" s="15"/>
      <c r="G423" s="15"/>
      <c r="H423" s="15"/>
      <c r="I423" s="26"/>
      <c r="J423" s="15"/>
      <c r="K423" s="26"/>
      <c r="L423" s="15"/>
      <c r="M423" s="26"/>
      <c r="N423" s="26"/>
      <c r="O423" s="26"/>
      <c r="P423" s="26"/>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row>
    <row r="424" spans="1:40">
      <c r="A424" s="15"/>
      <c r="B424" s="15"/>
      <c r="C424" s="26"/>
      <c r="D424" s="15"/>
      <c r="E424" s="15"/>
      <c r="F424" s="15"/>
      <c r="G424" s="15"/>
      <c r="H424" s="15"/>
      <c r="I424" s="26"/>
      <c r="J424" s="15"/>
      <c r="K424" s="26"/>
      <c r="L424" s="15"/>
      <c r="M424" s="26"/>
      <c r="N424" s="26"/>
      <c r="O424" s="26"/>
      <c r="P424" s="26"/>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row>
    <row r="425" spans="1:40">
      <c r="A425" s="15"/>
      <c r="B425" s="15"/>
      <c r="C425" s="26"/>
      <c r="D425" s="15"/>
      <c r="E425" s="15"/>
      <c r="F425" s="15"/>
      <c r="G425" s="15"/>
      <c r="H425" s="15"/>
      <c r="I425" s="26"/>
      <c r="J425" s="15"/>
      <c r="K425" s="26"/>
      <c r="L425" s="15"/>
      <c r="M425" s="26"/>
      <c r="N425" s="26"/>
      <c r="O425" s="26"/>
      <c r="P425" s="26"/>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row>
    <row r="426" spans="1:40">
      <c r="A426" s="15"/>
      <c r="B426" s="15"/>
      <c r="C426" s="26"/>
      <c r="D426" s="15"/>
      <c r="E426" s="15"/>
      <c r="F426" s="15"/>
      <c r="G426" s="15"/>
      <c r="H426" s="15"/>
      <c r="I426" s="26"/>
      <c r="J426" s="15"/>
      <c r="K426" s="26"/>
      <c r="L426" s="15"/>
      <c r="M426" s="26"/>
      <c r="N426" s="26"/>
      <c r="O426" s="26"/>
      <c r="P426" s="26"/>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row>
    <row r="427" spans="1:40">
      <c r="A427" s="15"/>
      <c r="B427" s="15"/>
      <c r="C427" s="26"/>
      <c r="D427" s="15"/>
      <c r="E427" s="15"/>
      <c r="F427" s="15"/>
      <c r="G427" s="15"/>
      <c r="H427" s="15"/>
      <c r="I427" s="26"/>
      <c r="J427" s="15"/>
      <c r="K427" s="26"/>
      <c r="L427" s="15"/>
      <c r="M427" s="26"/>
      <c r="N427" s="26"/>
      <c r="O427" s="26"/>
      <c r="P427" s="26"/>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row>
    <row r="428" spans="1:40">
      <c r="A428" s="15"/>
      <c r="B428" s="15"/>
      <c r="C428" s="26"/>
      <c r="D428" s="15"/>
      <c r="E428" s="15"/>
      <c r="F428" s="15"/>
      <c r="G428" s="15"/>
      <c r="H428" s="15"/>
      <c r="I428" s="26"/>
      <c r="J428" s="15"/>
      <c r="K428" s="26"/>
      <c r="L428" s="15"/>
      <c r="M428" s="26"/>
      <c r="N428" s="26"/>
      <c r="O428" s="26"/>
      <c r="P428" s="26"/>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row>
    <row r="429" spans="1:40">
      <c r="A429" s="15"/>
      <c r="B429" s="15"/>
      <c r="C429" s="26"/>
      <c r="D429" s="15"/>
      <c r="E429" s="15"/>
      <c r="F429" s="15"/>
      <c r="G429" s="15"/>
      <c r="H429" s="15"/>
      <c r="I429" s="26"/>
      <c r="J429" s="15"/>
      <c r="K429" s="26"/>
      <c r="L429" s="15"/>
      <c r="M429" s="26"/>
      <c r="N429" s="26"/>
      <c r="O429" s="26"/>
      <c r="P429" s="26"/>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row>
    <row r="430" spans="1:40">
      <c r="A430" s="15"/>
      <c r="B430" s="15"/>
      <c r="C430" s="26"/>
      <c r="D430" s="15"/>
      <c r="E430" s="15"/>
      <c r="F430" s="15"/>
      <c r="G430" s="15"/>
      <c r="H430" s="15"/>
      <c r="I430" s="26"/>
      <c r="J430" s="15"/>
      <c r="K430" s="26"/>
      <c r="L430" s="15"/>
      <c r="M430" s="26"/>
      <c r="N430" s="26"/>
      <c r="O430" s="26"/>
      <c r="P430" s="26"/>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row>
    <row r="431" spans="1:40">
      <c r="A431" s="15"/>
      <c r="B431" s="15"/>
      <c r="C431" s="26"/>
      <c r="D431" s="15"/>
      <c r="E431" s="15"/>
      <c r="F431" s="15"/>
      <c r="G431" s="15"/>
      <c r="H431" s="15"/>
      <c r="I431" s="26"/>
      <c r="J431" s="15"/>
      <c r="K431" s="26"/>
      <c r="L431" s="15"/>
      <c r="M431" s="26"/>
      <c r="N431" s="26"/>
      <c r="O431" s="26"/>
      <c r="P431" s="26"/>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row>
    <row r="432" spans="1:40">
      <c r="A432" s="15"/>
      <c r="B432" s="15"/>
      <c r="C432" s="26"/>
      <c r="D432" s="15"/>
      <c r="E432" s="15"/>
      <c r="F432" s="15"/>
      <c r="G432" s="15"/>
      <c r="H432" s="15"/>
      <c r="I432" s="26"/>
      <c r="J432" s="15"/>
      <c r="K432" s="26"/>
      <c r="L432" s="15"/>
      <c r="M432" s="26"/>
      <c r="N432" s="26"/>
      <c r="O432" s="26"/>
      <c r="P432" s="26"/>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row>
    <row r="433" spans="1:40">
      <c r="A433" s="15"/>
      <c r="B433" s="15"/>
      <c r="C433" s="26"/>
      <c r="D433" s="15"/>
      <c r="E433" s="15"/>
      <c r="F433" s="15"/>
      <c r="G433" s="15"/>
      <c r="H433" s="15"/>
      <c r="I433" s="26"/>
      <c r="J433" s="15"/>
      <c r="K433" s="26"/>
      <c r="L433" s="15"/>
      <c r="M433" s="26"/>
      <c r="N433" s="26"/>
      <c r="O433" s="26"/>
      <c r="P433" s="26"/>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row>
    <row r="434" spans="1:40">
      <c r="A434" s="15"/>
      <c r="B434" s="15"/>
      <c r="C434" s="26"/>
      <c r="D434" s="15"/>
      <c r="E434" s="15"/>
      <c r="F434" s="15"/>
      <c r="G434" s="15"/>
      <c r="H434" s="15"/>
      <c r="I434" s="26"/>
      <c r="J434" s="15"/>
      <c r="K434" s="26"/>
      <c r="L434" s="15"/>
      <c r="M434" s="26"/>
      <c r="N434" s="26"/>
      <c r="O434" s="26"/>
      <c r="P434" s="26"/>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row>
    <row r="435" spans="1:40">
      <c r="A435" s="15"/>
      <c r="B435" s="15"/>
      <c r="C435" s="26"/>
      <c r="D435" s="15"/>
      <c r="E435" s="15"/>
      <c r="F435" s="15"/>
      <c r="G435" s="15"/>
      <c r="H435" s="15"/>
      <c r="I435" s="26"/>
      <c r="J435" s="15"/>
      <c r="K435" s="26"/>
      <c r="L435" s="15"/>
      <c r="M435" s="26"/>
      <c r="N435" s="26"/>
      <c r="O435" s="26"/>
      <c r="P435" s="26"/>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row>
    <row r="436" spans="1:40">
      <c r="A436" s="15"/>
      <c r="B436" s="15"/>
      <c r="C436" s="26"/>
      <c r="D436" s="15"/>
      <c r="E436" s="15"/>
      <c r="F436" s="15"/>
      <c r="G436" s="15"/>
      <c r="H436" s="15"/>
      <c r="I436" s="26"/>
      <c r="J436" s="15"/>
      <c r="K436" s="26"/>
      <c r="L436" s="15"/>
      <c r="M436" s="26"/>
      <c r="N436" s="26"/>
      <c r="O436" s="26"/>
      <c r="P436" s="26"/>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row>
    <row r="437" spans="1:40">
      <c r="A437" s="15"/>
      <c r="B437" s="15"/>
      <c r="C437" s="26"/>
      <c r="D437" s="15"/>
      <c r="E437" s="15"/>
      <c r="F437" s="15"/>
      <c r="G437" s="15"/>
      <c r="H437" s="15"/>
      <c r="I437" s="26"/>
      <c r="J437" s="15"/>
      <c r="K437" s="26"/>
      <c r="L437" s="15"/>
      <c r="M437" s="26"/>
      <c r="N437" s="26"/>
      <c r="O437" s="26"/>
      <c r="P437" s="26"/>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row>
    <row r="438" spans="1:40">
      <c r="A438" s="15"/>
      <c r="B438" s="15"/>
      <c r="C438" s="26"/>
      <c r="D438" s="15"/>
      <c r="E438" s="15"/>
      <c r="F438" s="15"/>
      <c r="G438" s="15"/>
      <c r="H438" s="15"/>
      <c r="I438" s="26"/>
      <c r="J438" s="15"/>
      <c r="K438" s="26"/>
      <c r="L438" s="15"/>
      <c r="M438" s="26"/>
      <c r="N438" s="26"/>
      <c r="O438" s="26"/>
      <c r="P438" s="26"/>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row>
    <row r="439" spans="1:40">
      <c r="A439" s="15"/>
      <c r="B439" s="15"/>
      <c r="C439" s="26"/>
      <c r="D439" s="15"/>
      <c r="E439" s="15"/>
      <c r="F439" s="15"/>
      <c r="G439" s="15"/>
      <c r="H439" s="15"/>
      <c r="I439" s="26"/>
      <c r="J439" s="15"/>
      <c r="K439" s="26"/>
      <c r="L439" s="15"/>
      <c r="M439" s="26"/>
      <c r="N439" s="26"/>
      <c r="O439" s="26"/>
      <c r="P439" s="26"/>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row>
    <row r="440" spans="1:40">
      <c r="A440" s="15"/>
      <c r="B440" s="15"/>
      <c r="C440" s="26"/>
      <c r="D440" s="15"/>
      <c r="E440" s="15"/>
      <c r="F440" s="15"/>
      <c r="G440" s="15"/>
      <c r="H440" s="15"/>
      <c r="I440" s="26"/>
      <c r="J440" s="15"/>
      <c r="K440" s="26"/>
      <c r="L440" s="15"/>
      <c r="M440" s="26"/>
      <c r="N440" s="26"/>
      <c r="O440" s="26"/>
      <c r="P440" s="26"/>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row>
    <row r="441" spans="1:40">
      <c r="A441" s="15"/>
      <c r="B441" s="15"/>
      <c r="C441" s="26"/>
      <c r="D441" s="15"/>
      <c r="E441" s="15"/>
      <c r="F441" s="15"/>
      <c r="G441" s="15"/>
      <c r="H441" s="15"/>
      <c r="I441" s="26"/>
      <c r="J441" s="15"/>
      <c r="K441" s="26"/>
      <c r="L441" s="15"/>
      <c r="M441" s="26"/>
      <c r="N441" s="26"/>
      <c r="O441" s="26"/>
      <c r="P441" s="26"/>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row>
    <row r="442" spans="1:40">
      <c r="A442" s="15"/>
      <c r="B442" s="15"/>
      <c r="C442" s="26"/>
      <c r="D442" s="15"/>
      <c r="E442" s="15"/>
      <c r="F442" s="15"/>
      <c r="G442" s="15"/>
      <c r="H442" s="15"/>
      <c r="I442" s="26"/>
      <c r="J442" s="15"/>
      <c r="K442" s="26"/>
      <c r="L442" s="15"/>
      <c r="M442" s="26"/>
      <c r="N442" s="26"/>
      <c r="O442" s="26"/>
      <c r="P442" s="26"/>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row>
    <row r="443" spans="1:40">
      <c r="A443" s="15"/>
      <c r="B443" s="15"/>
      <c r="C443" s="26"/>
      <c r="D443" s="15"/>
      <c r="E443" s="15"/>
      <c r="F443" s="15"/>
      <c r="G443" s="15"/>
      <c r="H443" s="15"/>
      <c r="I443" s="26"/>
      <c r="J443" s="15"/>
      <c r="K443" s="26"/>
      <c r="L443" s="15"/>
      <c r="M443" s="26"/>
      <c r="N443" s="26"/>
      <c r="O443" s="26"/>
      <c r="P443" s="26"/>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row>
    <row r="444" spans="1:40">
      <c r="A444" s="15"/>
      <c r="B444" s="15"/>
      <c r="C444" s="26"/>
      <c r="D444" s="15"/>
      <c r="E444" s="15"/>
      <c r="F444" s="15"/>
      <c r="G444" s="15"/>
      <c r="H444" s="15"/>
      <c r="I444" s="26"/>
      <c r="J444" s="15"/>
      <c r="K444" s="26"/>
      <c r="L444" s="15"/>
      <c r="M444" s="26"/>
      <c r="N444" s="26"/>
      <c r="O444" s="26"/>
      <c r="P444" s="26"/>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row>
    <row r="445" spans="1:40">
      <c r="A445" s="15"/>
      <c r="B445" s="15"/>
      <c r="C445" s="26"/>
      <c r="D445" s="15"/>
      <c r="E445" s="15"/>
      <c r="F445" s="15"/>
      <c r="G445" s="15"/>
      <c r="H445" s="15"/>
      <c r="I445" s="26"/>
      <c r="J445" s="15"/>
      <c r="K445" s="26"/>
      <c r="L445" s="15"/>
      <c r="M445" s="26"/>
      <c r="N445" s="26"/>
      <c r="O445" s="26"/>
      <c r="P445" s="26"/>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row>
    <row r="446" spans="1:40">
      <c r="A446" s="15"/>
      <c r="B446" s="15"/>
      <c r="C446" s="26"/>
      <c r="D446" s="15"/>
      <c r="E446" s="15"/>
      <c r="F446" s="15"/>
      <c r="G446" s="15"/>
      <c r="H446" s="15"/>
      <c r="I446" s="26"/>
      <c r="J446" s="15"/>
      <c r="K446" s="26"/>
      <c r="L446" s="15"/>
      <c r="M446" s="26"/>
      <c r="N446" s="26"/>
      <c r="O446" s="26"/>
      <c r="P446" s="26"/>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row>
    <row r="447" spans="1:40">
      <c r="A447" s="15"/>
      <c r="B447" s="15"/>
      <c r="C447" s="26"/>
      <c r="D447" s="15"/>
      <c r="E447" s="15"/>
      <c r="F447" s="15"/>
      <c r="G447" s="15"/>
      <c r="H447" s="15"/>
      <c r="I447" s="26"/>
      <c r="J447" s="15"/>
      <c r="K447" s="26"/>
      <c r="L447" s="15"/>
      <c r="M447" s="26"/>
      <c r="N447" s="26"/>
      <c r="O447" s="26"/>
      <c r="P447" s="26"/>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row>
    <row r="448" spans="1:40">
      <c r="A448" s="15"/>
      <c r="B448" s="15"/>
      <c r="C448" s="26"/>
      <c r="D448" s="15"/>
      <c r="E448" s="15"/>
      <c r="F448" s="15"/>
      <c r="G448" s="15"/>
      <c r="H448" s="15"/>
      <c r="I448" s="26"/>
      <c r="J448" s="15"/>
      <c r="K448" s="26"/>
      <c r="L448" s="15"/>
      <c r="M448" s="26"/>
      <c r="N448" s="26"/>
      <c r="O448" s="26"/>
      <c r="P448" s="26"/>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row>
    <row r="449" spans="1:40">
      <c r="A449" s="15"/>
      <c r="B449" s="15"/>
      <c r="C449" s="26"/>
      <c r="D449" s="15"/>
      <c r="E449" s="15"/>
      <c r="F449" s="15"/>
      <c r="G449" s="15"/>
      <c r="H449" s="15"/>
      <c r="I449" s="26"/>
      <c r="J449" s="15"/>
      <c r="K449" s="26"/>
      <c r="L449" s="15"/>
      <c r="M449" s="26"/>
      <c r="N449" s="26"/>
      <c r="O449" s="26"/>
      <c r="P449" s="26"/>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row>
    <row r="450" spans="1:40">
      <c r="A450" s="15"/>
      <c r="B450" s="15"/>
      <c r="C450" s="26"/>
      <c r="D450" s="15"/>
      <c r="E450" s="15"/>
      <c r="F450" s="15"/>
      <c r="G450" s="15"/>
      <c r="H450" s="15"/>
      <c r="I450" s="26"/>
      <c r="J450" s="15"/>
      <c r="K450" s="26"/>
      <c r="L450" s="15"/>
      <c r="M450" s="26"/>
      <c r="N450" s="26"/>
      <c r="O450" s="26"/>
      <c r="P450" s="26"/>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row>
    <row r="451" spans="1:40">
      <c r="A451" s="15"/>
      <c r="B451" s="15"/>
      <c r="C451" s="26"/>
      <c r="D451" s="15"/>
      <c r="E451" s="15"/>
      <c r="F451" s="15"/>
      <c r="G451" s="15"/>
      <c r="H451" s="15"/>
      <c r="I451" s="26"/>
      <c r="J451" s="15"/>
      <c r="K451" s="26"/>
      <c r="L451" s="15"/>
      <c r="M451" s="26"/>
      <c r="N451" s="26"/>
      <c r="O451" s="26"/>
      <c r="P451" s="26"/>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row>
    <row r="452" spans="1:40">
      <c r="A452" s="15"/>
      <c r="B452" s="15"/>
      <c r="C452" s="26"/>
      <c r="D452" s="15"/>
      <c r="E452" s="15"/>
      <c r="F452" s="15"/>
      <c r="G452" s="15"/>
      <c r="H452" s="15"/>
      <c r="I452" s="26"/>
      <c r="J452" s="15"/>
      <c r="K452" s="26"/>
      <c r="L452" s="15"/>
      <c r="M452" s="26"/>
      <c r="N452" s="26"/>
      <c r="O452" s="26"/>
      <c r="P452" s="26"/>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row>
    <row r="453" spans="1:40">
      <c r="A453" s="15"/>
      <c r="B453" s="15"/>
      <c r="C453" s="26"/>
      <c r="D453" s="15"/>
      <c r="E453" s="15"/>
      <c r="F453" s="15"/>
      <c r="G453" s="15"/>
      <c r="H453" s="15"/>
      <c r="I453" s="26"/>
      <c r="J453" s="15"/>
      <c r="K453" s="26"/>
      <c r="L453" s="15"/>
      <c r="M453" s="26"/>
      <c r="N453" s="26"/>
      <c r="O453" s="26"/>
      <c r="P453" s="26"/>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row>
    <row r="454" spans="1:40">
      <c r="A454" s="15"/>
      <c r="B454" s="15"/>
      <c r="C454" s="26"/>
      <c r="D454" s="15"/>
      <c r="E454" s="15"/>
      <c r="F454" s="15"/>
      <c r="G454" s="15"/>
      <c r="H454" s="15"/>
      <c r="I454" s="26"/>
      <c r="J454" s="15"/>
      <c r="K454" s="26"/>
      <c r="L454" s="15"/>
      <c r="M454" s="26"/>
      <c r="N454" s="26"/>
      <c r="O454" s="26"/>
      <c r="P454" s="26"/>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row>
    <row r="455" spans="1:40">
      <c r="A455" s="15"/>
      <c r="B455" s="15"/>
      <c r="C455" s="26"/>
      <c r="D455" s="15"/>
      <c r="E455" s="15"/>
      <c r="F455" s="15"/>
      <c r="G455" s="15"/>
      <c r="H455" s="15"/>
      <c r="I455" s="26"/>
      <c r="J455" s="15"/>
      <c r="K455" s="26"/>
      <c r="L455" s="15"/>
      <c r="M455" s="26"/>
      <c r="N455" s="26"/>
      <c r="O455" s="26"/>
      <c r="P455" s="26"/>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row>
    <row r="456" spans="1:40">
      <c r="A456" s="15"/>
      <c r="B456" s="15"/>
      <c r="C456" s="26"/>
      <c r="D456" s="15"/>
      <c r="E456" s="15"/>
      <c r="F456" s="15"/>
      <c r="G456" s="15"/>
      <c r="H456" s="15"/>
      <c r="I456" s="26"/>
      <c r="J456" s="15"/>
      <c r="K456" s="26"/>
      <c r="L456" s="15"/>
      <c r="M456" s="26"/>
      <c r="N456" s="26"/>
      <c r="O456" s="26"/>
      <c r="P456" s="26"/>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row>
    <row r="457" spans="1:40">
      <c r="A457" s="15"/>
      <c r="B457" s="15"/>
      <c r="C457" s="26"/>
      <c r="D457" s="15"/>
      <c r="E457" s="15"/>
      <c r="F457" s="15"/>
      <c r="G457" s="15"/>
      <c r="H457" s="15"/>
      <c r="I457" s="26"/>
      <c r="J457" s="15"/>
      <c r="K457" s="26"/>
      <c r="L457" s="15"/>
      <c r="M457" s="26"/>
      <c r="N457" s="26"/>
      <c r="O457" s="26"/>
      <c r="P457" s="26"/>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row>
    <row r="458" spans="1:40">
      <c r="A458" s="15"/>
      <c r="B458" s="15"/>
      <c r="C458" s="26"/>
      <c r="D458" s="15"/>
      <c r="E458" s="15"/>
      <c r="F458" s="15"/>
      <c r="G458" s="15"/>
      <c r="H458" s="15"/>
      <c r="I458" s="26"/>
      <c r="J458" s="15"/>
      <c r="K458" s="26"/>
      <c r="L458" s="15"/>
      <c r="M458" s="26"/>
      <c r="N458" s="26"/>
      <c r="O458" s="26"/>
      <c r="P458" s="26"/>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row>
    <row r="459" spans="1:40">
      <c r="A459" s="15"/>
      <c r="B459" s="15"/>
      <c r="C459" s="26"/>
      <c r="D459" s="15"/>
      <c r="E459" s="15"/>
      <c r="F459" s="15"/>
      <c r="G459" s="15"/>
      <c r="H459" s="15"/>
      <c r="I459" s="26"/>
      <c r="J459" s="15"/>
      <c r="K459" s="26"/>
      <c r="L459" s="15"/>
      <c r="M459" s="26"/>
      <c r="N459" s="26"/>
      <c r="O459" s="26"/>
      <c r="P459" s="26"/>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row>
    <row r="460" spans="1:40">
      <c r="A460" s="15"/>
      <c r="B460" s="15"/>
      <c r="C460" s="26"/>
      <c r="D460" s="15"/>
      <c r="E460" s="15"/>
      <c r="F460" s="15"/>
      <c r="G460" s="15"/>
      <c r="H460" s="15"/>
      <c r="I460" s="26"/>
      <c r="J460" s="15"/>
      <c r="K460" s="26"/>
      <c r="L460" s="15"/>
      <c r="M460" s="26"/>
      <c r="N460" s="26"/>
      <c r="O460" s="26"/>
      <c r="P460" s="26"/>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row>
    <row r="461" spans="1:40">
      <c r="A461" s="15"/>
      <c r="B461" s="15"/>
      <c r="C461" s="26"/>
      <c r="D461" s="15"/>
      <c r="E461" s="15"/>
      <c r="F461" s="15"/>
      <c r="G461" s="15"/>
      <c r="H461" s="15"/>
      <c r="I461" s="26"/>
      <c r="J461" s="15"/>
      <c r="K461" s="26"/>
      <c r="L461" s="15"/>
      <c r="M461" s="26"/>
      <c r="N461" s="26"/>
      <c r="O461" s="26"/>
      <c r="P461" s="26"/>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row>
    <row r="462" spans="1:40">
      <c r="A462" s="15"/>
      <c r="B462" s="15"/>
      <c r="C462" s="26"/>
      <c r="D462" s="15"/>
      <c r="E462" s="15"/>
      <c r="F462" s="15"/>
      <c r="G462" s="15"/>
      <c r="H462" s="15"/>
      <c r="I462" s="26"/>
      <c r="J462" s="15"/>
      <c r="K462" s="26"/>
      <c r="L462" s="15"/>
      <c r="M462" s="26"/>
      <c r="N462" s="26"/>
      <c r="O462" s="26"/>
      <c r="P462" s="26"/>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row>
    <row r="463" spans="1:40">
      <c r="A463" s="15"/>
      <c r="B463" s="15"/>
      <c r="C463" s="26"/>
      <c r="D463" s="15"/>
      <c r="E463" s="15"/>
      <c r="F463" s="15"/>
      <c r="G463" s="15"/>
      <c r="H463" s="15"/>
      <c r="I463" s="26"/>
      <c r="J463" s="15"/>
      <c r="K463" s="26"/>
      <c r="L463" s="15"/>
      <c r="M463" s="26"/>
      <c r="N463" s="26"/>
      <c r="O463" s="26"/>
      <c r="P463" s="26"/>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row>
    <row r="464" spans="1:40">
      <c r="A464" s="15"/>
      <c r="B464" s="15"/>
      <c r="C464" s="26"/>
      <c r="D464" s="15"/>
      <c r="E464" s="15"/>
      <c r="F464" s="15"/>
      <c r="G464" s="15"/>
      <c r="H464" s="15"/>
      <c r="I464" s="26"/>
      <c r="J464" s="15"/>
      <c r="K464" s="26"/>
      <c r="L464" s="15"/>
      <c r="M464" s="26"/>
      <c r="N464" s="26"/>
      <c r="O464" s="26"/>
      <c r="P464" s="26"/>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row>
    <row r="465" spans="1:40">
      <c r="A465" s="15"/>
      <c r="B465" s="15"/>
      <c r="C465" s="26"/>
      <c r="D465" s="15"/>
      <c r="E465" s="15"/>
      <c r="F465" s="15"/>
      <c r="G465" s="15"/>
      <c r="H465" s="15"/>
      <c r="I465" s="26"/>
      <c r="J465" s="15"/>
      <c r="K465" s="26"/>
      <c r="L465" s="15"/>
      <c r="M465" s="26"/>
      <c r="N465" s="26"/>
      <c r="O465" s="26"/>
      <c r="P465" s="26"/>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row>
    <row r="466" spans="1:40">
      <c r="A466" s="15"/>
      <c r="B466" s="15"/>
      <c r="C466" s="26"/>
      <c r="D466" s="15"/>
      <c r="E466" s="15"/>
      <c r="F466" s="15"/>
      <c r="G466" s="15"/>
      <c r="H466" s="15"/>
      <c r="I466" s="26"/>
      <c r="J466" s="15"/>
      <c r="K466" s="26"/>
      <c r="L466" s="15"/>
      <c r="M466" s="26"/>
      <c r="N466" s="26"/>
      <c r="O466" s="26"/>
      <c r="P466" s="26"/>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row>
    <row r="467" spans="1:40">
      <c r="A467" s="15"/>
      <c r="B467" s="15"/>
      <c r="C467" s="26"/>
      <c r="D467" s="15"/>
      <c r="E467" s="15"/>
      <c r="F467" s="15"/>
      <c r="G467" s="15"/>
      <c r="H467" s="15"/>
      <c r="I467" s="26"/>
      <c r="J467" s="15"/>
      <c r="K467" s="26"/>
      <c r="L467" s="15"/>
      <c r="M467" s="26"/>
      <c r="N467" s="26"/>
      <c r="O467" s="26"/>
      <c r="P467" s="26"/>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row>
    <row r="468" spans="1:40">
      <c r="A468" s="15"/>
      <c r="B468" s="15"/>
      <c r="C468" s="26"/>
      <c r="D468" s="15"/>
      <c r="E468" s="15"/>
      <c r="F468" s="15"/>
      <c r="G468" s="15"/>
      <c r="H468" s="15"/>
      <c r="I468" s="26"/>
      <c r="J468" s="15"/>
      <c r="K468" s="26"/>
      <c r="L468" s="15"/>
      <c r="M468" s="26"/>
      <c r="N468" s="26"/>
      <c r="O468" s="26"/>
      <c r="P468" s="26"/>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row>
    <row r="469" spans="1:40">
      <c r="A469" s="15"/>
      <c r="B469" s="15"/>
      <c r="C469" s="26"/>
      <c r="D469" s="15"/>
      <c r="E469" s="15"/>
      <c r="F469" s="15"/>
      <c r="G469" s="15"/>
      <c r="H469" s="15"/>
      <c r="I469" s="26"/>
      <c r="J469" s="15"/>
      <c r="K469" s="26"/>
      <c r="L469" s="15"/>
      <c r="M469" s="26"/>
      <c r="N469" s="26"/>
      <c r="O469" s="26"/>
      <c r="P469" s="26"/>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row>
    <row r="470" spans="1:40">
      <c r="A470" s="15"/>
      <c r="B470" s="15"/>
      <c r="C470" s="26"/>
      <c r="D470" s="15"/>
      <c r="E470" s="15"/>
      <c r="F470" s="15"/>
      <c r="G470" s="15"/>
      <c r="H470" s="15"/>
      <c r="I470" s="26"/>
      <c r="J470" s="15"/>
      <c r="K470" s="26"/>
      <c r="L470" s="15"/>
      <c r="M470" s="26"/>
      <c r="N470" s="26"/>
      <c r="O470" s="26"/>
      <c r="P470" s="26"/>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row>
    <row r="471" spans="1:40">
      <c r="A471" s="15"/>
      <c r="B471" s="15"/>
      <c r="C471" s="26"/>
      <c r="D471" s="15"/>
      <c r="E471" s="15"/>
      <c r="F471" s="15"/>
      <c r="G471" s="15"/>
      <c r="H471" s="15"/>
      <c r="I471" s="26"/>
      <c r="J471" s="15"/>
      <c r="K471" s="26"/>
      <c r="L471" s="15"/>
      <c r="M471" s="26"/>
      <c r="N471" s="26"/>
      <c r="O471" s="26"/>
      <c r="P471" s="26"/>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row>
    <row r="472" spans="1:40">
      <c r="A472" s="15"/>
      <c r="B472" s="15"/>
      <c r="C472" s="26"/>
      <c r="D472" s="15"/>
      <c r="E472" s="15"/>
      <c r="F472" s="15"/>
      <c r="G472" s="15"/>
      <c r="H472" s="15"/>
      <c r="I472" s="26"/>
      <c r="J472" s="15"/>
      <c r="K472" s="26"/>
      <c r="L472" s="15"/>
      <c r="M472" s="26"/>
      <c r="N472" s="26"/>
      <c r="O472" s="26"/>
      <c r="P472" s="26"/>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row>
    <row r="473" spans="1:40">
      <c r="A473" s="15"/>
      <c r="B473" s="15"/>
      <c r="C473" s="26"/>
      <c r="D473" s="15"/>
      <c r="E473" s="15"/>
      <c r="F473" s="15"/>
      <c r="G473" s="15"/>
      <c r="H473" s="15"/>
      <c r="I473" s="26"/>
      <c r="J473" s="15"/>
      <c r="K473" s="26"/>
      <c r="L473" s="15"/>
      <c r="M473" s="26"/>
      <c r="N473" s="26"/>
      <c r="O473" s="26"/>
      <c r="P473" s="26"/>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row>
    <row r="474" spans="1:40">
      <c r="A474" s="15"/>
      <c r="B474" s="15"/>
      <c r="C474" s="26"/>
      <c r="D474" s="15"/>
      <c r="E474" s="15"/>
      <c r="F474" s="15"/>
      <c r="G474" s="15"/>
      <c r="H474" s="15"/>
      <c r="I474" s="26"/>
      <c r="J474" s="15"/>
      <c r="K474" s="26"/>
      <c r="L474" s="15"/>
      <c r="M474" s="26"/>
      <c r="N474" s="26"/>
      <c r="O474" s="26"/>
      <c r="P474" s="26"/>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row>
    <row r="475" spans="1:40">
      <c r="A475" s="15"/>
      <c r="B475" s="15"/>
      <c r="C475" s="26"/>
      <c r="D475" s="15"/>
      <c r="E475" s="15"/>
      <c r="F475" s="15"/>
      <c r="G475" s="15"/>
      <c r="H475" s="15"/>
      <c r="I475" s="26"/>
      <c r="J475" s="15"/>
      <c r="K475" s="26"/>
      <c r="L475" s="15"/>
      <c r="M475" s="26"/>
      <c r="N475" s="26"/>
      <c r="O475" s="26"/>
      <c r="P475" s="26"/>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row>
    <row r="476" spans="1:40">
      <c r="A476" s="15"/>
      <c r="B476" s="15"/>
      <c r="C476" s="26"/>
      <c r="D476" s="15"/>
      <c r="E476" s="15"/>
      <c r="F476" s="15"/>
      <c r="G476" s="15"/>
      <c r="H476" s="15"/>
      <c r="I476" s="26"/>
      <c r="J476" s="15"/>
      <c r="K476" s="26"/>
      <c r="L476" s="15"/>
      <c r="M476" s="26"/>
      <c r="N476" s="26"/>
      <c r="O476" s="26"/>
      <c r="P476" s="26"/>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row>
    <row r="477" spans="1:40">
      <c r="A477" s="15"/>
      <c r="B477" s="15"/>
      <c r="C477" s="26"/>
      <c r="D477" s="15"/>
      <c r="E477" s="15"/>
      <c r="F477" s="15"/>
      <c r="G477" s="15"/>
      <c r="H477" s="15"/>
      <c r="I477" s="26"/>
      <c r="J477" s="15"/>
      <c r="K477" s="26"/>
      <c r="L477" s="15"/>
      <c r="M477" s="26"/>
      <c r="N477" s="26"/>
      <c r="O477" s="26"/>
      <c r="P477" s="26"/>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row>
    <row r="478" spans="1:40">
      <c r="A478" s="15"/>
      <c r="B478" s="15"/>
      <c r="C478" s="26"/>
      <c r="D478" s="15"/>
      <c r="E478" s="15"/>
      <c r="F478" s="15"/>
      <c r="G478" s="15"/>
      <c r="H478" s="15"/>
      <c r="I478" s="26"/>
      <c r="J478" s="15"/>
      <c r="K478" s="26"/>
      <c r="L478" s="15"/>
      <c r="M478" s="26"/>
      <c r="N478" s="26"/>
      <c r="O478" s="26"/>
      <c r="P478" s="26"/>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row>
    <row r="479" spans="1:40">
      <c r="A479" s="15"/>
      <c r="B479" s="15"/>
      <c r="C479" s="26"/>
      <c r="D479" s="15"/>
      <c r="E479" s="15"/>
      <c r="F479" s="15"/>
      <c r="G479" s="15"/>
      <c r="H479" s="15"/>
      <c r="I479" s="26"/>
      <c r="J479" s="15"/>
      <c r="K479" s="26"/>
      <c r="L479" s="15"/>
      <c r="M479" s="26"/>
      <c r="N479" s="26"/>
      <c r="O479" s="26"/>
      <c r="P479" s="26"/>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row>
    <row r="480" spans="1:40">
      <c r="A480" s="15"/>
      <c r="B480" s="15"/>
      <c r="C480" s="26"/>
      <c r="D480" s="15"/>
      <c r="E480" s="15"/>
      <c r="F480" s="15"/>
      <c r="G480" s="15"/>
      <c r="H480" s="15"/>
      <c r="I480" s="26"/>
      <c r="J480" s="15"/>
      <c r="K480" s="26"/>
      <c r="L480" s="15"/>
      <c r="M480" s="26"/>
      <c r="N480" s="26"/>
      <c r="O480" s="26"/>
      <c r="P480" s="26"/>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row>
    <row r="481" spans="1:40">
      <c r="A481" s="15"/>
      <c r="B481" s="15"/>
      <c r="C481" s="26"/>
      <c r="D481" s="15"/>
      <c r="E481" s="15"/>
      <c r="F481" s="15"/>
      <c r="G481" s="15"/>
      <c r="H481" s="15"/>
      <c r="I481" s="26"/>
      <c r="J481" s="15"/>
      <c r="K481" s="26"/>
      <c r="L481" s="15"/>
      <c r="M481" s="26"/>
      <c r="N481" s="26"/>
      <c r="O481" s="26"/>
      <c r="P481" s="26"/>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row>
    <row r="482" spans="1:40">
      <c r="A482" s="15"/>
      <c r="B482" s="15"/>
      <c r="C482" s="26"/>
      <c r="D482" s="15"/>
      <c r="E482" s="15"/>
      <c r="F482" s="15"/>
      <c r="G482" s="15"/>
      <c r="H482" s="15"/>
      <c r="I482" s="26"/>
      <c r="J482" s="15"/>
      <c r="K482" s="26"/>
      <c r="L482" s="15"/>
      <c r="M482" s="26"/>
      <c r="N482" s="26"/>
      <c r="O482" s="26"/>
      <c r="P482" s="26"/>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row>
    <row r="483" spans="1:40">
      <c r="A483" s="15"/>
      <c r="B483" s="15"/>
      <c r="C483" s="26"/>
      <c r="D483" s="15"/>
      <c r="E483" s="15"/>
      <c r="F483" s="15"/>
      <c r="G483" s="15"/>
      <c r="H483" s="15"/>
      <c r="I483" s="26"/>
      <c r="J483" s="15"/>
      <c r="K483" s="26"/>
      <c r="L483" s="15"/>
      <c r="M483" s="26"/>
      <c r="N483" s="26"/>
      <c r="O483" s="26"/>
      <c r="P483" s="26"/>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row>
    <row r="484" spans="1:40">
      <c r="A484" s="15"/>
      <c r="B484" s="15"/>
      <c r="C484" s="26"/>
      <c r="D484" s="15"/>
      <c r="E484" s="15"/>
      <c r="F484" s="15"/>
      <c r="G484" s="15"/>
      <c r="H484" s="15"/>
      <c r="I484" s="26"/>
      <c r="J484" s="15"/>
      <c r="K484" s="26"/>
      <c r="L484" s="15"/>
      <c r="M484" s="26"/>
      <c r="N484" s="26"/>
      <c r="O484" s="26"/>
      <c r="P484" s="26"/>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row>
    <row r="485" spans="1:40">
      <c r="A485" s="15"/>
      <c r="B485" s="15"/>
      <c r="C485" s="26"/>
      <c r="D485" s="15"/>
      <c r="E485" s="15"/>
      <c r="F485" s="15"/>
      <c r="G485" s="15"/>
      <c r="H485" s="15"/>
      <c r="I485" s="26"/>
      <c r="J485" s="15"/>
      <c r="K485" s="26"/>
      <c r="L485" s="15"/>
      <c r="M485" s="26"/>
      <c r="N485" s="26"/>
      <c r="O485" s="26"/>
      <c r="P485" s="26"/>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row>
    <row r="486" spans="1:40">
      <c r="A486" s="15"/>
      <c r="B486" s="15"/>
      <c r="C486" s="26"/>
      <c r="D486" s="15"/>
      <c r="E486" s="15"/>
      <c r="F486" s="15"/>
      <c r="G486" s="15"/>
      <c r="H486" s="15"/>
      <c r="I486" s="26"/>
      <c r="J486" s="15"/>
      <c r="K486" s="26"/>
      <c r="L486" s="15"/>
      <c r="M486" s="26"/>
      <c r="N486" s="26"/>
      <c r="O486" s="26"/>
      <c r="P486" s="26"/>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row>
    <row r="487" spans="1:40">
      <c r="A487" s="15"/>
      <c r="B487" s="15"/>
      <c r="C487" s="26"/>
      <c r="D487" s="15"/>
      <c r="E487" s="15"/>
      <c r="F487" s="15"/>
      <c r="G487" s="15"/>
      <c r="H487" s="15"/>
      <c r="I487" s="26"/>
      <c r="J487" s="15"/>
      <c r="K487" s="26"/>
      <c r="L487" s="15"/>
      <c r="M487" s="26"/>
      <c r="N487" s="26"/>
      <c r="O487" s="26"/>
      <c r="P487" s="26"/>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row>
    <row r="488" spans="1:40">
      <c r="A488" s="15"/>
      <c r="B488" s="15"/>
      <c r="C488" s="26"/>
      <c r="D488" s="15"/>
      <c r="E488" s="15"/>
      <c r="F488" s="15"/>
      <c r="G488" s="15"/>
      <c r="H488" s="15"/>
      <c r="I488" s="26"/>
      <c r="J488" s="15"/>
      <c r="K488" s="26"/>
      <c r="L488" s="15"/>
      <c r="M488" s="26"/>
      <c r="N488" s="26"/>
      <c r="O488" s="26"/>
      <c r="P488" s="26"/>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row>
    <row r="489" spans="1:40">
      <c r="A489" s="15"/>
      <c r="B489" s="15"/>
      <c r="C489" s="26"/>
      <c r="D489" s="15"/>
      <c r="E489" s="15"/>
      <c r="F489" s="15"/>
      <c r="G489" s="15"/>
      <c r="H489" s="15"/>
      <c r="I489" s="26"/>
      <c r="J489" s="15"/>
      <c r="K489" s="26"/>
      <c r="L489" s="15"/>
      <c r="M489" s="26"/>
      <c r="N489" s="26"/>
      <c r="O489" s="26"/>
      <c r="P489" s="26"/>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row>
    <row r="490" spans="1:40">
      <c r="A490" s="15"/>
      <c r="B490" s="15"/>
      <c r="C490" s="26"/>
      <c r="D490" s="15"/>
      <c r="E490" s="15"/>
      <c r="F490" s="15"/>
      <c r="G490" s="15"/>
      <c r="H490" s="15"/>
      <c r="I490" s="26"/>
      <c r="J490" s="15"/>
      <c r="K490" s="26"/>
      <c r="L490" s="15"/>
      <c r="M490" s="26"/>
      <c r="N490" s="26"/>
      <c r="O490" s="26"/>
      <c r="P490" s="26"/>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row>
    <row r="491" spans="1:40">
      <c r="A491" s="15"/>
      <c r="B491" s="15"/>
      <c r="C491" s="26"/>
      <c r="D491" s="15"/>
      <c r="E491" s="15"/>
      <c r="F491" s="15"/>
      <c r="G491" s="15"/>
      <c r="H491" s="15"/>
      <c r="I491" s="26"/>
      <c r="J491" s="15"/>
      <c r="K491" s="26"/>
      <c r="L491" s="15"/>
      <c r="M491" s="26"/>
      <c r="N491" s="26"/>
      <c r="O491" s="26"/>
      <c r="P491" s="26"/>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row>
    <row r="492" spans="1:40">
      <c r="A492" s="15"/>
      <c r="B492" s="15"/>
      <c r="C492" s="26"/>
      <c r="D492" s="15"/>
      <c r="E492" s="15"/>
      <c r="F492" s="15"/>
      <c r="G492" s="15"/>
      <c r="H492" s="15"/>
      <c r="I492" s="26"/>
      <c r="J492" s="15"/>
      <c r="K492" s="26"/>
      <c r="L492" s="15"/>
      <c r="M492" s="26"/>
      <c r="N492" s="26"/>
      <c r="O492" s="26"/>
      <c r="P492" s="26"/>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row>
    <row r="493" spans="1:40">
      <c r="A493" s="15"/>
      <c r="B493" s="15"/>
      <c r="C493" s="26"/>
      <c r="D493" s="15"/>
      <c r="E493" s="15"/>
      <c r="F493" s="15"/>
      <c r="G493" s="15"/>
      <c r="H493" s="15"/>
      <c r="I493" s="26"/>
      <c r="J493" s="15"/>
      <c r="K493" s="26"/>
      <c r="L493" s="15"/>
      <c r="M493" s="26"/>
      <c r="N493" s="26"/>
      <c r="O493" s="26"/>
      <c r="P493" s="26"/>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row>
    <row r="494" spans="1:40">
      <c r="A494" s="15"/>
      <c r="B494" s="15"/>
      <c r="C494" s="26"/>
      <c r="D494" s="15"/>
      <c r="E494" s="15"/>
      <c r="F494" s="15"/>
      <c r="G494" s="15"/>
      <c r="H494" s="15"/>
      <c r="I494" s="26"/>
      <c r="J494" s="15"/>
      <c r="K494" s="26"/>
      <c r="L494" s="15"/>
      <c r="M494" s="26"/>
      <c r="N494" s="26"/>
      <c r="O494" s="26"/>
      <c r="P494" s="26"/>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row>
    <row r="495" spans="1:40">
      <c r="A495" s="15"/>
      <c r="B495" s="15"/>
      <c r="C495" s="26"/>
      <c r="D495" s="15"/>
      <c r="E495" s="15"/>
      <c r="F495" s="15"/>
      <c r="G495" s="15"/>
      <c r="H495" s="15"/>
      <c r="I495" s="26"/>
      <c r="J495" s="15"/>
      <c r="K495" s="26"/>
      <c r="L495" s="15"/>
      <c r="M495" s="26"/>
      <c r="N495" s="26"/>
      <c r="O495" s="26"/>
      <c r="P495" s="26"/>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row>
    <row r="496" spans="1:40">
      <c r="A496" s="15"/>
      <c r="B496" s="15"/>
      <c r="C496" s="26"/>
      <c r="D496" s="15"/>
      <c r="E496" s="15"/>
      <c r="F496" s="15"/>
      <c r="G496" s="15"/>
      <c r="H496" s="15"/>
      <c r="I496" s="26"/>
      <c r="J496" s="15"/>
      <c r="K496" s="26"/>
      <c r="L496" s="15"/>
      <c r="M496" s="26"/>
      <c r="N496" s="26"/>
      <c r="O496" s="26"/>
      <c r="P496" s="26"/>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row>
    <row r="497" spans="1:40">
      <c r="A497" s="15"/>
      <c r="B497" s="15"/>
      <c r="C497" s="26"/>
      <c r="D497" s="15"/>
      <c r="E497" s="15"/>
      <c r="F497" s="15"/>
      <c r="G497" s="15"/>
      <c r="H497" s="15"/>
      <c r="I497" s="26"/>
      <c r="J497" s="15"/>
      <c r="K497" s="26"/>
      <c r="L497" s="15"/>
      <c r="M497" s="26"/>
      <c r="N497" s="26"/>
      <c r="O497" s="26"/>
      <c r="P497" s="26"/>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row>
    <row r="498" spans="1:40">
      <c r="A498" s="15"/>
      <c r="B498" s="15"/>
      <c r="C498" s="26"/>
      <c r="D498" s="15"/>
      <c r="E498" s="15"/>
      <c r="F498" s="15"/>
      <c r="G498" s="15"/>
      <c r="H498" s="15"/>
      <c r="I498" s="26"/>
      <c r="J498" s="15"/>
      <c r="K498" s="26"/>
      <c r="L498" s="15"/>
      <c r="M498" s="26"/>
      <c r="N498" s="26"/>
      <c r="O498" s="26"/>
      <c r="P498" s="26"/>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row>
    <row r="499" spans="1:40">
      <c r="A499" s="15"/>
      <c r="B499" s="15"/>
      <c r="C499" s="26"/>
      <c r="D499" s="15"/>
      <c r="E499" s="15"/>
      <c r="F499" s="15"/>
      <c r="G499" s="15"/>
      <c r="H499" s="15"/>
      <c r="I499" s="26"/>
      <c r="J499" s="15"/>
      <c r="K499" s="26"/>
      <c r="L499" s="15"/>
      <c r="M499" s="26"/>
      <c r="N499" s="26"/>
      <c r="O499" s="26"/>
      <c r="P499" s="26"/>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row>
    <row r="500" spans="1:40">
      <c r="A500" s="15"/>
      <c r="B500" s="15"/>
      <c r="C500" s="26"/>
      <c r="D500" s="15"/>
      <c r="E500" s="15"/>
      <c r="F500" s="15"/>
      <c r="G500" s="15"/>
      <c r="H500" s="15"/>
      <c r="I500" s="26"/>
      <c r="J500" s="15"/>
      <c r="K500" s="26"/>
      <c r="L500" s="15"/>
      <c r="M500" s="26"/>
      <c r="N500" s="26"/>
      <c r="O500" s="26"/>
      <c r="P500" s="26"/>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row>
    <row r="501" spans="1:40">
      <c r="A501" s="15"/>
      <c r="B501" s="15"/>
      <c r="C501" s="26"/>
      <c r="D501" s="15"/>
      <c r="E501" s="15"/>
      <c r="F501" s="15"/>
      <c r="G501" s="15"/>
      <c r="H501" s="15"/>
      <c r="I501" s="26"/>
      <c r="J501" s="15"/>
      <c r="K501" s="26"/>
      <c r="L501" s="15"/>
      <c r="M501" s="26"/>
      <c r="N501" s="26"/>
      <c r="O501" s="26"/>
      <c r="P501" s="26"/>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row>
    <row r="502" spans="1:40">
      <c r="A502" s="15"/>
      <c r="B502" s="15"/>
      <c r="C502" s="26"/>
      <c r="D502" s="15"/>
      <c r="E502" s="15"/>
      <c r="F502" s="15"/>
      <c r="G502" s="15"/>
      <c r="H502" s="15"/>
      <c r="I502" s="26"/>
      <c r="J502" s="15"/>
      <c r="K502" s="26"/>
      <c r="L502" s="15"/>
      <c r="M502" s="26"/>
      <c r="N502" s="26"/>
      <c r="O502" s="26"/>
      <c r="P502" s="26"/>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row>
    <row r="503" spans="1:40">
      <c r="A503" s="15"/>
      <c r="B503" s="15"/>
      <c r="C503" s="26"/>
      <c r="D503" s="15"/>
      <c r="E503" s="15"/>
      <c r="F503" s="15"/>
      <c r="G503" s="15"/>
      <c r="H503" s="15"/>
      <c r="I503" s="26"/>
      <c r="J503" s="15"/>
      <c r="K503" s="26"/>
      <c r="L503" s="15"/>
      <c r="M503" s="26"/>
      <c r="N503" s="26"/>
      <c r="O503" s="26"/>
      <c r="P503" s="26"/>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row>
    <row r="504" spans="1:40">
      <c r="A504" s="15"/>
      <c r="B504" s="15"/>
      <c r="C504" s="26"/>
      <c r="D504" s="15"/>
      <c r="E504" s="15"/>
      <c r="F504" s="15"/>
      <c r="G504" s="15"/>
      <c r="H504" s="15"/>
      <c r="I504" s="26"/>
      <c r="J504" s="15"/>
      <c r="K504" s="26"/>
      <c r="L504" s="15"/>
      <c r="M504" s="26"/>
      <c r="N504" s="26"/>
      <c r="O504" s="26"/>
      <c r="P504" s="26"/>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row>
    <row r="505" spans="1:40">
      <c r="A505" s="15"/>
      <c r="B505" s="15"/>
      <c r="C505" s="26"/>
      <c r="D505" s="15"/>
      <c r="E505" s="15"/>
      <c r="F505" s="15"/>
      <c r="G505" s="15"/>
      <c r="H505" s="15"/>
      <c r="I505" s="26"/>
      <c r="J505" s="15"/>
      <c r="K505" s="26"/>
      <c r="L505" s="15"/>
      <c r="M505" s="26"/>
      <c r="N505" s="26"/>
      <c r="O505" s="26"/>
      <c r="P505" s="26"/>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row>
    <row r="506" spans="1:40">
      <c r="A506" s="15"/>
      <c r="B506" s="15"/>
      <c r="C506" s="26"/>
      <c r="D506" s="15"/>
      <c r="E506" s="15"/>
      <c r="F506" s="15"/>
      <c r="G506" s="15"/>
      <c r="H506" s="15"/>
      <c r="I506" s="26"/>
      <c r="J506" s="15"/>
      <c r="K506" s="26"/>
      <c r="L506" s="15"/>
      <c r="M506" s="26"/>
      <c r="N506" s="26"/>
      <c r="O506" s="26"/>
      <c r="P506" s="26"/>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row>
    <row r="507" spans="1:40">
      <c r="A507" s="15"/>
      <c r="B507" s="15"/>
      <c r="C507" s="26"/>
      <c r="D507" s="15"/>
      <c r="E507" s="15"/>
      <c r="F507" s="15"/>
      <c r="G507" s="15"/>
      <c r="H507" s="15"/>
      <c r="I507" s="26"/>
      <c r="J507" s="15"/>
      <c r="K507" s="26"/>
      <c r="L507" s="15"/>
      <c r="M507" s="26"/>
      <c r="N507" s="26"/>
      <c r="O507" s="26"/>
      <c r="P507" s="26"/>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row>
    <row r="508" spans="1:40">
      <c r="A508" s="15"/>
      <c r="B508" s="15"/>
      <c r="C508" s="26"/>
      <c r="D508" s="15"/>
      <c r="E508" s="15"/>
      <c r="F508" s="15"/>
      <c r="G508" s="15"/>
      <c r="H508" s="15"/>
      <c r="I508" s="26"/>
      <c r="J508" s="15"/>
      <c r="K508" s="26"/>
      <c r="L508" s="15"/>
      <c r="M508" s="26"/>
      <c r="N508" s="26"/>
      <c r="O508" s="26"/>
      <c r="P508" s="26"/>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row>
    <row r="509" spans="1:40">
      <c r="A509" s="15"/>
      <c r="B509" s="15"/>
      <c r="C509" s="26"/>
      <c r="D509" s="15"/>
      <c r="E509" s="15"/>
      <c r="F509" s="15"/>
      <c r="G509" s="15"/>
      <c r="H509" s="15"/>
      <c r="I509" s="26"/>
      <c r="J509" s="15"/>
      <c r="K509" s="26"/>
      <c r="L509" s="15"/>
      <c r="M509" s="26"/>
      <c r="N509" s="26"/>
      <c r="O509" s="26"/>
      <c r="P509" s="26"/>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row>
    <row r="510" spans="1:40">
      <c r="A510" s="15"/>
      <c r="B510" s="15"/>
      <c r="C510" s="26"/>
      <c r="D510" s="15"/>
      <c r="E510" s="15"/>
      <c r="F510" s="15"/>
      <c r="G510" s="15"/>
      <c r="H510" s="15"/>
      <c r="I510" s="26"/>
      <c r="J510" s="15"/>
      <c r="K510" s="26"/>
      <c r="L510" s="15"/>
      <c r="M510" s="26"/>
      <c r="N510" s="26"/>
      <c r="O510" s="26"/>
      <c r="P510" s="26"/>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row>
    <row r="511" spans="1:40">
      <c r="A511" s="15"/>
      <c r="B511" s="15"/>
      <c r="C511" s="26"/>
      <c r="D511" s="15"/>
      <c r="E511" s="15"/>
      <c r="F511" s="15"/>
      <c r="G511" s="15"/>
      <c r="H511" s="15"/>
      <c r="I511" s="26"/>
      <c r="J511" s="15"/>
      <c r="K511" s="26"/>
      <c r="L511" s="15"/>
      <c r="M511" s="26"/>
      <c r="N511" s="26"/>
      <c r="O511" s="26"/>
      <c r="P511" s="26"/>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row>
    <row r="512" spans="1:40">
      <c r="A512" s="15"/>
      <c r="B512" s="15"/>
      <c r="C512" s="26"/>
      <c r="D512" s="15"/>
      <c r="E512" s="15"/>
      <c r="F512" s="15"/>
      <c r="G512" s="15"/>
      <c r="H512" s="15"/>
      <c r="I512" s="26"/>
      <c r="J512" s="15"/>
      <c r="K512" s="26"/>
      <c r="L512" s="15"/>
      <c r="M512" s="26"/>
      <c r="N512" s="26"/>
      <c r="O512" s="26"/>
      <c r="P512" s="26"/>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row>
    <row r="513" spans="1:40">
      <c r="A513" s="15"/>
      <c r="B513" s="15"/>
      <c r="C513" s="26"/>
      <c r="D513" s="15"/>
      <c r="E513" s="15"/>
      <c r="F513" s="15"/>
      <c r="G513" s="15"/>
      <c r="H513" s="15"/>
      <c r="I513" s="26"/>
      <c r="J513" s="15"/>
      <c r="K513" s="26"/>
      <c r="L513" s="15"/>
      <c r="M513" s="26"/>
      <c r="N513" s="26"/>
      <c r="O513" s="26"/>
      <c r="P513" s="26"/>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row>
    <row r="514" spans="1:40">
      <c r="A514" s="15"/>
      <c r="B514" s="15"/>
      <c r="C514" s="26"/>
      <c r="D514" s="15"/>
      <c r="E514" s="15"/>
      <c r="F514" s="15"/>
      <c r="G514" s="15"/>
      <c r="H514" s="15"/>
      <c r="I514" s="26"/>
      <c r="J514" s="15"/>
      <c r="K514" s="26"/>
      <c r="L514" s="15"/>
      <c r="M514" s="26"/>
      <c r="N514" s="26"/>
      <c r="O514" s="26"/>
      <c r="P514" s="26"/>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row>
    <row r="515" spans="1:40">
      <c r="A515" s="15"/>
      <c r="B515" s="15"/>
      <c r="C515" s="26"/>
      <c r="D515" s="15"/>
      <c r="E515" s="15"/>
      <c r="F515" s="15"/>
      <c r="G515" s="15"/>
      <c r="H515" s="15"/>
      <c r="I515" s="26"/>
      <c r="J515" s="15"/>
      <c r="K515" s="26"/>
      <c r="L515" s="15"/>
      <c r="M515" s="26"/>
      <c r="N515" s="26"/>
      <c r="O515" s="26"/>
      <c r="P515" s="26"/>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row>
    <row r="516" spans="1:40">
      <c r="A516" s="15"/>
      <c r="B516" s="15"/>
      <c r="C516" s="26"/>
      <c r="D516" s="15"/>
      <c r="E516" s="15"/>
      <c r="F516" s="15"/>
      <c r="G516" s="15"/>
      <c r="H516" s="15"/>
      <c r="I516" s="26"/>
      <c r="J516" s="15"/>
      <c r="K516" s="26"/>
      <c r="L516" s="15"/>
      <c r="M516" s="26"/>
      <c r="N516" s="26"/>
      <c r="O516" s="26"/>
      <c r="P516" s="26"/>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row>
    <row r="517" spans="1:40">
      <c r="A517" s="15"/>
      <c r="B517" s="15"/>
      <c r="C517" s="26"/>
      <c r="D517" s="15"/>
      <c r="E517" s="15"/>
      <c r="F517" s="15"/>
      <c r="G517" s="15"/>
      <c r="H517" s="15"/>
      <c r="I517" s="26"/>
      <c r="J517" s="15"/>
      <c r="K517" s="26"/>
      <c r="L517" s="15"/>
      <c r="M517" s="26"/>
      <c r="N517" s="26"/>
      <c r="O517" s="26"/>
      <c r="P517" s="26"/>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row>
    <row r="518" spans="1:40">
      <c r="A518" s="15"/>
      <c r="B518" s="15"/>
      <c r="C518" s="26"/>
      <c r="D518" s="15"/>
      <c r="E518" s="15"/>
      <c r="F518" s="15"/>
      <c r="G518" s="15"/>
      <c r="H518" s="15"/>
      <c r="I518" s="26"/>
      <c r="J518" s="15"/>
      <c r="K518" s="26"/>
      <c r="L518" s="15"/>
      <c r="M518" s="26"/>
      <c r="N518" s="26"/>
      <c r="O518" s="26"/>
      <c r="P518" s="26"/>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row>
    <row r="519" spans="1:40">
      <c r="A519" s="15"/>
      <c r="B519" s="15"/>
      <c r="C519" s="26"/>
      <c r="D519" s="15"/>
      <c r="E519" s="15"/>
      <c r="F519" s="15"/>
      <c r="G519" s="15"/>
      <c r="H519" s="15"/>
      <c r="I519" s="26"/>
      <c r="J519" s="15"/>
      <c r="K519" s="26"/>
      <c r="L519" s="15"/>
      <c r="M519" s="26"/>
      <c r="N519" s="26"/>
      <c r="O519" s="26"/>
      <c r="P519" s="26"/>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row>
    <row r="520" spans="1:40">
      <c r="A520" s="15"/>
      <c r="B520" s="15"/>
      <c r="C520" s="26"/>
      <c r="D520" s="15"/>
      <c r="E520" s="15"/>
      <c r="F520" s="15"/>
      <c r="G520" s="15"/>
      <c r="H520" s="15"/>
      <c r="I520" s="26"/>
      <c r="J520" s="15"/>
      <c r="K520" s="26"/>
      <c r="L520" s="15"/>
      <c r="M520" s="26"/>
      <c r="N520" s="26"/>
      <c r="O520" s="26"/>
      <c r="P520" s="26"/>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row>
    <row r="521" spans="1:40">
      <c r="A521" s="15"/>
      <c r="B521" s="15"/>
      <c r="C521" s="26"/>
      <c r="D521" s="15"/>
      <c r="E521" s="15"/>
      <c r="F521" s="15"/>
      <c r="G521" s="15"/>
      <c r="H521" s="15"/>
      <c r="I521" s="26"/>
      <c r="J521" s="15"/>
      <c r="K521" s="26"/>
      <c r="L521" s="15"/>
      <c r="M521" s="26"/>
      <c r="N521" s="26"/>
      <c r="O521" s="26"/>
      <c r="P521" s="26"/>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row>
    <row r="522" spans="1:40">
      <c r="A522" s="15"/>
      <c r="B522" s="15"/>
      <c r="C522" s="26"/>
      <c r="D522" s="15"/>
      <c r="E522" s="15"/>
      <c r="F522" s="15"/>
      <c r="G522" s="15"/>
      <c r="H522" s="15"/>
      <c r="I522" s="26"/>
      <c r="J522" s="15"/>
      <c r="K522" s="26"/>
      <c r="L522" s="15"/>
      <c r="M522" s="26"/>
      <c r="N522" s="26"/>
      <c r="O522" s="26"/>
      <c r="P522" s="26"/>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row>
    <row r="523" spans="1:40">
      <c r="A523" s="15"/>
      <c r="B523" s="15"/>
      <c r="C523" s="26"/>
      <c r="D523" s="15"/>
      <c r="E523" s="15"/>
      <c r="F523" s="15"/>
      <c r="G523" s="15"/>
      <c r="H523" s="15"/>
      <c r="I523" s="26"/>
      <c r="J523" s="15"/>
      <c r="K523" s="26"/>
      <c r="L523" s="15"/>
      <c r="M523" s="26"/>
      <c r="N523" s="26"/>
      <c r="O523" s="26"/>
      <c r="P523" s="26"/>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row>
    <row r="524" spans="1:40">
      <c r="A524" s="15"/>
      <c r="B524" s="15"/>
      <c r="C524" s="26"/>
      <c r="D524" s="15"/>
      <c r="E524" s="15"/>
      <c r="F524" s="15"/>
      <c r="G524" s="15"/>
      <c r="H524" s="15"/>
      <c r="I524" s="26"/>
      <c r="J524" s="15"/>
      <c r="K524" s="26"/>
      <c r="L524" s="15"/>
      <c r="M524" s="26"/>
      <c r="N524" s="26"/>
      <c r="O524" s="26"/>
      <c r="P524" s="26"/>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row>
    <row r="525" spans="1:40">
      <c r="A525" s="15"/>
      <c r="B525" s="15"/>
      <c r="C525" s="26"/>
      <c r="D525" s="15"/>
      <c r="E525" s="15"/>
      <c r="F525" s="15"/>
      <c r="G525" s="15"/>
      <c r="H525" s="15"/>
      <c r="I525" s="26"/>
      <c r="J525" s="15"/>
      <c r="K525" s="26"/>
      <c r="L525" s="15"/>
      <c r="M525" s="26"/>
      <c r="N525" s="26"/>
      <c r="O525" s="26"/>
      <c r="P525" s="26"/>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row>
    <row r="526" spans="1:40">
      <c r="A526" s="15"/>
      <c r="B526" s="15"/>
      <c r="C526" s="26"/>
      <c r="D526" s="15"/>
      <c r="E526" s="15"/>
      <c r="F526" s="15"/>
      <c r="G526" s="15"/>
      <c r="H526" s="15"/>
      <c r="I526" s="26"/>
      <c r="J526" s="15"/>
      <c r="K526" s="26"/>
      <c r="L526" s="15"/>
      <c r="M526" s="26"/>
      <c r="N526" s="26"/>
      <c r="O526" s="26"/>
      <c r="P526" s="26"/>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row>
    <row r="527" spans="1:40">
      <c r="A527" s="15"/>
      <c r="B527" s="15"/>
      <c r="C527" s="26"/>
      <c r="D527" s="15"/>
      <c r="E527" s="15"/>
      <c r="F527" s="15"/>
      <c r="G527" s="15"/>
      <c r="H527" s="15"/>
      <c r="I527" s="26"/>
      <c r="J527" s="15"/>
      <c r="K527" s="26"/>
      <c r="L527" s="15"/>
      <c r="M527" s="26"/>
      <c r="N527" s="26"/>
      <c r="O527" s="26"/>
      <c r="P527" s="26"/>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row>
    <row r="528" spans="1:40">
      <c r="A528" s="15"/>
      <c r="B528" s="15"/>
      <c r="C528" s="26"/>
      <c r="D528" s="15"/>
      <c r="E528" s="15"/>
      <c r="F528" s="15"/>
      <c r="G528" s="15"/>
      <c r="H528" s="15"/>
      <c r="I528" s="26"/>
      <c r="J528" s="15"/>
      <c r="K528" s="26"/>
      <c r="L528" s="15"/>
      <c r="M528" s="26"/>
      <c r="N528" s="26"/>
      <c r="O528" s="26"/>
      <c r="P528" s="26"/>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row>
    <row r="529" spans="1:40">
      <c r="A529" s="15"/>
      <c r="B529" s="15"/>
      <c r="C529" s="26"/>
      <c r="D529" s="15"/>
      <c r="E529" s="15"/>
      <c r="F529" s="15"/>
      <c r="G529" s="15"/>
      <c r="H529" s="15"/>
      <c r="I529" s="26"/>
      <c r="J529" s="15"/>
      <c r="K529" s="26"/>
      <c r="L529" s="15"/>
      <c r="M529" s="26"/>
      <c r="N529" s="26"/>
      <c r="O529" s="26"/>
      <c r="P529" s="26"/>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row>
    <row r="530" spans="1:40">
      <c r="A530" s="15"/>
      <c r="B530" s="15"/>
      <c r="C530" s="26"/>
      <c r="D530" s="15"/>
      <c r="E530" s="15"/>
      <c r="F530" s="15"/>
      <c r="G530" s="15"/>
      <c r="H530" s="15"/>
      <c r="I530" s="26"/>
      <c r="J530" s="15"/>
      <c r="K530" s="26"/>
      <c r="L530" s="15"/>
      <c r="M530" s="26"/>
      <c r="N530" s="26"/>
      <c r="O530" s="26"/>
      <c r="P530" s="26"/>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row>
    <row r="531" spans="1:40">
      <c r="A531" s="15"/>
      <c r="B531" s="15"/>
      <c r="C531" s="26"/>
      <c r="D531" s="15"/>
      <c r="E531" s="15"/>
      <c r="F531" s="15"/>
      <c r="G531" s="15"/>
      <c r="H531" s="15"/>
      <c r="I531" s="26"/>
      <c r="J531" s="15"/>
      <c r="K531" s="26"/>
      <c r="L531" s="15"/>
      <c r="M531" s="26"/>
      <c r="N531" s="26"/>
      <c r="O531" s="26"/>
      <c r="P531" s="26"/>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row>
    <row r="532" spans="1:40">
      <c r="A532" s="15"/>
      <c r="B532" s="15"/>
      <c r="C532" s="26"/>
      <c r="D532" s="15"/>
      <c r="E532" s="15"/>
      <c r="F532" s="15"/>
      <c r="G532" s="15"/>
      <c r="H532" s="15"/>
      <c r="I532" s="26"/>
      <c r="J532" s="15"/>
      <c r="K532" s="26"/>
      <c r="L532" s="15"/>
      <c r="M532" s="26"/>
      <c r="N532" s="26"/>
      <c r="O532" s="26"/>
      <c r="P532" s="26"/>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row>
    <row r="533" spans="1:40">
      <c r="A533" s="15"/>
      <c r="B533" s="15"/>
      <c r="C533" s="26"/>
      <c r="D533" s="15"/>
      <c r="E533" s="15"/>
      <c r="F533" s="15"/>
      <c r="G533" s="15"/>
      <c r="H533" s="15"/>
      <c r="I533" s="26"/>
      <c r="J533" s="15"/>
      <c r="K533" s="26"/>
      <c r="L533" s="15"/>
      <c r="M533" s="26"/>
      <c r="N533" s="26"/>
      <c r="O533" s="26"/>
      <c r="P533" s="26"/>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row>
    <row r="534" spans="1:40">
      <c r="A534" s="15"/>
      <c r="B534" s="15"/>
      <c r="C534" s="26"/>
      <c r="D534" s="15"/>
      <c r="E534" s="15"/>
      <c r="F534" s="15"/>
      <c r="G534" s="15"/>
      <c r="H534" s="15"/>
      <c r="I534" s="26"/>
      <c r="J534" s="15"/>
      <c r="K534" s="26"/>
      <c r="L534" s="15"/>
      <c r="M534" s="26"/>
      <c r="N534" s="26"/>
      <c r="O534" s="26"/>
      <c r="P534" s="26"/>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row>
    <row r="535" spans="1:40">
      <c r="A535" s="15"/>
      <c r="B535" s="15"/>
      <c r="C535" s="26"/>
      <c r="D535" s="15"/>
      <c r="E535" s="15"/>
      <c r="F535" s="15"/>
      <c r="G535" s="15"/>
      <c r="H535" s="15"/>
      <c r="I535" s="26"/>
      <c r="J535" s="15"/>
      <c r="K535" s="26"/>
      <c r="L535" s="15"/>
      <c r="M535" s="26"/>
      <c r="N535" s="26"/>
      <c r="O535" s="26"/>
      <c r="P535" s="26"/>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row>
    <row r="536" spans="1:40">
      <c r="A536" s="15"/>
      <c r="B536" s="15"/>
      <c r="C536" s="26"/>
      <c r="D536" s="15"/>
      <c r="E536" s="15"/>
      <c r="F536" s="15"/>
      <c r="G536" s="15"/>
      <c r="H536" s="15"/>
      <c r="I536" s="26"/>
      <c r="J536" s="15"/>
      <c r="K536" s="26"/>
      <c r="L536" s="15"/>
      <c r="M536" s="26"/>
      <c r="N536" s="26"/>
      <c r="O536" s="26"/>
      <c r="P536" s="26"/>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row>
    <row r="537" spans="1:40">
      <c r="A537" s="15"/>
      <c r="B537" s="15"/>
      <c r="C537" s="26"/>
      <c r="D537" s="15"/>
      <c r="E537" s="15"/>
      <c r="F537" s="15"/>
      <c r="G537" s="15"/>
      <c r="H537" s="15"/>
      <c r="I537" s="26"/>
      <c r="J537" s="15"/>
      <c r="K537" s="26"/>
      <c r="L537" s="15"/>
      <c r="M537" s="26"/>
      <c r="N537" s="26"/>
      <c r="O537" s="26"/>
      <c r="P537" s="26"/>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row>
    <row r="538" spans="1:40">
      <c r="A538" s="15"/>
      <c r="B538" s="15"/>
      <c r="C538" s="26"/>
      <c r="D538" s="15"/>
      <c r="E538" s="15"/>
      <c r="F538" s="15"/>
      <c r="G538" s="15"/>
      <c r="H538" s="15"/>
      <c r="I538" s="26"/>
      <c r="J538" s="15"/>
      <c r="K538" s="26"/>
      <c r="L538" s="15"/>
      <c r="M538" s="26"/>
      <c r="N538" s="26"/>
      <c r="O538" s="26"/>
      <c r="P538" s="26"/>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row>
    <row r="539" spans="1:40">
      <c r="A539" s="15"/>
      <c r="B539" s="15"/>
      <c r="C539" s="26"/>
      <c r="D539" s="15"/>
      <c r="E539" s="15"/>
      <c r="F539" s="15"/>
      <c r="G539" s="15"/>
      <c r="H539" s="15"/>
      <c r="I539" s="26"/>
      <c r="J539" s="15"/>
      <c r="K539" s="26"/>
      <c r="L539" s="15"/>
      <c r="M539" s="26"/>
      <c r="N539" s="26"/>
      <c r="O539" s="26"/>
      <c r="P539" s="26"/>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row>
    <row r="540" spans="1:40">
      <c r="A540" s="15"/>
      <c r="B540" s="15"/>
      <c r="C540" s="26"/>
      <c r="D540" s="15"/>
      <c r="E540" s="15"/>
      <c r="F540" s="15"/>
      <c r="G540" s="15"/>
      <c r="H540" s="15"/>
      <c r="I540" s="26"/>
      <c r="J540" s="15"/>
      <c r="K540" s="26"/>
      <c r="L540" s="15"/>
      <c r="M540" s="26"/>
      <c r="N540" s="26"/>
      <c r="O540" s="26"/>
      <c r="P540" s="26"/>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row>
    <row r="541" spans="1:40">
      <c r="A541" s="15"/>
      <c r="B541" s="15"/>
      <c r="C541" s="26"/>
      <c r="D541" s="15"/>
      <c r="E541" s="15"/>
      <c r="F541" s="15"/>
      <c r="G541" s="15"/>
      <c r="H541" s="15"/>
      <c r="I541" s="26"/>
      <c r="J541" s="15"/>
      <c r="K541" s="26"/>
      <c r="L541" s="15"/>
      <c r="M541" s="26"/>
      <c r="N541" s="26"/>
      <c r="O541" s="26"/>
      <c r="P541" s="26"/>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row>
    <row r="542" spans="1:40">
      <c r="A542" s="15"/>
      <c r="B542" s="15"/>
      <c r="C542" s="26"/>
      <c r="D542" s="15"/>
      <c r="E542" s="15"/>
      <c r="F542" s="15"/>
      <c r="G542" s="15"/>
      <c r="H542" s="15"/>
      <c r="I542" s="26"/>
      <c r="J542" s="15"/>
      <c r="K542" s="26"/>
      <c r="L542" s="15"/>
      <c r="M542" s="26"/>
      <c r="N542" s="26"/>
      <c r="O542" s="26"/>
      <c r="P542" s="26"/>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row>
    <row r="543" spans="1:40">
      <c r="A543" s="15"/>
      <c r="B543" s="15"/>
      <c r="C543" s="26"/>
      <c r="D543" s="15"/>
      <c r="E543" s="15"/>
      <c r="F543" s="15"/>
      <c r="G543" s="15"/>
      <c r="H543" s="15"/>
      <c r="I543" s="26"/>
      <c r="J543" s="15"/>
      <c r="K543" s="26"/>
      <c r="L543" s="15"/>
      <c r="M543" s="26"/>
      <c r="N543" s="26"/>
      <c r="O543" s="26"/>
      <c r="P543" s="26"/>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row>
    <row r="544" spans="1:40">
      <c r="A544" s="15"/>
      <c r="B544" s="15"/>
      <c r="C544" s="26"/>
      <c r="D544" s="15"/>
      <c r="E544" s="15"/>
      <c r="F544" s="15"/>
      <c r="G544" s="15"/>
      <c r="H544" s="15"/>
      <c r="I544" s="26"/>
      <c r="J544" s="15"/>
      <c r="K544" s="26"/>
      <c r="L544" s="15"/>
      <c r="M544" s="26"/>
      <c r="N544" s="26"/>
      <c r="O544" s="26"/>
      <c r="P544" s="26"/>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row>
    <row r="545" spans="1:40">
      <c r="A545" s="15"/>
      <c r="B545" s="15"/>
      <c r="C545" s="26"/>
      <c r="D545" s="15"/>
      <c r="E545" s="15"/>
      <c r="F545" s="15"/>
      <c r="G545" s="15"/>
      <c r="H545" s="15"/>
      <c r="I545" s="26"/>
      <c r="J545" s="15"/>
      <c r="K545" s="26"/>
      <c r="L545" s="15"/>
      <c r="M545" s="26"/>
      <c r="N545" s="26"/>
      <c r="O545" s="26"/>
      <c r="P545" s="26"/>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row>
    <row r="546" spans="1:40">
      <c r="A546" s="15"/>
      <c r="B546" s="15"/>
      <c r="C546" s="26"/>
      <c r="D546" s="15"/>
      <c r="E546" s="15"/>
      <c r="F546" s="15"/>
      <c r="G546" s="15"/>
      <c r="H546" s="15"/>
      <c r="I546" s="26"/>
      <c r="J546" s="15"/>
      <c r="K546" s="26"/>
      <c r="L546" s="15"/>
      <c r="M546" s="26"/>
      <c r="N546" s="26"/>
      <c r="O546" s="26"/>
      <c r="P546" s="26"/>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row>
    <row r="547" spans="1:40">
      <c r="A547" s="15"/>
      <c r="B547" s="15"/>
      <c r="C547" s="26"/>
      <c r="D547" s="15"/>
      <c r="E547" s="15"/>
      <c r="F547" s="15"/>
      <c r="G547" s="15"/>
      <c r="H547" s="15"/>
      <c r="I547" s="26"/>
      <c r="J547" s="15"/>
      <c r="K547" s="26"/>
      <c r="L547" s="15"/>
      <c r="M547" s="26"/>
      <c r="N547" s="26"/>
      <c r="O547" s="26"/>
      <c r="P547" s="26"/>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row>
    <row r="548" spans="1:40">
      <c r="A548" s="15"/>
      <c r="B548" s="15"/>
      <c r="C548" s="26"/>
      <c r="D548" s="15"/>
      <c r="E548" s="15"/>
      <c r="F548" s="15"/>
      <c r="G548" s="15"/>
      <c r="H548" s="15"/>
      <c r="I548" s="26"/>
      <c r="J548" s="15"/>
      <c r="K548" s="26"/>
      <c r="L548" s="15"/>
      <c r="M548" s="26"/>
      <c r="N548" s="26"/>
      <c r="O548" s="26"/>
      <c r="P548" s="26"/>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row>
    <row r="549" spans="1:40">
      <c r="A549" s="15"/>
      <c r="B549" s="15"/>
      <c r="C549" s="26"/>
      <c r="D549" s="15"/>
      <c r="E549" s="15"/>
      <c r="F549" s="15"/>
      <c r="G549" s="15"/>
      <c r="H549" s="15"/>
      <c r="I549" s="26"/>
      <c r="J549" s="15"/>
      <c r="K549" s="26"/>
      <c r="L549" s="15"/>
      <c r="M549" s="26"/>
      <c r="N549" s="26"/>
      <c r="O549" s="26"/>
      <c r="P549" s="26"/>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row>
    <row r="550" spans="1:40">
      <c r="A550" s="15"/>
      <c r="B550" s="15"/>
      <c r="C550" s="26"/>
      <c r="D550" s="15"/>
      <c r="E550" s="15"/>
      <c r="F550" s="15"/>
      <c r="G550" s="15"/>
      <c r="H550" s="15"/>
      <c r="I550" s="26"/>
      <c r="J550" s="15"/>
      <c r="K550" s="26"/>
      <c r="L550" s="15"/>
      <c r="M550" s="26"/>
      <c r="N550" s="26"/>
      <c r="O550" s="26"/>
      <c r="P550" s="26"/>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row>
    <row r="551" spans="1:40">
      <c r="A551" s="15"/>
      <c r="B551" s="15"/>
      <c r="C551" s="26"/>
      <c r="D551" s="15"/>
      <c r="E551" s="15"/>
      <c r="F551" s="15"/>
      <c r="G551" s="15"/>
      <c r="H551" s="15"/>
      <c r="I551" s="26"/>
      <c r="J551" s="15"/>
      <c r="K551" s="26"/>
      <c r="L551" s="15"/>
      <c r="M551" s="26"/>
      <c r="N551" s="26"/>
      <c r="O551" s="26"/>
      <c r="P551" s="26"/>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row>
    <row r="552" spans="1:40">
      <c r="A552" s="15"/>
      <c r="B552" s="15"/>
      <c r="C552" s="26"/>
      <c r="D552" s="15"/>
      <c r="E552" s="15"/>
      <c r="F552" s="15"/>
      <c r="G552" s="15"/>
      <c r="H552" s="15"/>
      <c r="I552" s="26"/>
      <c r="J552" s="15"/>
      <c r="K552" s="26"/>
      <c r="L552" s="15"/>
      <c r="M552" s="26"/>
      <c r="N552" s="26"/>
      <c r="O552" s="26"/>
      <c r="P552" s="26"/>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row>
    <row r="553" spans="1:40">
      <c r="A553" s="15"/>
      <c r="B553" s="15"/>
      <c r="C553" s="26"/>
      <c r="D553" s="15"/>
      <c r="E553" s="15"/>
      <c r="F553" s="15"/>
      <c r="G553" s="15"/>
      <c r="H553" s="15"/>
      <c r="I553" s="26"/>
      <c r="J553" s="15"/>
      <c r="K553" s="26"/>
      <c r="L553" s="15"/>
      <c r="M553" s="26"/>
      <c r="N553" s="26"/>
      <c r="O553" s="26"/>
      <c r="P553" s="26"/>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row>
    <row r="554" spans="1:40">
      <c r="A554" s="15"/>
      <c r="B554" s="15"/>
      <c r="C554" s="26"/>
      <c r="D554" s="15"/>
      <c r="E554" s="15"/>
      <c r="F554" s="15"/>
      <c r="G554" s="15"/>
      <c r="H554" s="15"/>
      <c r="I554" s="26"/>
      <c r="J554" s="15"/>
      <c r="K554" s="26"/>
      <c r="L554" s="15"/>
      <c r="M554" s="26"/>
      <c r="N554" s="26"/>
      <c r="O554" s="26"/>
      <c r="P554" s="26"/>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row>
    <row r="555" spans="1:40">
      <c r="A555" s="15"/>
      <c r="B555" s="15"/>
      <c r="C555" s="26"/>
      <c r="D555" s="15"/>
      <c r="E555" s="15"/>
      <c r="F555" s="15"/>
      <c r="G555" s="15"/>
      <c r="H555" s="15"/>
      <c r="I555" s="26"/>
      <c r="J555" s="15"/>
      <c r="K555" s="26"/>
      <c r="L555" s="15"/>
      <c r="M555" s="26"/>
      <c r="N555" s="26"/>
      <c r="O555" s="26"/>
      <c r="P555" s="26"/>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row>
    <row r="556" spans="1:40">
      <c r="A556" s="15"/>
      <c r="B556" s="15"/>
      <c r="C556" s="26"/>
      <c r="D556" s="15"/>
      <c r="E556" s="15"/>
      <c r="F556" s="15"/>
      <c r="G556" s="15"/>
      <c r="H556" s="15"/>
      <c r="I556" s="26"/>
      <c r="J556" s="15"/>
      <c r="K556" s="26"/>
      <c r="L556" s="15"/>
      <c r="M556" s="26"/>
      <c r="N556" s="26"/>
      <c r="O556" s="26"/>
      <c r="P556" s="26"/>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row>
    <row r="557" spans="1:40">
      <c r="A557" s="15"/>
      <c r="B557" s="15"/>
      <c r="C557" s="26"/>
      <c r="D557" s="15"/>
      <c r="E557" s="15"/>
      <c r="F557" s="15"/>
      <c r="G557" s="15"/>
      <c r="H557" s="15"/>
      <c r="I557" s="26"/>
      <c r="J557" s="15"/>
      <c r="K557" s="26"/>
      <c r="L557" s="15"/>
      <c r="M557" s="26"/>
      <c r="N557" s="26"/>
      <c r="O557" s="26"/>
      <c r="P557" s="26"/>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row>
    <row r="558" spans="1:40">
      <c r="A558" s="15"/>
      <c r="B558" s="15"/>
      <c r="C558" s="26"/>
      <c r="D558" s="15"/>
      <c r="E558" s="15"/>
      <c r="F558" s="15"/>
      <c r="G558" s="15"/>
      <c r="H558" s="15"/>
      <c r="I558" s="26"/>
      <c r="J558" s="15"/>
      <c r="K558" s="26"/>
      <c r="L558" s="15"/>
      <c r="M558" s="26"/>
      <c r="N558" s="26"/>
      <c r="O558" s="26"/>
      <c r="P558" s="26"/>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row>
    <row r="559" spans="1:40">
      <c r="A559" s="15"/>
      <c r="B559" s="15"/>
      <c r="C559" s="26"/>
      <c r="D559" s="15"/>
      <c r="E559" s="15"/>
      <c r="F559" s="15"/>
      <c r="G559" s="15"/>
      <c r="H559" s="15"/>
      <c r="I559" s="26"/>
      <c r="J559" s="15"/>
      <c r="K559" s="26"/>
      <c r="L559" s="15"/>
      <c r="M559" s="26"/>
      <c r="N559" s="26"/>
      <c r="O559" s="26"/>
      <c r="P559" s="26"/>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row>
    <row r="560" spans="1:40">
      <c r="A560" s="15"/>
      <c r="B560" s="15"/>
      <c r="C560" s="26"/>
      <c r="D560" s="15"/>
      <c r="E560" s="15"/>
      <c r="F560" s="15"/>
      <c r="G560" s="15"/>
      <c r="H560" s="15"/>
      <c r="I560" s="26"/>
      <c r="J560" s="15"/>
      <c r="K560" s="26"/>
      <c r="L560" s="15"/>
      <c r="M560" s="26"/>
      <c r="N560" s="26"/>
      <c r="O560" s="26"/>
      <c r="P560" s="26"/>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row>
    <row r="561" spans="1:40">
      <c r="A561" s="15"/>
      <c r="B561" s="15"/>
      <c r="C561" s="26"/>
      <c r="D561" s="15"/>
      <c r="E561" s="15"/>
      <c r="F561" s="15"/>
      <c r="G561" s="15"/>
      <c r="H561" s="15"/>
      <c r="I561" s="26"/>
      <c r="J561" s="15"/>
      <c r="K561" s="26"/>
      <c r="L561" s="15"/>
      <c r="M561" s="26"/>
      <c r="N561" s="26"/>
      <c r="O561" s="26"/>
      <c r="P561" s="26"/>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row>
    <row r="562" spans="1:40">
      <c r="A562" s="15"/>
      <c r="B562" s="15"/>
      <c r="C562" s="26"/>
      <c r="D562" s="15"/>
      <c r="E562" s="15"/>
      <c r="F562" s="15"/>
      <c r="G562" s="15"/>
      <c r="H562" s="15"/>
      <c r="I562" s="26"/>
      <c r="J562" s="15"/>
      <c r="K562" s="26"/>
      <c r="L562" s="15"/>
      <c r="M562" s="26"/>
      <c r="N562" s="26"/>
      <c r="O562" s="26"/>
      <c r="P562" s="26"/>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row>
    <row r="563" spans="1:40">
      <c r="A563" s="15"/>
      <c r="B563" s="15"/>
      <c r="C563" s="26"/>
      <c r="D563" s="15"/>
      <c r="E563" s="15"/>
      <c r="F563" s="15"/>
      <c r="G563" s="15"/>
      <c r="H563" s="15"/>
      <c r="I563" s="26"/>
      <c r="J563" s="15"/>
      <c r="K563" s="26"/>
      <c r="L563" s="15"/>
      <c r="M563" s="26"/>
      <c r="N563" s="26"/>
      <c r="O563" s="26"/>
      <c r="P563" s="26"/>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row>
    <row r="564" spans="1:40">
      <c r="A564" s="15"/>
      <c r="B564" s="15"/>
      <c r="C564" s="26"/>
      <c r="D564" s="15"/>
      <c r="E564" s="15"/>
      <c r="F564" s="15"/>
      <c r="G564" s="15"/>
      <c r="H564" s="15"/>
      <c r="I564" s="26"/>
      <c r="J564" s="15"/>
      <c r="K564" s="26"/>
      <c r="L564" s="15"/>
      <c r="M564" s="26"/>
      <c r="N564" s="26"/>
      <c r="O564" s="26"/>
      <c r="P564" s="26"/>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row>
    <row r="565" spans="1:40">
      <c r="A565" s="15"/>
      <c r="B565" s="15"/>
      <c r="C565" s="26"/>
      <c r="D565" s="15"/>
      <c r="E565" s="15"/>
      <c r="F565" s="15"/>
      <c r="G565" s="15"/>
      <c r="H565" s="15"/>
      <c r="I565" s="26"/>
      <c r="J565" s="15"/>
      <c r="K565" s="26"/>
      <c r="L565" s="15"/>
      <c r="M565" s="26"/>
      <c r="N565" s="26"/>
      <c r="O565" s="26"/>
      <c r="P565" s="26"/>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row>
    <row r="566" spans="1:40">
      <c r="A566" s="15"/>
      <c r="B566" s="15"/>
      <c r="C566" s="26"/>
      <c r="D566" s="15"/>
      <c r="E566" s="15"/>
      <c r="F566" s="15"/>
      <c r="G566" s="15"/>
      <c r="H566" s="15"/>
      <c r="I566" s="26"/>
      <c r="J566" s="15"/>
      <c r="K566" s="26"/>
      <c r="L566" s="15"/>
      <c r="M566" s="26"/>
      <c r="N566" s="26"/>
      <c r="O566" s="26"/>
      <c r="P566" s="26"/>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row>
    <row r="567" spans="1:40">
      <c r="A567" s="15"/>
      <c r="B567" s="15"/>
      <c r="C567" s="26"/>
      <c r="D567" s="15"/>
      <c r="E567" s="15"/>
      <c r="F567" s="15"/>
      <c r="G567" s="15"/>
      <c r="H567" s="15"/>
      <c r="I567" s="26"/>
      <c r="J567" s="15"/>
      <c r="K567" s="26"/>
      <c r="L567" s="15"/>
      <c r="M567" s="26"/>
      <c r="N567" s="26"/>
      <c r="O567" s="26"/>
      <c r="P567" s="26"/>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row>
    <row r="568" spans="1:40">
      <c r="A568" s="15"/>
      <c r="B568" s="15"/>
      <c r="C568" s="26"/>
      <c r="D568" s="15"/>
      <c r="E568" s="15"/>
      <c r="F568" s="15"/>
      <c r="G568" s="15"/>
      <c r="H568" s="15"/>
      <c r="I568" s="26"/>
      <c r="J568" s="15"/>
      <c r="K568" s="26"/>
      <c r="L568" s="15"/>
      <c r="M568" s="26"/>
      <c r="N568" s="26"/>
      <c r="O568" s="26"/>
      <c r="P568" s="26"/>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row>
    <row r="569" spans="1:40">
      <c r="A569" s="15"/>
      <c r="B569" s="15"/>
      <c r="C569" s="26"/>
      <c r="D569" s="15"/>
      <c r="E569" s="15"/>
      <c r="F569" s="15"/>
      <c r="G569" s="15"/>
      <c r="H569" s="15"/>
      <c r="I569" s="26"/>
      <c r="J569" s="15"/>
      <c r="K569" s="26"/>
      <c r="L569" s="15"/>
      <c r="M569" s="26"/>
      <c r="N569" s="26"/>
      <c r="O569" s="26"/>
      <c r="P569" s="26"/>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row>
    <row r="570" spans="1:40">
      <c r="A570" s="15"/>
      <c r="B570" s="15"/>
      <c r="C570" s="26"/>
      <c r="D570" s="15"/>
      <c r="E570" s="15"/>
      <c r="F570" s="15"/>
      <c r="G570" s="15"/>
      <c r="H570" s="15"/>
      <c r="I570" s="26"/>
      <c r="J570" s="15"/>
      <c r="K570" s="26"/>
      <c r="L570" s="15"/>
      <c r="M570" s="26"/>
      <c r="N570" s="26"/>
      <c r="O570" s="26"/>
      <c r="P570" s="26"/>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row>
    <row r="571" spans="1:40">
      <c r="A571" s="15"/>
      <c r="B571" s="15"/>
      <c r="C571" s="26"/>
      <c r="D571" s="15"/>
      <c r="E571" s="15"/>
      <c r="F571" s="15"/>
      <c r="G571" s="15"/>
      <c r="H571" s="15"/>
      <c r="I571" s="26"/>
      <c r="J571" s="15"/>
      <c r="K571" s="26"/>
      <c r="L571" s="15"/>
      <c r="M571" s="26"/>
      <c r="N571" s="26"/>
      <c r="O571" s="26"/>
      <c r="P571" s="26"/>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row>
    <row r="572" spans="1:40">
      <c r="A572" s="15"/>
      <c r="B572" s="15"/>
      <c r="C572" s="26"/>
      <c r="D572" s="15"/>
      <c r="E572" s="15"/>
      <c r="F572" s="15"/>
      <c r="G572" s="15"/>
      <c r="H572" s="15"/>
      <c r="I572" s="26"/>
      <c r="J572" s="15"/>
      <c r="K572" s="26"/>
      <c r="L572" s="15"/>
      <c r="M572" s="26"/>
      <c r="N572" s="26"/>
      <c r="O572" s="26"/>
      <c r="P572" s="26"/>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row>
    <row r="573" spans="1:40">
      <c r="A573" s="15"/>
      <c r="B573" s="15"/>
      <c r="C573" s="26"/>
      <c r="D573" s="15"/>
      <c r="E573" s="15"/>
      <c r="F573" s="15"/>
      <c r="G573" s="15"/>
      <c r="H573" s="15"/>
      <c r="I573" s="26"/>
      <c r="J573" s="15"/>
      <c r="K573" s="26"/>
      <c r="L573" s="15"/>
      <c r="M573" s="26"/>
      <c r="N573" s="26"/>
      <c r="O573" s="26"/>
      <c r="P573" s="26"/>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row>
    <row r="574" spans="1:40">
      <c r="A574" s="15"/>
      <c r="B574" s="15"/>
      <c r="C574" s="26"/>
      <c r="D574" s="15"/>
      <c r="E574" s="15"/>
      <c r="F574" s="15"/>
      <c r="G574" s="15"/>
      <c r="H574" s="15"/>
      <c r="I574" s="26"/>
      <c r="J574" s="15"/>
      <c r="K574" s="26"/>
      <c r="L574" s="15"/>
      <c r="M574" s="26"/>
      <c r="N574" s="26"/>
      <c r="O574" s="26"/>
      <c r="P574" s="26"/>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row>
    <row r="575" spans="1:40">
      <c r="A575" s="15"/>
      <c r="B575" s="15"/>
      <c r="C575" s="26"/>
      <c r="D575" s="15"/>
      <c r="E575" s="15"/>
      <c r="F575" s="15"/>
      <c r="G575" s="15"/>
      <c r="H575" s="15"/>
      <c r="I575" s="26"/>
      <c r="J575" s="15"/>
      <c r="K575" s="26"/>
      <c r="L575" s="15"/>
      <c r="M575" s="26"/>
      <c r="N575" s="26"/>
      <c r="O575" s="26"/>
      <c r="P575" s="26"/>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row>
    <row r="576" spans="1:40">
      <c r="A576" s="15"/>
      <c r="B576" s="15"/>
      <c r="C576" s="26"/>
      <c r="D576" s="15"/>
      <c r="E576" s="15"/>
      <c r="F576" s="15"/>
      <c r="G576" s="15"/>
      <c r="H576" s="15"/>
      <c r="I576" s="26"/>
      <c r="J576" s="15"/>
      <c r="K576" s="26"/>
      <c r="L576" s="15"/>
      <c r="M576" s="26"/>
      <c r="N576" s="26"/>
      <c r="O576" s="26"/>
      <c r="P576" s="26"/>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row>
    <row r="577" spans="1:40">
      <c r="A577" s="15"/>
      <c r="B577" s="15"/>
      <c r="C577" s="26"/>
      <c r="D577" s="15"/>
      <c r="E577" s="15"/>
      <c r="F577" s="15"/>
      <c r="G577" s="15"/>
      <c r="H577" s="15"/>
      <c r="I577" s="26"/>
      <c r="J577" s="15"/>
      <c r="K577" s="26"/>
      <c r="L577" s="15"/>
      <c r="M577" s="26"/>
      <c r="N577" s="26"/>
      <c r="O577" s="26"/>
      <c r="P577" s="26"/>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row>
    <row r="578" spans="1:40">
      <c r="A578" s="15"/>
      <c r="B578" s="15"/>
      <c r="C578" s="26"/>
      <c r="D578" s="15"/>
      <c r="E578" s="15"/>
      <c r="F578" s="15"/>
      <c r="G578" s="15"/>
      <c r="H578" s="15"/>
      <c r="I578" s="26"/>
      <c r="J578" s="15"/>
      <c r="K578" s="26"/>
      <c r="L578" s="15"/>
      <c r="M578" s="26"/>
      <c r="N578" s="26"/>
      <c r="O578" s="26"/>
      <c r="P578" s="26"/>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row>
    <row r="579" spans="1:40">
      <c r="A579" s="15"/>
      <c r="B579" s="15"/>
      <c r="C579" s="26"/>
      <c r="D579" s="15"/>
      <c r="E579" s="15"/>
      <c r="F579" s="15"/>
      <c r="G579" s="15"/>
      <c r="H579" s="15"/>
      <c r="I579" s="26"/>
      <c r="J579" s="15"/>
      <c r="K579" s="26"/>
      <c r="L579" s="15"/>
      <c r="M579" s="26"/>
      <c r="N579" s="26"/>
      <c r="O579" s="26"/>
      <c r="P579" s="26"/>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row>
    <row r="580" spans="1:40">
      <c r="A580" s="15"/>
      <c r="B580" s="15"/>
      <c r="C580" s="26"/>
      <c r="D580" s="15"/>
      <c r="E580" s="15"/>
      <c r="F580" s="15"/>
      <c r="G580" s="15"/>
      <c r="H580" s="15"/>
      <c r="I580" s="26"/>
      <c r="J580" s="15"/>
      <c r="K580" s="26"/>
      <c r="L580" s="15"/>
      <c r="M580" s="26"/>
      <c r="N580" s="26"/>
      <c r="O580" s="26"/>
      <c r="P580" s="26"/>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row>
    <row r="581" spans="1:40">
      <c r="A581" s="15"/>
      <c r="B581" s="15"/>
      <c r="C581" s="26"/>
      <c r="D581" s="15"/>
      <c r="E581" s="15"/>
      <c r="F581" s="15"/>
      <c r="G581" s="15"/>
      <c r="H581" s="15"/>
      <c r="I581" s="26"/>
      <c r="J581" s="15"/>
      <c r="K581" s="26"/>
      <c r="L581" s="15"/>
      <c r="M581" s="26"/>
      <c r="N581" s="26"/>
      <c r="O581" s="26"/>
      <c r="P581" s="26"/>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row>
    <row r="582" spans="1:40">
      <c r="A582" s="15"/>
      <c r="B582" s="15"/>
      <c r="C582" s="26"/>
      <c r="D582" s="15"/>
      <c r="E582" s="15"/>
      <c r="F582" s="15"/>
      <c r="G582" s="15"/>
      <c r="H582" s="15"/>
      <c r="I582" s="26"/>
      <c r="J582" s="15"/>
      <c r="K582" s="26"/>
      <c r="L582" s="15"/>
      <c r="M582" s="26"/>
      <c r="N582" s="26"/>
      <c r="O582" s="26"/>
      <c r="P582" s="26"/>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row>
    <row r="583" spans="1:40">
      <c r="A583" s="15"/>
      <c r="B583" s="15"/>
      <c r="C583" s="26"/>
      <c r="D583" s="15"/>
      <c r="E583" s="15"/>
      <c r="F583" s="15"/>
      <c r="G583" s="15"/>
      <c r="H583" s="15"/>
      <c r="I583" s="26"/>
      <c r="J583" s="15"/>
      <c r="K583" s="26"/>
      <c r="L583" s="15"/>
      <c r="M583" s="26"/>
      <c r="N583" s="26"/>
      <c r="O583" s="26"/>
      <c r="P583" s="26"/>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row>
    <row r="584" spans="1:40">
      <c r="A584" s="15"/>
      <c r="B584" s="15"/>
      <c r="C584" s="26"/>
      <c r="D584" s="15"/>
      <c r="E584" s="15"/>
      <c r="F584" s="15"/>
      <c r="G584" s="15"/>
      <c r="H584" s="15"/>
      <c r="I584" s="26"/>
      <c r="J584" s="15"/>
      <c r="K584" s="26"/>
      <c r="L584" s="15"/>
      <c r="M584" s="26"/>
      <c r="N584" s="26"/>
      <c r="O584" s="26"/>
      <c r="P584" s="26"/>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row>
    <row r="585" spans="1:40">
      <c r="A585" s="15"/>
      <c r="B585" s="15"/>
      <c r="C585" s="26"/>
      <c r="D585" s="15"/>
      <c r="E585" s="15"/>
      <c r="F585" s="15"/>
      <c r="G585" s="15"/>
      <c r="H585" s="15"/>
      <c r="I585" s="26"/>
      <c r="J585" s="15"/>
      <c r="K585" s="26"/>
      <c r="L585" s="15"/>
      <c r="M585" s="26"/>
      <c r="N585" s="26"/>
      <c r="O585" s="26"/>
      <c r="P585" s="26"/>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row>
    <row r="586" spans="1:40">
      <c r="A586" s="15"/>
      <c r="B586" s="15"/>
      <c r="C586" s="26"/>
      <c r="D586" s="15"/>
      <c r="E586" s="15"/>
      <c r="F586" s="15"/>
      <c r="G586" s="15"/>
      <c r="H586" s="15"/>
      <c r="I586" s="26"/>
      <c r="J586" s="15"/>
      <c r="K586" s="26"/>
      <c r="L586" s="15"/>
      <c r="M586" s="26"/>
      <c r="N586" s="26"/>
      <c r="O586" s="26"/>
      <c r="P586" s="26"/>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row>
    <row r="587" spans="1:40">
      <c r="A587" s="15"/>
      <c r="B587" s="15"/>
      <c r="C587" s="26"/>
      <c r="D587" s="15"/>
      <c r="E587" s="15"/>
      <c r="F587" s="15"/>
      <c r="G587" s="15"/>
      <c r="H587" s="15"/>
      <c r="I587" s="26"/>
      <c r="J587" s="15"/>
      <c r="K587" s="26"/>
      <c r="L587" s="15"/>
      <c r="M587" s="26"/>
      <c r="N587" s="26"/>
      <c r="O587" s="26"/>
      <c r="P587" s="26"/>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row>
    <row r="588" spans="1:40">
      <c r="A588" s="15"/>
      <c r="B588" s="15"/>
      <c r="C588" s="26"/>
      <c r="D588" s="15"/>
      <c r="E588" s="15"/>
      <c r="F588" s="15"/>
      <c r="G588" s="15"/>
      <c r="H588" s="15"/>
      <c r="I588" s="26"/>
      <c r="J588" s="15"/>
      <c r="K588" s="26"/>
      <c r="L588" s="15"/>
      <c r="M588" s="26"/>
      <c r="N588" s="26"/>
      <c r="O588" s="26"/>
      <c r="P588" s="26"/>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row>
    <row r="589" spans="1:40">
      <c r="A589" s="15"/>
      <c r="B589" s="15"/>
      <c r="C589" s="26"/>
      <c r="D589" s="15"/>
      <c r="E589" s="15"/>
      <c r="F589" s="15"/>
      <c r="G589" s="15"/>
      <c r="H589" s="15"/>
      <c r="I589" s="26"/>
      <c r="J589" s="15"/>
      <c r="K589" s="26"/>
      <c r="L589" s="15"/>
      <c r="M589" s="26"/>
      <c r="N589" s="26"/>
      <c r="O589" s="26"/>
      <c r="P589" s="26"/>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row>
    <row r="590" spans="1:40">
      <c r="A590" s="15"/>
      <c r="B590" s="15"/>
      <c r="C590" s="26"/>
      <c r="D590" s="15"/>
      <c r="E590" s="15"/>
      <c r="F590" s="15"/>
      <c r="G590" s="15"/>
      <c r="H590" s="15"/>
      <c r="I590" s="26"/>
      <c r="J590" s="15"/>
      <c r="K590" s="26"/>
      <c r="L590" s="15"/>
      <c r="M590" s="26"/>
      <c r="N590" s="26"/>
      <c r="O590" s="26"/>
      <c r="P590" s="26"/>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row>
    <row r="591" spans="1:40">
      <c r="A591" s="15"/>
      <c r="B591" s="15"/>
      <c r="C591" s="26"/>
      <c r="D591" s="15"/>
      <c r="E591" s="15"/>
      <c r="F591" s="15"/>
      <c r="G591" s="15"/>
      <c r="H591" s="15"/>
      <c r="I591" s="26"/>
      <c r="J591" s="15"/>
      <c r="K591" s="26"/>
      <c r="L591" s="15"/>
      <c r="M591" s="26"/>
      <c r="N591" s="26"/>
      <c r="O591" s="26"/>
      <c r="P591" s="26"/>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row>
    <row r="592" spans="1:40">
      <c r="A592" s="15"/>
      <c r="B592" s="15"/>
      <c r="C592" s="26"/>
      <c r="D592" s="15"/>
      <c r="E592" s="15"/>
      <c r="F592" s="15"/>
      <c r="G592" s="15"/>
      <c r="H592" s="15"/>
      <c r="I592" s="26"/>
      <c r="J592" s="15"/>
      <c r="K592" s="26"/>
      <c r="L592" s="15"/>
      <c r="M592" s="26"/>
      <c r="N592" s="26"/>
      <c r="O592" s="26"/>
      <c r="P592" s="26"/>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row>
    <row r="593" spans="1:40">
      <c r="A593" s="15"/>
      <c r="B593" s="15"/>
      <c r="C593" s="26"/>
      <c r="D593" s="15"/>
      <c r="E593" s="15"/>
      <c r="F593" s="15"/>
      <c r="G593" s="15"/>
      <c r="H593" s="15"/>
      <c r="I593" s="26"/>
      <c r="J593" s="15"/>
      <c r="K593" s="26"/>
      <c r="L593" s="15"/>
      <c r="M593" s="26"/>
      <c r="N593" s="26"/>
      <c r="O593" s="26"/>
      <c r="P593" s="26"/>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row>
    <row r="594" spans="1:40">
      <c r="A594" s="15"/>
      <c r="B594" s="15"/>
      <c r="C594" s="26"/>
      <c r="D594" s="15"/>
      <c r="E594" s="15"/>
      <c r="F594" s="15"/>
      <c r="G594" s="15"/>
      <c r="H594" s="15"/>
      <c r="I594" s="26"/>
      <c r="J594" s="15"/>
      <c r="K594" s="26"/>
      <c r="L594" s="15"/>
      <c r="M594" s="26"/>
      <c r="N594" s="26"/>
      <c r="O594" s="26"/>
      <c r="P594" s="26"/>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row>
    <row r="595" spans="1:40">
      <c r="A595" s="15"/>
      <c r="B595" s="15"/>
      <c r="C595" s="26"/>
      <c r="D595" s="15"/>
      <c r="E595" s="15"/>
      <c r="F595" s="15"/>
      <c r="G595" s="15"/>
      <c r="H595" s="15"/>
      <c r="I595" s="26"/>
      <c r="J595" s="15"/>
      <c r="K595" s="26"/>
      <c r="L595" s="15"/>
      <c r="M595" s="26"/>
      <c r="N595" s="26"/>
      <c r="O595" s="26"/>
      <c r="P595" s="26"/>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row>
    <row r="596" spans="1:40">
      <c r="A596" s="15"/>
      <c r="B596" s="15"/>
      <c r="C596" s="26"/>
      <c r="D596" s="15"/>
      <c r="E596" s="15"/>
      <c r="F596" s="15"/>
      <c r="G596" s="15"/>
      <c r="H596" s="15"/>
      <c r="I596" s="26"/>
      <c r="J596" s="15"/>
      <c r="K596" s="26"/>
      <c r="L596" s="15"/>
      <c r="M596" s="26"/>
      <c r="N596" s="26"/>
      <c r="O596" s="26"/>
      <c r="P596" s="26"/>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row>
    <row r="597" spans="1:40">
      <c r="A597" s="15"/>
      <c r="B597" s="15"/>
      <c r="C597" s="26"/>
      <c r="D597" s="15"/>
      <c r="E597" s="15"/>
      <c r="F597" s="15"/>
      <c r="G597" s="15"/>
      <c r="H597" s="15"/>
      <c r="I597" s="26"/>
      <c r="J597" s="15"/>
      <c r="K597" s="26"/>
      <c r="L597" s="15"/>
      <c r="M597" s="26"/>
      <c r="N597" s="26"/>
      <c r="O597" s="26"/>
      <c r="P597" s="26"/>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row>
    <row r="598" spans="1:40">
      <c r="A598" s="15"/>
      <c r="B598" s="15"/>
      <c r="C598" s="26"/>
      <c r="D598" s="15"/>
      <c r="E598" s="15"/>
      <c r="F598" s="15"/>
      <c r="G598" s="15"/>
      <c r="H598" s="15"/>
      <c r="I598" s="26"/>
      <c r="J598" s="15"/>
      <c r="K598" s="26"/>
      <c r="L598" s="15"/>
      <c r="M598" s="26"/>
      <c r="N598" s="26"/>
      <c r="O598" s="26"/>
      <c r="P598" s="26"/>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row>
    <row r="599" spans="1:40">
      <c r="A599" s="15"/>
      <c r="B599" s="15"/>
      <c r="C599" s="26"/>
      <c r="D599" s="15"/>
      <c r="E599" s="15"/>
      <c r="F599" s="15"/>
      <c r="G599" s="15"/>
      <c r="H599" s="15"/>
      <c r="I599" s="26"/>
      <c r="J599" s="15"/>
      <c r="K599" s="26"/>
      <c r="L599" s="15"/>
      <c r="M599" s="26"/>
      <c r="N599" s="26"/>
      <c r="O599" s="26"/>
      <c r="P599" s="26"/>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row>
    <row r="600" spans="1:40">
      <c r="A600" s="15"/>
      <c r="B600" s="15"/>
      <c r="C600" s="26"/>
      <c r="D600" s="15"/>
      <c r="E600" s="15"/>
      <c r="F600" s="15"/>
      <c r="G600" s="15"/>
      <c r="H600" s="15"/>
      <c r="I600" s="26"/>
      <c r="J600" s="15"/>
      <c r="K600" s="26"/>
      <c r="L600" s="15"/>
      <c r="M600" s="26"/>
      <c r="N600" s="26"/>
      <c r="O600" s="26"/>
      <c r="P600" s="26"/>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row>
    <row r="601" spans="1:40">
      <c r="A601" s="15"/>
      <c r="B601" s="15"/>
      <c r="C601" s="26"/>
      <c r="D601" s="15"/>
      <c r="E601" s="15"/>
      <c r="F601" s="15"/>
      <c r="G601" s="15"/>
      <c r="H601" s="15"/>
      <c r="I601" s="26"/>
      <c r="J601" s="15"/>
      <c r="K601" s="26"/>
      <c r="L601" s="15"/>
      <c r="M601" s="26"/>
      <c r="N601" s="26"/>
      <c r="O601" s="26"/>
      <c r="P601" s="26"/>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row>
    <row r="602" spans="1:40">
      <c r="A602" s="15"/>
      <c r="B602" s="15"/>
      <c r="C602" s="26"/>
      <c r="D602" s="15"/>
      <c r="E602" s="15"/>
      <c r="F602" s="15"/>
      <c r="G602" s="15"/>
      <c r="H602" s="15"/>
      <c r="I602" s="26"/>
      <c r="J602" s="15"/>
      <c r="K602" s="26"/>
      <c r="L602" s="15"/>
      <c r="M602" s="26"/>
      <c r="N602" s="26"/>
      <c r="O602" s="26"/>
      <c r="P602" s="26"/>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row>
    <row r="603" spans="1:40">
      <c r="A603" s="15"/>
      <c r="B603" s="15"/>
      <c r="C603" s="26"/>
      <c r="D603" s="15"/>
      <c r="E603" s="15"/>
      <c r="F603" s="15"/>
      <c r="G603" s="15"/>
      <c r="H603" s="15"/>
      <c r="I603" s="26"/>
      <c r="J603" s="15"/>
      <c r="K603" s="26"/>
      <c r="L603" s="15"/>
      <c r="M603" s="26"/>
      <c r="N603" s="26"/>
      <c r="O603" s="26"/>
      <c r="P603" s="26"/>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row>
    <row r="604" spans="1:40">
      <c r="A604" s="15"/>
      <c r="B604" s="15"/>
      <c r="C604" s="26"/>
      <c r="D604" s="15"/>
      <c r="E604" s="15"/>
      <c r="F604" s="15"/>
      <c r="G604" s="15"/>
      <c r="H604" s="15"/>
      <c r="I604" s="26"/>
      <c r="J604" s="15"/>
      <c r="K604" s="26"/>
      <c r="L604" s="15"/>
      <c r="M604" s="26"/>
      <c r="N604" s="26"/>
      <c r="O604" s="26"/>
      <c r="P604" s="26"/>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row>
    <row r="605" spans="1:40">
      <c r="A605" s="15"/>
      <c r="B605" s="15"/>
      <c r="C605" s="26"/>
      <c r="D605" s="15"/>
      <c r="E605" s="15"/>
      <c r="F605" s="15"/>
      <c r="G605" s="15"/>
      <c r="H605" s="15"/>
      <c r="I605" s="26"/>
      <c r="J605" s="15"/>
      <c r="K605" s="26"/>
      <c r="L605" s="15"/>
      <c r="M605" s="26"/>
      <c r="N605" s="26"/>
      <c r="O605" s="26"/>
      <c r="P605" s="26"/>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row>
    <row r="606" spans="1:40">
      <c r="A606" s="15"/>
      <c r="B606" s="15"/>
      <c r="C606" s="26"/>
      <c r="D606" s="15"/>
      <c r="E606" s="15"/>
      <c r="F606" s="15"/>
      <c r="G606" s="15"/>
      <c r="H606" s="15"/>
      <c r="I606" s="26"/>
      <c r="J606" s="15"/>
      <c r="K606" s="26"/>
      <c r="L606" s="15"/>
      <c r="M606" s="26"/>
      <c r="N606" s="26"/>
      <c r="O606" s="26"/>
      <c r="P606" s="26"/>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row>
    <row r="607" spans="1:40">
      <c r="A607" s="15"/>
      <c r="B607" s="15"/>
      <c r="C607" s="26"/>
      <c r="D607" s="15"/>
      <c r="E607" s="15"/>
      <c r="F607" s="15"/>
      <c r="G607" s="15"/>
      <c r="H607" s="15"/>
      <c r="I607" s="26"/>
      <c r="J607" s="15"/>
      <c r="K607" s="26"/>
      <c r="L607" s="15"/>
      <c r="M607" s="26"/>
      <c r="N607" s="26"/>
      <c r="O607" s="26"/>
      <c r="P607" s="26"/>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row>
    <row r="608" spans="1:40">
      <c r="A608" s="15"/>
      <c r="B608" s="15"/>
      <c r="C608" s="26"/>
      <c r="D608" s="15"/>
      <c r="E608" s="15"/>
      <c r="F608" s="15"/>
      <c r="G608" s="15"/>
      <c r="H608" s="15"/>
      <c r="I608" s="26"/>
      <c r="J608" s="15"/>
      <c r="K608" s="26"/>
      <c r="L608" s="15"/>
      <c r="M608" s="26"/>
      <c r="N608" s="26"/>
      <c r="O608" s="26"/>
      <c r="P608" s="26"/>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row>
    <row r="609" spans="1:40">
      <c r="A609" s="15"/>
      <c r="B609" s="15"/>
      <c r="C609" s="26"/>
      <c r="D609" s="15"/>
      <c r="E609" s="15"/>
      <c r="F609" s="15"/>
      <c r="G609" s="15"/>
      <c r="H609" s="15"/>
      <c r="I609" s="26"/>
      <c r="J609" s="15"/>
      <c r="K609" s="26"/>
      <c r="L609" s="15"/>
      <c r="M609" s="26"/>
      <c r="N609" s="26"/>
      <c r="O609" s="26"/>
      <c r="P609" s="26"/>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row>
    <row r="610" spans="1:40">
      <c r="A610" s="15"/>
      <c r="B610" s="15"/>
      <c r="C610" s="26"/>
      <c r="D610" s="15"/>
      <c r="E610" s="15"/>
      <c r="F610" s="15"/>
      <c r="G610" s="15"/>
      <c r="H610" s="15"/>
      <c r="I610" s="26"/>
      <c r="J610" s="15"/>
      <c r="K610" s="26"/>
      <c r="L610" s="15"/>
      <c r="M610" s="26"/>
      <c r="N610" s="26"/>
      <c r="O610" s="26"/>
      <c r="P610" s="26"/>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row>
    <row r="611" spans="1:40">
      <c r="A611" s="15"/>
      <c r="B611" s="15"/>
      <c r="C611" s="26"/>
      <c r="D611" s="15"/>
      <c r="E611" s="15"/>
      <c r="F611" s="15"/>
      <c r="G611" s="15"/>
      <c r="H611" s="15"/>
      <c r="I611" s="26"/>
      <c r="J611" s="15"/>
      <c r="K611" s="26"/>
      <c r="L611" s="15"/>
      <c r="M611" s="26"/>
      <c r="N611" s="26"/>
      <c r="O611" s="26"/>
      <c r="P611" s="26"/>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row>
    <row r="612" spans="1:40">
      <c r="A612" s="15"/>
      <c r="B612" s="15"/>
      <c r="C612" s="26"/>
      <c r="D612" s="15"/>
      <c r="E612" s="15"/>
      <c r="F612" s="15"/>
      <c r="G612" s="15"/>
      <c r="H612" s="15"/>
      <c r="I612" s="26"/>
      <c r="J612" s="15"/>
      <c r="K612" s="26"/>
      <c r="L612" s="15"/>
      <c r="M612" s="26"/>
      <c r="N612" s="26"/>
      <c r="O612" s="26"/>
      <c r="P612" s="26"/>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row>
    <row r="613" spans="1:40">
      <c r="A613" s="15"/>
      <c r="B613" s="15"/>
      <c r="C613" s="26"/>
      <c r="D613" s="15"/>
      <c r="E613" s="15"/>
      <c r="F613" s="15"/>
      <c r="G613" s="15"/>
      <c r="H613" s="15"/>
      <c r="I613" s="26"/>
      <c r="J613" s="15"/>
      <c r="K613" s="26"/>
      <c r="L613" s="15"/>
      <c r="M613" s="26"/>
      <c r="N613" s="26"/>
      <c r="O613" s="26"/>
      <c r="P613" s="26"/>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row>
    <row r="614" spans="1:40">
      <c r="A614" s="15"/>
      <c r="B614" s="15"/>
      <c r="C614" s="26"/>
      <c r="D614" s="15"/>
      <c r="E614" s="15"/>
      <c r="F614" s="15"/>
      <c r="G614" s="15"/>
      <c r="H614" s="15"/>
      <c r="I614" s="26"/>
      <c r="J614" s="15"/>
      <c r="K614" s="26"/>
      <c r="L614" s="15"/>
      <c r="M614" s="26"/>
      <c r="N614" s="26"/>
      <c r="O614" s="26"/>
      <c r="P614" s="26"/>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row>
    <row r="615" spans="1:40">
      <c r="A615" s="15"/>
      <c r="B615" s="15"/>
      <c r="C615" s="26"/>
      <c r="D615" s="15"/>
      <c r="E615" s="15"/>
      <c r="F615" s="15"/>
      <c r="G615" s="15"/>
      <c r="H615" s="15"/>
      <c r="I615" s="26"/>
      <c r="J615" s="15"/>
      <c r="K615" s="26"/>
      <c r="L615" s="15"/>
      <c r="M615" s="26"/>
      <c r="N615" s="26"/>
      <c r="O615" s="26"/>
      <c r="P615" s="26"/>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row>
    <row r="616" spans="1:40">
      <c r="A616" s="15"/>
      <c r="B616" s="15"/>
      <c r="C616" s="26"/>
      <c r="D616" s="15"/>
      <c r="E616" s="15"/>
      <c r="F616" s="15"/>
      <c r="G616" s="15"/>
      <c r="H616" s="15"/>
      <c r="I616" s="26"/>
      <c r="J616" s="15"/>
      <c r="K616" s="26"/>
      <c r="L616" s="15"/>
      <c r="M616" s="26"/>
      <c r="N616" s="26"/>
      <c r="O616" s="26"/>
      <c r="P616" s="26"/>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row>
    <row r="617" spans="1:40">
      <c r="A617" s="15"/>
      <c r="B617" s="15"/>
      <c r="C617" s="26"/>
      <c r="D617" s="15"/>
      <c r="E617" s="15"/>
      <c r="F617" s="15"/>
      <c r="G617" s="15"/>
      <c r="H617" s="15"/>
      <c r="I617" s="26"/>
      <c r="J617" s="15"/>
      <c r="K617" s="26"/>
      <c r="L617" s="15"/>
      <c r="M617" s="26"/>
      <c r="N617" s="26"/>
      <c r="O617" s="26"/>
      <c r="P617" s="26"/>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row>
    <row r="618" spans="1:40">
      <c r="A618" s="15"/>
      <c r="B618" s="15"/>
      <c r="C618" s="26"/>
      <c r="D618" s="15"/>
      <c r="E618" s="15"/>
      <c r="F618" s="15"/>
      <c r="G618" s="15"/>
      <c r="H618" s="15"/>
      <c r="I618" s="26"/>
      <c r="J618" s="15"/>
      <c r="K618" s="26"/>
      <c r="L618" s="15"/>
      <c r="M618" s="26"/>
      <c r="N618" s="26"/>
      <c r="O618" s="26"/>
      <c r="P618" s="26"/>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row>
    <row r="619" spans="1:40">
      <c r="A619" s="15"/>
      <c r="B619" s="15"/>
      <c r="C619" s="26"/>
      <c r="D619" s="15"/>
      <c r="E619" s="15"/>
      <c r="F619" s="15"/>
      <c r="G619" s="15"/>
      <c r="H619" s="15"/>
      <c r="I619" s="26"/>
      <c r="J619" s="15"/>
      <c r="K619" s="26"/>
      <c r="L619" s="15"/>
      <c r="M619" s="26"/>
      <c r="N619" s="26"/>
      <c r="O619" s="26"/>
      <c r="P619" s="26"/>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row>
    <row r="620" spans="1:40">
      <c r="A620" s="15"/>
      <c r="B620" s="15"/>
      <c r="C620" s="26"/>
      <c r="D620" s="15"/>
      <c r="E620" s="15"/>
      <c r="F620" s="15"/>
      <c r="G620" s="15"/>
      <c r="H620" s="15"/>
      <c r="I620" s="26"/>
      <c r="J620" s="15"/>
      <c r="K620" s="26"/>
      <c r="L620" s="15"/>
      <c r="M620" s="26"/>
      <c r="N620" s="26"/>
      <c r="O620" s="26"/>
      <c r="P620" s="26"/>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row>
    <row r="621" spans="1:40">
      <c r="A621" s="15"/>
      <c r="B621" s="15"/>
      <c r="C621" s="26"/>
      <c r="D621" s="15"/>
      <c r="E621" s="15"/>
      <c r="F621" s="15"/>
      <c r="G621" s="15"/>
      <c r="H621" s="15"/>
      <c r="I621" s="26"/>
      <c r="J621" s="15"/>
      <c r="K621" s="26"/>
      <c r="L621" s="15"/>
      <c r="M621" s="26"/>
      <c r="N621" s="26"/>
      <c r="O621" s="26"/>
      <c r="P621" s="26"/>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row>
    <row r="622" spans="1:40">
      <c r="A622" s="15"/>
      <c r="B622" s="15"/>
      <c r="C622" s="26"/>
      <c r="D622" s="15"/>
      <c r="E622" s="15"/>
      <c r="F622" s="15"/>
      <c r="G622" s="15"/>
      <c r="H622" s="15"/>
      <c r="I622" s="26"/>
      <c r="J622" s="15"/>
      <c r="K622" s="26"/>
      <c r="L622" s="15"/>
      <c r="M622" s="26"/>
      <c r="N622" s="26"/>
      <c r="O622" s="26"/>
      <c r="P622" s="26"/>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row>
    <row r="623" spans="1:40">
      <c r="A623" s="15"/>
      <c r="B623" s="15"/>
      <c r="C623" s="26"/>
      <c r="D623" s="15"/>
      <c r="E623" s="15"/>
      <c r="F623" s="15"/>
      <c r="G623" s="15"/>
      <c r="H623" s="15"/>
      <c r="I623" s="26"/>
      <c r="J623" s="15"/>
      <c r="K623" s="26"/>
      <c r="L623" s="15"/>
      <c r="M623" s="26"/>
      <c r="N623" s="26"/>
      <c r="O623" s="26"/>
      <c r="P623" s="26"/>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row>
    <row r="624" spans="1:40">
      <c r="A624" s="15"/>
      <c r="B624" s="15"/>
      <c r="C624" s="26"/>
      <c r="D624" s="15"/>
      <c r="E624" s="15"/>
      <c r="F624" s="15"/>
      <c r="G624" s="15"/>
      <c r="H624" s="15"/>
      <c r="I624" s="26"/>
      <c r="J624" s="15"/>
      <c r="K624" s="26"/>
      <c r="L624" s="15"/>
      <c r="M624" s="26"/>
      <c r="N624" s="26"/>
      <c r="O624" s="26"/>
      <c r="P624" s="26"/>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row>
    <row r="625" spans="1:40">
      <c r="A625" s="15"/>
      <c r="B625" s="15"/>
      <c r="C625" s="26"/>
      <c r="D625" s="15"/>
      <c r="E625" s="15"/>
      <c r="F625" s="15"/>
      <c r="G625" s="15"/>
      <c r="H625" s="15"/>
      <c r="I625" s="26"/>
      <c r="J625" s="15"/>
      <c r="K625" s="26"/>
      <c r="L625" s="15"/>
      <c r="M625" s="26"/>
      <c r="N625" s="26"/>
      <c r="O625" s="26"/>
      <c r="P625" s="26"/>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row>
    <row r="626" spans="1:40">
      <c r="A626" s="15"/>
      <c r="B626" s="15"/>
      <c r="C626" s="26"/>
      <c r="D626" s="15"/>
      <c r="E626" s="15"/>
      <c r="F626" s="15"/>
      <c r="G626" s="15"/>
      <c r="H626" s="15"/>
      <c r="I626" s="26"/>
      <c r="J626" s="15"/>
      <c r="K626" s="26"/>
      <c r="L626" s="15"/>
      <c r="M626" s="26"/>
      <c r="N626" s="26"/>
      <c r="O626" s="26"/>
      <c r="P626" s="26"/>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row>
    <row r="627" spans="1:40">
      <c r="A627" s="15"/>
      <c r="B627" s="15"/>
      <c r="C627" s="26"/>
      <c r="D627" s="15"/>
      <c r="E627" s="15"/>
      <c r="F627" s="15"/>
      <c r="G627" s="15"/>
      <c r="H627" s="15"/>
      <c r="I627" s="26"/>
      <c r="J627" s="15"/>
      <c r="K627" s="26"/>
      <c r="L627" s="15"/>
      <c r="M627" s="26"/>
      <c r="N627" s="26"/>
      <c r="O627" s="26"/>
      <c r="P627" s="26"/>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row>
    <row r="628" spans="1:40">
      <c r="A628" s="15"/>
      <c r="B628" s="15"/>
      <c r="C628" s="26"/>
      <c r="D628" s="15"/>
      <c r="E628" s="15"/>
      <c r="F628" s="15"/>
      <c r="G628" s="15"/>
      <c r="H628" s="15"/>
      <c r="I628" s="26"/>
      <c r="J628" s="15"/>
      <c r="K628" s="26"/>
      <c r="L628" s="15"/>
      <c r="M628" s="26"/>
      <c r="N628" s="26"/>
      <c r="O628" s="26"/>
      <c r="P628" s="26"/>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row>
    <row r="629" spans="1:40">
      <c r="A629" s="15"/>
      <c r="B629" s="15"/>
      <c r="C629" s="26"/>
      <c r="D629" s="15"/>
      <c r="E629" s="15"/>
      <c r="F629" s="15"/>
      <c r="G629" s="15"/>
      <c r="H629" s="15"/>
      <c r="I629" s="26"/>
      <c r="J629" s="15"/>
      <c r="K629" s="26"/>
      <c r="L629" s="15"/>
      <c r="M629" s="26"/>
      <c r="N629" s="26"/>
      <c r="O629" s="26"/>
      <c r="P629" s="26"/>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row>
    <row r="630" spans="1:40">
      <c r="A630" s="15"/>
      <c r="B630" s="15"/>
      <c r="C630" s="26"/>
      <c r="D630" s="15"/>
      <c r="E630" s="15"/>
      <c r="F630" s="15"/>
      <c r="G630" s="15"/>
      <c r="H630" s="15"/>
      <c r="I630" s="26"/>
      <c r="J630" s="15"/>
      <c r="K630" s="26"/>
      <c r="L630" s="15"/>
      <c r="M630" s="26"/>
      <c r="N630" s="26"/>
      <c r="O630" s="26"/>
      <c r="P630" s="26"/>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row>
    <row r="631" spans="1:40">
      <c r="A631" s="15"/>
      <c r="B631" s="15"/>
      <c r="C631" s="26"/>
      <c r="D631" s="15"/>
      <c r="E631" s="15"/>
      <c r="F631" s="15"/>
      <c r="G631" s="15"/>
      <c r="H631" s="15"/>
      <c r="I631" s="26"/>
      <c r="J631" s="15"/>
      <c r="K631" s="26"/>
      <c r="L631" s="15"/>
      <c r="M631" s="26"/>
      <c r="N631" s="26"/>
      <c r="O631" s="26"/>
      <c r="P631" s="26"/>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row>
    <row r="632" spans="1:40">
      <c r="A632" s="15"/>
      <c r="B632" s="15"/>
      <c r="C632" s="26"/>
      <c r="D632" s="15"/>
      <c r="E632" s="15"/>
      <c r="F632" s="15"/>
      <c r="G632" s="15"/>
      <c r="H632" s="15"/>
      <c r="I632" s="26"/>
      <c r="J632" s="15"/>
      <c r="K632" s="26"/>
      <c r="L632" s="15"/>
      <c r="M632" s="26"/>
      <c r="N632" s="26"/>
      <c r="O632" s="26"/>
      <c r="P632" s="26"/>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row>
    <row r="633" spans="1:40">
      <c r="A633" s="15"/>
      <c r="B633" s="15"/>
      <c r="C633" s="26"/>
      <c r="D633" s="15"/>
      <c r="E633" s="15"/>
      <c r="F633" s="15"/>
      <c r="G633" s="15"/>
      <c r="H633" s="15"/>
      <c r="I633" s="26"/>
      <c r="J633" s="15"/>
      <c r="K633" s="26"/>
      <c r="L633" s="15"/>
      <c r="M633" s="26"/>
      <c r="N633" s="26"/>
      <c r="O633" s="26"/>
      <c r="P633" s="26"/>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row>
    <row r="634" spans="1:40">
      <c r="A634" s="15"/>
      <c r="B634" s="15"/>
      <c r="C634" s="26"/>
      <c r="D634" s="15"/>
      <c r="E634" s="15"/>
      <c r="F634" s="15"/>
      <c r="G634" s="15"/>
      <c r="H634" s="15"/>
      <c r="I634" s="26"/>
      <c r="J634" s="15"/>
      <c r="K634" s="26"/>
      <c r="L634" s="15"/>
      <c r="M634" s="26"/>
      <c r="N634" s="26"/>
      <c r="O634" s="26"/>
      <c r="P634" s="26"/>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row>
    <row r="635" spans="1:40">
      <c r="A635" s="15"/>
      <c r="B635" s="15"/>
      <c r="C635" s="26"/>
      <c r="D635" s="15"/>
      <c r="E635" s="15"/>
      <c r="F635" s="15"/>
      <c r="G635" s="15"/>
      <c r="H635" s="15"/>
      <c r="I635" s="26"/>
      <c r="J635" s="15"/>
      <c r="K635" s="26"/>
      <c r="L635" s="15"/>
      <c r="M635" s="26"/>
      <c r="N635" s="26"/>
      <c r="O635" s="26"/>
      <c r="P635" s="26"/>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row>
    <row r="636" spans="1:40">
      <c r="A636" s="15"/>
      <c r="B636" s="15"/>
      <c r="C636" s="26"/>
      <c r="D636" s="15"/>
      <c r="E636" s="15"/>
      <c r="F636" s="15"/>
      <c r="G636" s="15"/>
      <c r="H636" s="15"/>
      <c r="I636" s="26"/>
      <c r="J636" s="15"/>
      <c r="K636" s="26"/>
      <c r="L636" s="15"/>
      <c r="M636" s="26"/>
      <c r="N636" s="26"/>
      <c r="O636" s="26"/>
      <c r="P636" s="26"/>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row>
    <row r="637" spans="1:40">
      <c r="A637" s="15"/>
      <c r="B637" s="15"/>
      <c r="C637" s="26"/>
      <c r="D637" s="15"/>
      <c r="E637" s="15"/>
      <c r="F637" s="15"/>
      <c r="G637" s="15"/>
      <c r="H637" s="15"/>
      <c r="I637" s="26"/>
      <c r="J637" s="15"/>
      <c r="K637" s="26"/>
      <c r="L637" s="15"/>
      <c r="M637" s="26"/>
      <c r="N637" s="26"/>
      <c r="O637" s="26"/>
      <c r="P637" s="26"/>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row>
    <row r="638" spans="1:40">
      <c r="A638" s="15"/>
      <c r="B638" s="15"/>
      <c r="C638" s="26"/>
      <c r="D638" s="15"/>
      <c r="E638" s="15"/>
      <c r="F638" s="15"/>
      <c r="G638" s="15"/>
      <c r="H638" s="15"/>
      <c r="I638" s="26"/>
      <c r="J638" s="15"/>
      <c r="K638" s="26"/>
      <c r="L638" s="15"/>
      <c r="M638" s="26"/>
      <c r="N638" s="26"/>
      <c r="O638" s="26"/>
      <c r="P638" s="26"/>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row>
    <row r="639" spans="1:40">
      <c r="A639" s="15"/>
      <c r="B639" s="15"/>
      <c r="C639" s="26"/>
      <c r="D639" s="15"/>
      <c r="E639" s="15"/>
      <c r="F639" s="15"/>
      <c r="G639" s="15"/>
      <c r="H639" s="15"/>
      <c r="I639" s="26"/>
      <c r="J639" s="15"/>
      <c r="K639" s="26"/>
      <c r="L639" s="15"/>
      <c r="M639" s="26"/>
      <c r="N639" s="26"/>
      <c r="O639" s="26"/>
      <c r="P639" s="26"/>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row>
    <row r="640" spans="1:40">
      <c r="A640" s="15"/>
      <c r="B640" s="15"/>
      <c r="C640" s="26"/>
      <c r="D640" s="15"/>
      <c r="E640" s="15"/>
      <c r="F640" s="15"/>
      <c r="G640" s="15"/>
      <c r="H640" s="15"/>
      <c r="I640" s="26"/>
      <c r="J640" s="15"/>
      <c r="K640" s="26"/>
      <c r="L640" s="15"/>
      <c r="M640" s="26"/>
      <c r="N640" s="26"/>
      <c r="O640" s="26"/>
      <c r="P640" s="26"/>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row>
    <row r="641" spans="1:40">
      <c r="A641" s="15"/>
      <c r="B641" s="15"/>
      <c r="C641" s="26"/>
      <c r="D641" s="15"/>
      <c r="E641" s="15"/>
      <c r="F641" s="15"/>
      <c r="G641" s="15"/>
      <c r="H641" s="15"/>
      <c r="I641" s="26"/>
      <c r="J641" s="15"/>
      <c r="K641" s="26"/>
      <c r="L641" s="15"/>
      <c r="M641" s="26"/>
      <c r="N641" s="26"/>
      <c r="O641" s="26"/>
      <c r="P641" s="26"/>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row>
    <row r="642" spans="1:40">
      <c r="A642" s="15"/>
      <c r="B642" s="15"/>
      <c r="C642" s="26"/>
      <c r="D642" s="15"/>
      <c r="E642" s="15"/>
      <c r="F642" s="15"/>
      <c r="G642" s="15"/>
      <c r="H642" s="15"/>
      <c r="I642" s="26"/>
      <c r="J642" s="15"/>
      <c r="K642" s="26"/>
      <c r="L642" s="15"/>
      <c r="M642" s="26"/>
      <c r="N642" s="26"/>
      <c r="O642" s="26"/>
      <c r="P642" s="26"/>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row>
    <row r="643" spans="1:40">
      <c r="A643" s="15"/>
      <c r="B643" s="15"/>
      <c r="C643" s="26"/>
      <c r="D643" s="15"/>
      <c r="E643" s="15"/>
      <c r="F643" s="15"/>
      <c r="G643" s="15"/>
      <c r="H643" s="15"/>
      <c r="I643" s="26"/>
      <c r="J643" s="15"/>
      <c r="K643" s="26"/>
      <c r="L643" s="15"/>
      <c r="M643" s="26"/>
      <c r="N643" s="26"/>
      <c r="O643" s="26"/>
      <c r="P643" s="26"/>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row>
    <row r="644" spans="1:40">
      <c r="A644" s="15"/>
      <c r="B644" s="15"/>
      <c r="C644" s="26"/>
      <c r="D644" s="15"/>
      <c r="E644" s="15"/>
      <c r="F644" s="15"/>
      <c r="G644" s="15"/>
      <c r="H644" s="15"/>
      <c r="I644" s="26"/>
      <c r="J644" s="15"/>
      <c r="K644" s="26"/>
      <c r="L644" s="15"/>
      <c r="M644" s="26"/>
      <c r="N644" s="26"/>
      <c r="O644" s="26"/>
      <c r="P644" s="26"/>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row>
    <row r="645" spans="1:40">
      <c r="A645" s="15"/>
      <c r="B645" s="15"/>
      <c r="C645" s="26"/>
      <c r="D645" s="15"/>
      <c r="E645" s="15"/>
      <c r="F645" s="15"/>
      <c r="G645" s="15"/>
      <c r="H645" s="15"/>
      <c r="I645" s="26"/>
      <c r="J645" s="15"/>
      <c r="K645" s="26"/>
      <c r="L645" s="15"/>
      <c r="M645" s="26"/>
      <c r="N645" s="26"/>
      <c r="O645" s="26"/>
      <c r="P645" s="26"/>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row>
    <row r="646" spans="1:40">
      <c r="A646" s="15"/>
      <c r="B646" s="15"/>
      <c r="C646" s="26"/>
      <c r="D646" s="15"/>
      <c r="E646" s="15"/>
      <c r="F646" s="15"/>
      <c r="G646" s="15"/>
      <c r="H646" s="15"/>
      <c r="I646" s="26"/>
      <c r="J646" s="15"/>
      <c r="K646" s="26"/>
      <c r="L646" s="15"/>
      <c r="M646" s="26"/>
      <c r="N646" s="26"/>
      <c r="O646" s="26"/>
      <c r="P646" s="26"/>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row>
    <row r="647" spans="1:40">
      <c r="A647" s="15"/>
      <c r="B647" s="15"/>
      <c r="C647" s="26"/>
      <c r="D647" s="15"/>
      <c r="E647" s="15"/>
      <c r="F647" s="15"/>
      <c r="G647" s="15"/>
      <c r="H647" s="15"/>
      <c r="I647" s="26"/>
      <c r="J647" s="15"/>
      <c r="K647" s="26"/>
      <c r="L647" s="15"/>
      <c r="M647" s="26"/>
      <c r="N647" s="26"/>
      <c r="O647" s="26"/>
      <c r="P647" s="26"/>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row>
    <row r="648" spans="1:40">
      <c r="A648" s="15"/>
      <c r="B648" s="15"/>
      <c r="C648" s="26"/>
      <c r="D648" s="15"/>
      <c r="E648" s="15"/>
      <c r="F648" s="15"/>
      <c r="G648" s="15"/>
      <c r="H648" s="15"/>
      <c r="I648" s="26"/>
      <c r="J648" s="15"/>
      <c r="K648" s="26"/>
      <c r="L648" s="15"/>
      <c r="M648" s="26"/>
      <c r="N648" s="26"/>
      <c r="O648" s="26"/>
      <c r="P648" s="26"/>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row>
    <row r="649" spans="1:40">
      <c r="A649" s="15"/>
      <c r="B649" s="15"/>
      <c r="C649" s="26"/>
      <c r="D649" s="15"/>
      <c r="E649" s="15"/>
      <c r="F649" s="15"/>
      <c r="G649" s="15"/>
      <c r="H649" s="15"/>
      <c r="I649" s="26"/>
      <c r="J649" s="15"/>
      <c r="K649" s="26"/>
      <c r="L649" s="15"/>
      <c r="M649" s="26"/>
      <c r="N649" s="26"/>
      <c r="O649" s="26"/>
      <c r="P649" s="26"/>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row>
    <row r="650" spans="1:40">
      <c r="A650" s="15"/>
      <c r="B650" s="15"/>
      <c r="C650" s="26"/>
      <c r="D650" s="15"/>
      <c r="E650" s="15"/>
      <c r="F650" s="15"/>
      <c r="G650" s="15"/>
      <c r="H650" s="15"/>
      <c r="I650" s="26"/>
      <c r="J650" s="15"/>
      <c r="K650" s="26"/>
      <c r="L650" s="15"/>
      <c r="M650" s="26"/>
      <c r="N650" s="26"/>
      <c r="O650" s="26"/>
      <c r="P650" s="26"/>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row>
    <row r="651" spans="1:40">
      <c r="A651" s="15"/>
      <c r="B651" s="15"/>
      <c r="C651" s="26"/>
      <c r="D651" s="15"/>
      <c r="E651" s="15"/>
      <c r="F651" s="15"/>
      <c r="G651" s="15"/>
      <c r="H651" s="15"/>
      <c r="I651" s="26"/>
      <c r="J651" s="15"/>
      <c r="K651" s="26"/>
      <c r="L651" s="15"/>
      <c r="M651" s="26"/>
      <c r="N651" s="26"/>
      <c r="O651" s="26"/>
      <c r="P651" s="26"/>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row>
    <row r="652" spans="1:40">
      <c r="A652" s="15"/>
      <c r="B652" s="15"/>
      <c r="C652" s="26"/>
      <c r="D652" s="15"/>
      <c r="E652" s="15"/>
      <c r="F652" s="15"/>
      <c r="G652" s="15"/>
      <c r="H652" s="15"/>
      <c r="I652" s="26"/>
      <c r="J652" s="15"/>
      <c r="K652" s="26"/>
      <c r="L652" s="15"/>
      <c r="M652" s="26"/>
      <c r="N652" s="26"/>
      <c r="O652" s="26"/>
      <c r="P652" s="26"/>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row>
    <row r="653" spans="1:40">
      <c r="A653" s="15"/>
      <c r="B653" s="15"/>
      <c r="C653" s="26"/>
      <c r="D653" s="15"/>
      <c r="E653" s="15"/>
      <c r="F653" s="15"/>
      <c r="G653" s="15"/>
      <c r="H653" s="15"/>
      <c r="I653" s="26"/>
      <c r="J653" s="15"/>
      <c r="K653" s="26"/>
      <c r="L653" s="15"/>
      <c r="M653" s="26"/>
      <c r="N653" s="26"/>
      <c r="O653" s="26"/>
      <c r="P653" s="26"/>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row>
    <row r="654" spans="1:40">
      <c r="A654" s="15"/>
      <c r="B654" s="15"/>
      <c r="C654" s="26"/>
      <c r="D654" s="15"/>
      <c r="E654" s="15"/>
      <c r="F654" s="15"/>
      <c r="G654" s="15"/>
      <c r="H654" s="15"/>
      <c r="I654" s="26"/>
      <c r="J654" s="15"/>
      <c r="K654" s="26"/>
      <c r="L654" s="15"/>
      <c r="M654" s="26"/>
      <c r="N654" s="26"/>
      <c r="O654" s="26"/>
      <c r="P654" s="26"/>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row>
    <row r="655" spans="1:40">
      <c r="A655" s="15"/>
      <c r="B655" s="15"/>
      <c r="C655" s="26"/>
      <c r="D655" s="15"/>
      <c r="E655" s="15"/>
      <c r="F655" s="15"/>
      <c r="G655" s="15"/>
      <c r="H655" s="15"/>
      <c r="I655" s="26"/>
      <c r="J655" s="15"/>
      <c r="K655" s="26"/>
      <c r="L655" s="15"/>
      <c r="M655" s="26"/>
      <c r="N655" s="26"/>
      <c r="O655" s="26"/>
      <c r="P655" s="26"/>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row>
    <row r="656" spans="1:40">
      <c r="A656" s="15"/>
      <c r="B656" s="15"/>
      <c r="C656" s="26"/>
      <c r="D656" s="15"/>
      <c r="E656" s="15"/>
      <c r="F656" s="15"/>
      <c r="G656" s="15"/>
      <c r="H656" s="15"/>
      <c r="I656" s="26"/>
      <c r="J656" s="15"/>
      <c r="K656" s="26"/>
      <c r="L656" s="15"/>
      <c r="M656" s="26"/>
      <c r="N656" s="26"/>
      <c r="O656" s="26"/>
      <c r="P656" s="26"/>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row>
    <row r="657" spans="1:40">
      <c r="A657" s="15"/>
      <c r="B657" s="15"/>
      <c r="C657" s="26"/>
      <c r="D657" s="15"/>
      <c r="E657" s="15"/>
      <c r="F657" s="15"/>
      <c r="G657" s="15"/>
      <c r="H657" s="15"/>
      <c r="I657" s="26"/>
      <c r="J657" s="15"/>
      <c r="K657" s="26"/>
      <c r="L657" s="15"/>
      <c r="M657" s="26"/>
      <c r="N657" s="26"/>
      <c r="O657" s="26"/>
      <c r="P657" s="26"/>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row>
    <row r="658" spans="1:40">
      <c r="A658" s="15"/>
      <c r="B658" s="15"/>
      <c r="C658" s="26"/>
      <c r="D658" s="15"/>
      <c r="E658" s="15"/>
      <c r="F658" s="15"/>
      <c r="G658" s="15"/>
      <c r="H658" s="15"/>
      <c r="I658" s="26"/>
      <c r="J658" s="15"/>
      <c r="K658" s="26"/>
      <c r="L658" s="15"/>
      <c r="M658" s="26"/>
      <c r="N658" s="26"/>
      <c r="O658" s="26"/>
      <c r="P658" s="26"/>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row>
    <row r="659" spans="1:40">
      <c r="A659" s="15"/>
      <c r="B659" s="15"/>
      <c r="C659" s="26"/>
      <c r="D659" s="15"/>
      <c r="E659" s="15"/>
      <c r="F659" s="15"/>
      <c r="G659" s="15"/>
      <c r="H659" s="15"/>
      <c r="I659" s="26"/>
      <c r="J659" s="15"/>
      <c r="K659" s="26"/>
      <c r="L659" s="15"/>
      <c r="M659" s="26"/>
      <c r="N659" s="26"/>
      <c r="O659" s="26"/>
      <c r="P659" s="26"/>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row>
    <row r="660" spans="1:40">
      <c r="A660" s="15"/>
      <c r="B660" s="15"/>
      <c r="C660" s="26"/>
      <c r="D660" s="15"/>
      <c r="E660" s="15"/>
      <c r="F660" s="15"/>
      <c r="G660" s="15"/>
      <c r="H660" s="15"/>
      <c r="I660" s="26"/>
      <c r="J660" s="15"/>
      <c r="K660" s="26"/>
      <c r="L660" s="15"/>
      <c r="M660" s="26"/>
      <c r="N660" s="26"/>
      <c r="O660" s="26"/>
      <c r="P660" s="26"/>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row>
    <row r="661" spans="1:40">
      <c r="A661" s="15"/>
      <c r="B661" s="15"/>
      <c r="C661" s="26"/>
      <c r="D661" s="15"/>
      <c r="E661" s="15"/>
      <c r="F661" s="15"/>
      <c r="G661" s="15"/>
      <c r="H661" s="15"/>
      <c r="I661" s="26"/>
      <c r="J661" s="15"/>
      <c r="K661" s="26"/>
      <c r="L661" s="15"/>
      <c r="M661" s="26"/>
      <c r="N661" s="26"/>
      <c r="O661" s="26"/>
      <c r="P661" s="26"/>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row>
    <row r="662" spans="1:40">
      <c r="A662" s="15"/>
      <c r="B662" s="15"/>
      <c r="C662" s="26"/>
      <c r="D662" s="15"/>
      <c r="E662" s="15"/>
      <c r="F662" s="15"/>
      <c r="G662" s="15"/>
      <c r="H662" s="15"/>
      <c r="I662" s="26"/>
      <c r="J662" s="15"/>
      <c r="K662" s="26"/>
      <c r="L662" s="15"/>
      <c r="M662" s="26"/>
      <c r="N662" s="26"/>
      <c r="O662" s="26"/>
      <c r="P662" s="26"/>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row>
    <row r="663" spans="1:40">
      <c r="A663" s="15"/>
      <c r="B663" s="15"/>
      <c r="C663" s="26"/>
      <c r="D663" s="15"/>
      <c r="E663" s="15"/>
      <c r="F663" s="15"/>
      <c r="G663" s="15"/>
      <c r="H663" s="15"/>
      <c r="I663" s="26"/>
      <c r="J663" s="15"/>
      <c r="K663" s="26"/>
      <c r="L663" s="15"/>
      <c r="M663" s="26"/>
      <c r="N663" s="26"/>
      <c r="O663" s="26"/>
      <c r="P663" s="26"/>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row>
    <row r="664" spans="1:40">
      <c r="A664" s="15"/>
      <c r="B664" s="15"/>
      <c r="C664" s="26"/>
      <c r="D664" s="15"/>
      <c r="E664" s="15"/>
      <c r="F664" s="15"/>
      <c r="G664" s="15"/>
      <c r="H664" s="15"/>
      <c r="I664" s="26"/>
      <c r="J664" s="15"/>
      <c r="K664" s="26"/>
      <c r="L664" s="15"/>
      <c r="M664" s="26"/>
      <c r="N664" s="26"/>
      <c r="O664" s="26"/>
      <c r="P664" s="26"/>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row>
    <row r="665" spans="1:40">
      <c r="A665" s="15"/>
      <c r="B665" s="15"/>
      <c r="C665" s="26"/>
      <c r="D665" s="15"/>
      <c r="E665" s="15"/>
      <c r="F665" s="15"/>
      <c r="G665" s="15"/>
      <c r="H665" s="15"/>
      <c r="I665" s="26"/>
      <c r="J665" s="15"/>
      <c r="K665" s="26"/>
      <c r="L665" s="15"/>
      <c r="M665" s="26"/>
      <c r="N665" s="26"/>
      <c r="O665" s="26"/>
      <c r="P665" s="26"/>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row>
    <row r="666" spans="1:40">
      <c r="A666" s="15"/>
      <c r="B666" s="15"/>
      <c r="C666" s="26"/>
      <c r="D666" s="15"/>
      <c r="E666" s="15"/>
      <c r="F666" s="15"/>
      <c r="G666" s="15"/>
      <c r="H666" s="15"/>
      <c r="I666" s="26"/>
      <c r="J666" s="15"/>
      <c r="K666" s="26"/>
      <c r="L666" s="15"/>
      <c r="M666" s="26"/>
      <c r="N666" s="26"/>
      <c r="O666" s="26"/>
      <c r="P666" s="26"/>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row>
    <row r="667" spans="1:40">
      <c r="A667" s="15"/>
      <c r="B667" s="15"/>
      <c r="C667" s="26"/>
      <c r="D667" s="15"/>
      <c r="E667" s="15"/>
      <c r="F667" s="15"/>
      <c r="G667" s="15"/>
      <c r="H667" s="15"/>
      <c r="I667" s="26"/>
      <c r="J667" s="15"/>
      <c r="K667" s="26"/>
      <c r="L667" s="15"/>
      <c r="M667" s="26"/>
      <c r="N667" s="26"/>
      <c r="O667" s="26"/>
      <c r="P667" s="26"/>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row>
    <row r="668" spans="1:40">
      <c r="A668" s="15"/>
      <c r="B668" s="15"/>
      <c r="C668" s="26"/>
      <c r="D668" s="15"/>
      <c r="E668" s="15"/>
      <c r="F668" s="15"/>
      <c r="G668" s="15"/>
      <c r="H668" s="15"/>
      <c r="I668" s="26"/>
      <c r="J668" s="15"/>
      <c r="K668" s="26"/>
      <c r="L668" s="15"/>
      <c r="M668" s="26"/>
      <c r="N668" s="26"/>
      <c r="O668" s="26"/>
      <c r="P668" s="26"/>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row>
    <row r="669" spans="1:40">
      <c r="A669" s="15"/>
      <c r="B669" s="15"/>
      <c r="C669" s="26"/>
      <c r="D669" s="15"/>
      <c r="E669" s="15"/>
      <c r="F669" s="15"/>
      <c r="G669" s="15"/>
      <c r="H669" s="15"/>
      <c r="I669" s="26"/>
      <c r="J669" s="15"/>
      <c r="K669" s="26"/>
      <c r="L669" s="15"/>
      <c r="M669" s="26"/>
      <c r="N669" s="26"/>
      <c r="O669" s="26"/>
      <c r="P669" s="26"/>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row>
    <row r="670" spans="1:40">
      <c r="A670" s="15"/>
      <c r="B670" s="15"/>
      <c r="C670" s="26"/>
      <c r="D670" s="15"/>
      <c r="E670" s="15"/>
      <c r="F670" s="15"/>
      <c r="G670" s="15"/>
      <c r="H670" s="15"/>
      <c r="I670" s="26"/>
      <c r="J670" s="15"/>
      <c r="K670" s="26"/>
      <c r="L670" s="15"/>
      <c r="M670" s="26"/>
      <c r="N670" s="26"/>
      <c r="O670" s="26"/>
      <c r="P670" s="26"/>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row>
    <row r="671" spans="1:40">
      <c r="A671" s="15"/>
      <c r="B671" s="15"/>
      <c r="C671" s="26"/>
      <c r="D671" s="15"/>
      <c r="E671" s="15"/>
      <c r="F671" s="15"/>
      <c r="G671" s="15"/>
      <c r="H671" s="15"/>
      <c r="I671" s="26"/>
      <c r="J671" s="15"/>
      <c r="K671" s="26"/>
      <c r="L671" s="15"/>
      <c r="M671" s="26"/>
      <c r="N671" s="26"/>
      <c r="O671" s="26"/>
      <c r="P671" s="26"/>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row>
    <row r="672" spans="1:40">
      <c r="A672" s="15"/>
      <c r="B672" s="15"/>
      <c r="C672" s="26"/>
      <c r="D672" s="15"/>
      <c r="E672" s="15"/>
      <c r="F672" s="15"/>
      <c r="G672" s="15"/>
      <c r="H672" s="15"/>
      <c r="I672" s="26"/>
      <c r="J672" s="15"/>
      <c r="K672" s="26"/>
      <c r="L672" s="15"/>
      <c r="M672" s="26"/>
      <c r="N672" s="26"/>
      <c r="O672" s="26"/>
      <c r="P672" s="26"/>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row>
    <row r="673" spans="1:40">
      <c r="A673" s="15"/>
      <c r="B673" s="15"/>
      <c r="C673" s="26"/>
      <c r="D673" s="15"/>
      <c r="E673" s="15"/>
      <c r="F673" s="15"/>
      <c r="G673" s="15"/>
      <c r="H673" s="15"/>
      <c r="I673" s="26"/>
      <c r="J673" s="15"/>
      <c r="K673" s="26"/>
      <c r="L673" s="15"/>
      <c r="M673" s="26"/>
      <c r="N673" s="26"/>
      <c r="O673" s="26"/>
      <c r="P673" s="26"/>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row>
    <row r="674" spans="1:40">
      <c r="A674" s="15"/>
      <c r="B674" s="15"/>
      <c r="C674" s="26"/>
      <c r="D674" s="15"/>
      <c r="E674" s="15"/>
      <c r="F674" s="15"/>
      <c r="G674" s="15"/>
      <c r="H674" s="15"/>
      <c r="I674" s="26"/>
      <c r="J674" s="15"/>
      <c r="K674" s="26"/>
      <c r="L674" s="15"/>
      <c r="M674" s="26"/>
      <c r="N674" s="26"/>
      <c r="O674" s="26"/>
      <c r="P674" s="26"/>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row>
    <row r="675" spans="1:40">
      <c r="A675" s="15"/>
      <c r="B675" s="15"/>
      <c r="C675" s="26"/>
      <c r="D675" s="15"/>
      <c r="E675" s="15"/>
      <c r="F675" s="15"/>
      <c r="G675" s="15"/>
      <c r="H675" s="15"/>
      <c r="I675" s="26"/>
      <c r="J675" s="15"/>
      <c r="K675" s="26"/>
      <c r="L675" s="15"/>
      <c r="M675" s="26"/>
      <c r="N675" s="26"/>
      <c r="O675" s="26"/>
      <c r="P675" s="26"/>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row>
    <row r="676" spans="1:40">
      <c r="A676" s="15"/>
      <c r="B676" s="15"/>
      <c r="C676" s="26"/>
      <c r="D676" s="15"/>
      <c r="E676" s="15"/>
      <c r="F676" s="15"/>
      <c r="G676" s="15"/>
      <c r="H676" s="15"/>
      <c r="I676" s="26"/>
      <c r="J676" s="15"/>
      <c r="K676" s="26"/>
      <c r="L676" s="15"/>
      <c r="M676" s="26"/>
      <c r="N676" s="26"/>
      <c r="O676" s="26"/>
      <c r="P676" s="26"/>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row>
    <row r="677" spans="1:40">
      <c r="A677" s="15"/>
      <c r="B677" s="15"/>
      <c r="C677" s="26"/>
      <c r="D677" s="15"/>
      <c r="E677" s="15"/>
      <c r="F677" s="15"/>
      <c r="G677" s="15"/>
      <c r="H677" s="15"/>
      <c r="I677" s="26"/>
      <c r="J677" s="15"/>
      <c r="K677" s="26"/>
      <c r="L677" s="15"/>
      <c r="M677" s="26"/>
      <c r="N677" s="26"/>
      <c r="O677" s="26"/>
      <c r="P677" s="26"/>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row>
    <row r="678" spans="1:40">
      <c r="A678" s="15"/>
      <c r="B678" s="15"/>
      <c r="C678" s="26"/>
      <c r="D678" s="15"/>
      <c r="E678" s="15"/>
      <c r="F678" s="15"/>
      <c r="G678" s="15"/>
      <c r="H678" s="15"/>
      <c r="I678" s="26"/>
      <c r="J678" s="15"/>
      <c r="K678" s="26"/>
      <c r="L678" s="15"/>
      <c r="M678" s="26"/>
      <c r="N678" s="26"/>
      <c r="O678" s="26"/>
      <c r="P678" s="26"/>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row>
    <row r="679" spans="1:40">
      <c r="A679" s="15"/>
      <c r="B679" s="15"/>
      <c r="C679" s="26"/>
      <c r="D679" s="15"/>
      <c r="E679" s="15"/>
      <c r="F679" s="15"/>
      <c r="G679" s="15"/>
      <c r="H679" s="15"/>
      <c r="I679" s="26"/>
      <c r="J679" s="15"/>
      <c r="K679" s="26"/>
      <c r="L679" s="15"/>
      <c r="M679" s="26"/>
      <c r="N679" s="26"/>
      <c r="O679" s="26"/>
      <c r="P679" s="26"/>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row>
    <row r="680" spans="1:40">
      <c r="A680" s="15"/>
      <c r="B680" s="15"/>
      <c r="C680" s="26"/>
      <c r="D680" s="15"/>
      <c r="E680" s="15"/>
      <c r="F680" s="15"/>
      <c r="G680" s="15"/>
      <c r="H680" s="15"/>
      <c r="I680" s="26"/>
      <c r="J680" s="15"/>
      <c r="K680" s="26"/>
      <c r="L680" s="15"/>
      <c r="M680" s="26"/>
      <c r="N680" s="26"/>
      <c r="O680" s="26"/>
      <c r="P680" s="26"/>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row>
    <row r="681" spans="1:40">
      <c r="A681" s="15"/>
      <c r="B681" s="15"/>
      <c r="C681" s="26"/>
      <c r="D681" s="15"/>
      <c r="E681" s="15"/>
      <c r="F681" s="15"/>
      <c r="G681" s="15"/>
      <c r="H681" s="15"/>
      <c r="I681" s="26"/>
      <c r="J681" s="15"/>
      <c r="K681" s="26"/>
      <c r="L681" s="15"/>
      <c r="M681" s="26"/>
      <c r="N681" s="26"/>
      <c r="O681" s="26"/>
      <c r="P681" s="26"/>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row>
    <row r="682" spans="1:40">
      <c r="A682" s="15"/>
      <c r="B682" s="15"/>
      <c r="C682" s="26"/>
      <c r="D682" s="15"/>
      <c r="E682" s="15"/>
      <c r="F682" s="15"/>
      <c r="G682" s="15"/>
      <c r="H682" s="15"/>
      <c r="I682" s="26"/>
      <c r="J682" s="15"/>
      <c r="K682" s="26"/>
      <c r="L682" s="15"/>
      <c r="M682" s="26"/>
      <c r="N682" s="26"/>
      <c r="O682" s="26"/>
      <c r="P682" s="26"/>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row>
    <row r="683" spans="1:40">
      <c r="A683" s="15"/>
      <c r="B683" s="15"/>
      <c r="C683" s="26"/>
      <c r="D683" s="15"/>
      <c r="E683" s="15"/>
      <c r="F683" s="15"/>
      <c r="G683" s="15"/>
      <c r="H683" s="15"/>
      <c r="I683" s="26"/>
      <c r="J683" s="15"/>
      <c r="K683" s="26"/>
      <c r="L683" s="15"/>
      <c r="M683" s="26"/>
      <c r="N683" s="26"/>
      <c r="O683" s="26"/>
      <c r="P683" s="26"/>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row>
    <row r="684" spans="1:40">
      <c r="A684" s="15"/>
      <c r="B684" s="15"/>
      <c r="C684" s="26"/>
      <c r="D684" s="15"/>
      <c r="E684" s="15"/>
      <c r="F684" s="15"/>
      <c r="G684" s="15"/>
      <c r="H684" s="15"/>
      <c r="I684" s="26"/>
      <c r="J684" s="15"/>
      <c r="K684" s="26"/>
      <c r="L684" s="15"/>
      <c r="M684" s="26"/>
      <c r="N684" s="26"/>
      <c r="O684" s="26"/>
      <c r="P684" s="26"/>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row>
    <row r="685" spans="1:40">
      <c r="A685" s="15"/>
      <c r="B685" s="15"/>
      <c r="C685" s="26"/>
      <c r="D685" s="15"/>
      <c r="E685" s="15"/>
      <c r="F685" s="15"/>
      <c r="G685" s="15"/>
      <c r="H685" s="15"/>
      <c r="I685" s="26"/>
      <c r="J685" s="15"/>
      <c r="K685" s="26"/>
      <c r="L685" s="15"/>
      <c r="M685" s="26"/>
      <c r="N685" s="26"/>
      <c r="O685" s="26"/>
      <c r="P685" s="26"/>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row>
    <row r="686" spans="1:40">
      <c r="A686" s="15"/>
      <c r="B686" s="15"/>
      <c r="C686" s="26"/>
      <c r="D686" s="15"/>
      <c r="E686" s="15"/>
      <c r="F686" s="15"/>
      <c r="G686" s="15"/>
      <c r="H686" s="15"/>
      <c r="I686" s="26"/>
      <c r="J686" s="15"/>
      <c r="K686" s="26"/>
      <c r="L686" s="15"/>
      <c r="M686" s="26"/>
      <c r="N686" s="26"/>
      <c r="O686" s="26"/>
      <c r="P686" s="26"/>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row>
    <row r="687" spans="1:40">
      <c r="A687" s="15"/>
      <c r="B687" s="15"/>
      <c r="C687" s="26"/>
      <c r="D687" s="15"/>
      <c r="E687" s="15"/>
      <c r="F687" s="15"/>
      <c r="G687" s="15"/>
      <c r="H687" s="15"/>
      <c r="I687" s="26"/>
      <c r="J687" s="15"/>
      <c r="K687" s="26"/>
      <c r="L687" s="15"/>
      <c r="M687" s="26"/>
      <c r="N687" s="26"/>
      <c r="O687" s="26"/>
      <c r="P687" s="26"/>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row>
    <row r="688" spans="1:40">
      <c r="A688" s="15"/>
      <c r="B688" s="15"/>
      <c r="C688" s="26"/>
      <c r="D688" s="15"/>
      <c r="E688" s="15"/>
      <c r="F688" s="15"/>
      <c r="G688" s="15"/>
      <c r="H688" s="15"/>
      <c r="I688" s="26"/>
      <c r="J688" s="15"/>
      <c r="K688" s="26"/>
      <c r="L688" s="15"/>
      <c r="M688" s="26"/>
      <c r="N688" s="26"/>
      <c r="O688" s="26"/>
      <c r="P688" s="26"/>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row>
    <row r="689" spans="1:40">
      <c r="A689" s="15"/>
      <c r="B689" s="15"/>
      <c r="C689" s="26"/>
      <c r="D689" s="15"/>
      <c r="E689" s="15"/>
      <c r="F689" s="15"/>
      <c r="G689" s="15"/>
      <c r="H689" s="15"/>
      <c r="I689" s="26"/>
      <c r="J689" s="15"/>
      <c r="K689" s="26"/>
      <c r="L689" s="15"/>
      <c r="M689" s="26"/>
      <c r="N689" s="26"/>
      <c r="O689" s="26"/>
      <c r="P689" s="26"/>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row>
    <row r="690" spans="1:40">
      <c r="A690" s="15"/>
      <c r="B690" s="15"/>
      <c r="C690" s="26"/>
      <c r="D690" s="15"/>
      <c r="E690" s="15"/>
      <c r="F690" s="15"/>
      <c r="G690" s="15"/>
      <c r="H690" s="15"/>
      <c r="I690" s="26"/>
      <c r="J690" s="15"/>
      <c r="K690" s="26"/>
      <c r="L690" s="15"/>
      <c r="M690" s="26"/>
      <c r="N690" s="26"/>
      <c r="O690" s="26"/>
      <c r="P690" s="26"/>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row>
    <row r="691" spans="1:40">
      <c r="A691" s="15"/>
      <c r="B691" s="15"/>
      <c r="C691" s="26"/>
      <c r="D691" s="15"/>
      <c r="E691" s="15"/>
      <c r="F691" s="15"/>
      <c r="G691" s="15"/>
      <c r="H691" s="15"/>
      <c r="I691" s="26"/>
      <c r="J691" s="15"/>
      <c r="K691" s="26"/>
      <c r="L691" s="15"/>
      <c r="M691" s="26"/>
      <c r="N691" s="26"/>
      <c r="O691" s="26"/>
      <c r="P691" s="26"/>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row>
    <row r="692" spans="1:40">
      <c r="A692" s="15"/>
      <c r="B692" s="15"/>
      <c r="C692" s="26"/>
      <c r="D692" s="15"/>
      <c r="E692" s="15"/>
      <c r="F692" s="15"/>
      <c r="G692" s="15"/>
      <c r="H692" s="15"/>
      <c r="I692" s="26"/>
      <c r="J692" s="15"/>
      <c r="K692" s="26"/>
      <c r="L692" s="15"/>
      <c r="M692" s="26"/>
      <c r="N692" s="26"/>
      <c r="O692" s="26"/>
      <c r="P692" s="26"/>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row>
    <row r="693" spans="1:40">
      <c r="A693" s="15"/>
      <c r="B693" s="15"/>
      <c r="C693" s="26"/>
      <c r="D693" s="15"/>
      <c r="E693" s="15"/>
      <c r="F693" s="15"/>
      <c r="G693" s="15"/>
      <c r="H693" s="15"/>
      <c r="I693" s="26"/>
      <c r="J693" s="15"/>
      <c r="K693" s="26"/>
      <c r="L693" s="15"/>
      <c r="M693" s="26"/>
      <c r="N693" s="26"/>
      <c r="O693" s="26"/>
      <c r="P693" s="26"/>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row>
    <row r="694" spans="1:40">
      <c r="A694" s="15"/>
      <c r="B694" s="15"/>
      <c r="C694" s="26"/>
      <c r="D694" s="15"/>
      <c r="E694" s="15"/>
      <c r="F694" s="15"/>
      <c r="G694" s="15"/>
      <c r="H694" s="15"/>
      <c r="I694" s="26"/>
      <c r="J694" s="15"/>
      <c r="K694" s="26"/>
      <c r="L694" s="15"/>
      <c r="M694" s="26"/>
      <c r="N694" s="26"/>
      <c r="O694" s="26"/>
      <c r="P694" s="26"/>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row>
    <row r="695" spans="1:40">
      <c r="A695" s="15"/>
      <c r="B695" s="15"/>
      <c r="C695" s="26"/>
      <c r="D695" s="15"/>
      <c r="E695" s="15"/>
      <c r="F695" s="15"/>
      <c r="G695" s="15"/>
      <c r="H695" s="15"/>
      <c r="I695" s="26"/>
      <c r="J695" s="15"/>
      <c r="K695" s="26"/>
      <c r="L695" s="15"/>
      <c r="M695" s="26"/>
      <c r="N695" s="26"/>
      <c r="O695" s="26"/>
      <c r="P695" s="26"/>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row>
    <row r="696" spans="1:40">
      <c r="A696" s="15"/>
      <c r="B696" s="15"/>
      <c r="C696" s="26"/>
      <c r="D696" s="15"/>
      <c r="E696" s="15"/>
      <c r="F696" s="15"/>
      <c r="G696" s="15"/>
      <c r="H696" s="15"/>
      <c r="I696" s="26"/>
      <c r="J696" s="15"/>
      <c r="K696" s="26"/>
      <c r="L696" s="15"/>
      <c r="M696" s="26"/>
      <c r="N696" s="26"/>
      <c r="O696" s="26"/>
      <c r="P696" s="26"/>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row>
    <row r="697" spans="1:40">
      <c r="A697" s="15"/>
      <c r="B697" s="15"/>
      <c r="C697" s="26"/>
      <c r="D697" s="15"/>
      <c r="E697" s="15"/>
      <c r="F697" s="15"/>
      <c r="G697" s="15"/>
      <c r="H697" s="15"/>
      <c r="I697" s="26"/>
      <c r="J697" s="15"/>
      <c r="K697" s="26"/>
      <c r="L697" s="15"/>
      <c r="M697" s="26"/>
      <c r="N697" s="26"/>
      <c r="O697" s="26"/>
      <c r="P697" s="26"/>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row>
    <row r="698" spans="1:40">
      <c r="A698" s="15"/>
      <c r="B698" s="15"/>
      <c r="C698" s="26"/>
      <c r="D698" s="15"/>
      <c r="E698" s="15"/>
      <c r="F698" s="15"/>
      <c r="G698" s="15"/>
      <c r="H698" s="15"/>
      <c r="I698" s="26"/>
      <c r="J698" s="15"/>
      <c r="K698" s="26"/>
      <c r="L698" s="15"/>
      <c r="M698" s="26"/>
      <c r="N698" s="26"/>
      <c r="O698" s="26"/>
      <c r="P698" s="26"/>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row>
    <row r="699" spans="1:40">
      <c r="A699" s="15"/>
      <c r="B699" s="15"/>
      <c r="C699" s="26"/>
      <c r="D699" s="15"/>
      <c r="E699" s="15"/>
      <c r="F699" s="15"/>
      <c r="G699" s="15"/>
      <c r="H699" s="15"/>
      <c r="I699" s="26"/>
      <c r="J699" s="15"/>
      <c r="K699" s="26"/>
      <c r="L699" s="15"/>
      <c r="M699" s="26"/>
      <c r="N699" s="26"/>
      <c r="O699" s="26"/>
      <c r="P699" s="26"/>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row>
    <row r="700" spans="1:40">
      <c r="A700" s="15"/>
      <c r="B700" s="15"/>
      <c r="C700" s="26"/>
      <c r="D700" s="15"/>
      <c r="E700" s="15"/>
      <c r="F700" s="15"/>
      <c r="G700" s="15"/>
      <c r="H700" s="15"/>
      <c r="I700" s="26"/>
      <c r="J700" s="15"/>
      <c r="K700" s="26"/>
      <c r="L700" s="15"/>
      <c r="M700" s="26"/>
      <c r="N700" s="26"/>
      <c r="O700" s="26"/>
      <c r="P700" s="26"/>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row>
    <row r="701" spans="1:40">
      <c r="A701" s="15"/>
      <c r="B701" s="15"/>
      <c r="C701" s="26"/>
      <c r="D701" s="15"/>
      <c r="E701" s="15"/>
      <c r="F701" s="15"/>
      <c r="G701" s="15"/>
      <c r="H701" s="15"/>
      <c r="I701" s="26"/>
      <c r="J701" s="15"/>
      <c r="K701" s="26"/>
      <c r="L701" s="15"/>
      <c r="M701" s="26"/>
      <c r="N701" s="26"/>
      <c r="O701" s="26"/>
      <c r="P701" s="26"/>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row>
    <row r="702" spans="1:40">
      <c r="A702" s="15"/>
      <c r="B702" s="15"/>
      <c r="C702" s="26"/>
      <c r="D702" s="15"/>
      <c r="E702" s="15"/>
      <c r="F702" s="15"/>
      <c r="G702" s="15"/>
      <c r="H702" s="15"/>
      <c r="I702" s="26"/>
      <c r="J702" s="15"/>
      <c r="K702" s="26"/>
      <c r="L702" s="15"/>
      <c r="M702" s="26"/>
      <c r="N702" s="26"/>
      <c r="O702" s="26"/>
      <c r="P702" s="26"/>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row>
    <row r="703" spans="1:40">
      <c r="A703" s="15"/>
      <c r="B703" s="15"/>
      <c r="C703" s="26"/>
      <c r="D703" s="15"/>
      <c r="E703" s="15"/>
      <c r="F703" s="15"/>
      <c r="G703" s="15"/>
      <c r="H703" s="15"/>
      <c r="I703" s="26"/>
      <c r="J703" s="15"/>
      <c r="K703" s="26"/>
      <c r="L703" s="15"/>
      <c r="M703" s="26"/>
      <c r="N703" s="26"/>
      <c r="O703" s="26"/>
      <c r="P703" s="26"/>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row>
    <row r="704" spans="1:40">
      <c r="A704" s="15"/>
      <c r="B704" s="15"/>
      <c r="C704" s="26"/>
      <c r="D704" s="15"/>
      <c r="E704" s="15"/>
      <c r="F704" s="15"/>
      <c r="G704" s="15"/>
      <c r="H704" s="15"/>
      <c r="I704" s="26"/>
      <c r="J704" s="15"/>
      <c r="K704" s="26"/>
      <c r="L704" s="15"/>
      <c r="M704" s="26"/>
      <c r="N704" s="26"/>
      <c r="O704" s="26"/>
      <c r="P704" s="26"/>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row>
    <row r="705" spans="1:40">
      <c r="A705" s="15"/>
      <c r="B705" s="15"/>
      <c r="C705" s="26"/>
      <c r="D705" s="15"/>
      <c r="E705" s="15"/>
      <c r="F705" s="15"/>
      <c r="G705" s="15"/>
      <c r="H705" s="15"/>
      <c r="I705" s="26"/>
      <c r="J705" s="15"/>
      <c r="K705" s="26"/>
      <c r="L705" s="15"/>
      <c r="M705" s="26"/>
      <c r="N705" s="26"/>
      <c r="O705" s="26"/>
      <c r="P705" s="26"/>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row>
    <row r="706" spans="1:40">
      <c r="A706" s="15"/>
      <c r="B706" s="15"/>
      <c r="C706" s="26"/>
      <c r="D706" s="15"/>
      <c r="E706" s="15"/>
      <c r="F706" s="15"/>
      <c r="G706" s="15"/>
      <c r="H706" s="15"/>
      <c r="I706" s="26"/>
      <c r="J706" s="15"/>
      <c r="K706" s="26"/>
      <c r="L706" s="15"/>
      <c r="M706" s="26"/>
      <c r="N706" s="26"/>
      <c r="O706" s="26"/>
      <c r="P706" s="26"/>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row>
    <row r="707" spans="1:40">
      <c r="A707" s="15"/>
      <c r="B707" s="15"/>
      <c r="C707" s="26"/>
      <c r="D707" s="15"/>
      <c r="E707" s="15"/>
      <c r="F707" s="15"/>
      <c r="G707" s="15"/>
      <c r="H707" s="15"/>
      <c r="I707" s="26"/>
      <c r="J707" s="15"/>
      <c r="K707" s="26"/>
      <c r="L707" s="15"/>
      <c r="M707" s="26"/>
      <c r="N707" s="26"/>
      <c r="O707" s="26"/>
      <c r="P707" s="26"/>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row>
    <row r="708" spans="1:40">
      <c r="A708" s="15"/>
      <c r="B708" s="15"/>
      <c r="C708" s="26"/>
      <c r="D708" s="15"/>
      <c r="E708" s="15"/>
      <c r="F708" s="15"/>
      <c r="G708" s="15"/>
      <c r="H708" s="15"/>
      <c r="I708" s="26"/>
      <c r="J708" s="15"/>
      <c r="K708" s="26"/>
      <c r="L708" s="15"/>
      <c r="M708" s="26"/>
      <c r="N708" s="26"/>
      <c r="O708" s="26"/>
      <c r="P708" s="26"/>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row>
    <row r="709" spans="1:40">
      <c r="A709" s="15"/>
      <c r="B709" s="15"/>
      <c r="C709" s="26"/>
      <c r="D709" s="15"/>
      <c r="E709" s="15"/>
      <c r="F709" s="15"/>
      <c r="G709" s="15"/>
      <c r="H709" s="15"/>
      <c r="I709" s="26"/>
      <c r="J709" s="15"/>
      <c r="K709" s="26"/>
      <c r="L709" s="15"/>
      <c r="M709" s="26"/>
      <c r="N709" s="26"/>
      <c r="O709" s="26"/>
      <c r="P709" s="26"/>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row>
    <row r="710" spans="1:40">
      <c r="A710" s="15"/>
      <c r="B710" s="15"/>
      <c r="C710" s="26"/>
      <c r="D710" s="15"/>
      <c r="E710" s="15"/>
      <c r="F710" s="15"/>
      <c r="G710" s="15"/>
      <c r="H710" s="15"/>
      <c r="I710" s="26"/>
      <c r="J710" s="15"/>
      <c r="K710" s="26"/>
      <c r="L710" s="15"/>
      <c r="M710" s="26"/>
      <c r="N710" s="26"/>
      <c r="O710" s="26"/>
      <c r="P710" s="26"/>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row>
    <row r="711" spans="1:40">
      <c r="A711" s="15"/>
      <c r="B711" s="15"/>
      <c r="C711" s="26"/>
      <c r="D711" s="15"/>
      <c r="E711" s="15"/>
      <c r="F711" s="15"/>
      <c r="G711" s="15"/>
      <c r="H711" s="15"/>
      <c r="I711" s="26"/>
      <c r="J711" s="15"/>
      <c r="K711" s="26"/>
      <c r="L711" s="15"/>
      <c r="M711" s="26"/>
      <c r="N711" s="26"/>
      <c r="O711" s="26"/>
      <c r="P711" s="26"/>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row>
    <row r="712" spans="1:40">
      <c r="A712" s="15"/>
      <c r="B712" s="15"/>
      <c r="C712" s="26"/>
      <c r="D712" s="15"/>
      <c r="E712" s="15"/>
      <c r="F712" s="15"/>
      <c r="G712" s="15"/>
      <c r="H712" s="15"/>
      <c r="I712" s="26"/>
      <c r="J712" s="15"/>
      <c r="K712" s="26"/>
      <c r="L712" s="15"/>
      <c r="M712" s="26"/>
      <c r="N712" s="26"/>
      <c r="O712" s="26"/>
      <c r="P712" s="26"/>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row>
    <row r="713" spans="1:40">
      <c r="A713" s="15"/>
      <c r="B713" s="15"/>
      <c r="C713" s="26"/>
      <c r="D713" s="15"/>
      <c r="E713" s="15"/>
      <c r="F713" s="15"/>
      <c r="G713" s="15"/>
      <c r="H713" s="15"/>
      <c r="I713" s="26"/>
      <c r="J713" s="15"/>
      <c r="K713" s="26"/>
      <c r="L713" s="15"/>
      <c r="M713" s="26"/>
      <c r="N713" s="26"/>
      <c r="O713" s="26"/>
      <c r="P713" s="26"/>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row>
    <row r="714" spans="1:40">
      <c r="A714" s="15"/>
      <c r="B714" s="15"/>
      <c r="C714" s="26"/>
      <c r="D714" s="15"/>
      <c r="E714" s="15"/>
      <c r="F714" s="15"/>
      <c r="G714" s="15"/>
      <c r="H714" s="15"/>
      <c r="I714" s="26"/>
      <c r="J714" s="15"/>
      <c r="K714" s="26"/>
      <c r="L714" s="15"/>
      <c r="M714" s="26"/>
      <c r="N714" s="26"/>
      <c r="O714" s="26"/>
      <c r="P714" s="26"/>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row>
    <row r="715" spans="1:40">
      <c r="A715" s="15"/>
      <c r="B715" s="15"/>
      <c r="C715" s="26"/>
      <c r="D715" s="15"/>
      <c r="E715" s="15"/>
      <c r="F715" s="15"/>
      <c r="G715" s="15"/>
      <c r="H715" s="15"/>
      <c r="I715" s="26"/>
      <c r="J715" s="15"/>
      <c r="K715" s="26"/>
      <c r="L715" s="15"/>
      <c r="M715" s="26"/>
      <c r="N715" s="26"/>
      <c r="O715" s="26"/>
      <c r="P715" s="26"/>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row>
    <row r="716" spans="1:40">
      <c r="A716" s="15"/>
      <c r="B716" s="15"/>
      <c r="C716" s="26"/>
      <c r="D716" s="15"/>
      <c r="E716" s="15"/>
      <c r="F716" s="15"/>
      <c r="G716" s="15"/>
      <c r="H716" s="15"/>
      <c r="I716" s="26"/>
      <c r="J716" s="15"/>
      <c r="K716" s="26"/>
      <c r="L716" s="15"/>
      <c r="M716" s="26"/>
      <c r="N716" s="26"/>
      <c r="O716" s="26"/>
      <c r="P716" s="26"/>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row>
    <row r="717" spans="1:40">
      <c r="A717" s="15"/>
      <c r="B717" s="15"/>
      <c r="C717" s="26"/>
      <c r="D717" s="15"/>
      <c r="E717" s="15"/>
      <c r="F717" s="15"/>
      <c r="G717" s="15"/>
      <c r="H717" s="15"/>
      <c r="I717" s="26"/>
      <c r="J717" s="15"/>
      <c r="K717" s="26"/>
      <c r="L717" s="15"/>
      <c r="M717" s="26"/>
      <c r="N717" s="26"/>
      <c r="O717" s="26"/>
      <c r="P717" s="26"/>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row>
    <row r="718" spans="1:40">
      <c r="A718" s="15"/>
      <c r="B718" s="15"/>
      <c r="C718" s="26"/>
      <c r="D718" s="15"/>
      <c r="E718" s="15"/>
      <c r="F718" s="15"/>
      <c r="G718" s="15"/>
      <c r="H718" s="15"/>
      <c r="I718" s="26"/>
      <c r="J718" s="15"/>
      <c r="K718" s="26"/>
      <c r="L718" s="15"/>
      <c r="M718" s="26"/>
      <c r="N718" s="26"/>
      <c r="O718" s="26"/>
      <c r="P718" s="26"/>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row>
    <row r="719" spans="1:40">
      <c r="A719" s="15"/>
      <c r="B719" s="15"/>
      <c r="C719" s="26"/>
      <c r="D719" s="15"/>
      <c r="E719" s="15"/>
      <c r="F719" s="15"/>
      <c r="G719" s="15"/>
      <c r="H719" s="15"/>
      <c r="I719" s="26"/>
      <c r="J719" s="15"/>
      <c r="K719" s="26"/>
      <c r="L719" s="15"/>
      <c r="M719" s="26"/>
      <c r="N719" s="26"/>
      <c r="O719" s="26"/>
      <c r="P719" s="26"/>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row>
    <row r="720" spans="1:40">
      <c r="A720" s="15"/>
      <c r="B720" s="15"/>
      <c r="C720" s="26"/>
      <c r="D720" s="15"/>
      <c r="E720" s="15"/>
      <c r="F720" s="15"/>
      <c r="G720" s="15"/>
      <c r="H720" s="15"/>
      <c r="I720" s="26"/>
      <c r="J720" s="15"/>
      <c r="K720" s="26"/>
      <c r="L720" s="15"/>
      <c r="M720" s="26"/>
      <c r="N720" s="26"/>
      <c r="O720" s="26"/>
      <c r="P720" s="26"/>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row>
    <row r="721" spans="1:40">
      <c r="A721" s="15"/>
      <c r="B721" s="15"/>
      <c r="C721" s="26"/>
      <c r="D721" s="15"/>
      <c r="E721" s="15"/>
      <c r="F721" s="15"/>
      <c r="G721" s="15"/>
      <c r="H721" s="15"/>
      <c r="I721" s="26"/>
      <c r="J721" s="15"/>
      <c r="K721" s="26"/>
      <c r="L721" s="15"/>
      <c r="M721" s="26"/>
      <c r="N721" s="26"/>
      <c r="O721" s="26"/>
      <c r="P721" s="26"/>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row>
    <row r="722" spans="1:40">
      <c r="A722" s="15"/>
      <c r="B722" s="15"/>
      <c r="C722" s="26"/>
      <c r="D722" s="15"/>
      <c r="E722" s="15"/>
      <c r="F722" s="15"/>
      <c r="G722" s="15"/>
      <c r="H722" s="15"/>
      <c r="I722" s="26"/>
      <c r="J722" s="15"/>
      <c r="K722" s="26"/>
      <c r="L722" s="15"/>
      <c r="M722" s="26"/>
      <c r="N722" s="26"/>
      <c r="O722" s="26"/>
      <c r="P722" s="26"/>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row>
    <row r="723" spans="1:40">
      <c r="A723" s="15"/>
      <c r="B723" s="15"/>
      <c r="C723" s="26"/>
      <c r="D723" s="15"/>
      <c r="E723" s="15"/>
      <c r="F723" s="15"/>
      <c r="G723" s="15"/>
      <c r="H723" s="15"/>
      <c r="I723" s="26"/>
      <c r="J723" s="15"/>
      <c r="K723" s="26"/>
      <c r="L723" s="15"/>
      <c r="M723" s="26"/>
      <c r="N723" s="26"/>
      <c r="O723" s="26"/>
      <c r="P723" s="26"/>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row>
    <row r="724" spans="1:40">
      <c r="A724" s="15"/>
      <c r="B724" s="15"/>
      <c r="C724" s="26"/>
      <c r="D724" s="15"/>
      <c r="E724" s="15"/>
      <c r="F724" s="15"/>
      <c r="G724" s="15"/>
      <c r="H724" s="15"/>
      <c r="I724" s="26"/>
      <c r="J724" s="15"/>
      <c r="K724" s="26"/>
      <c r="L724" s="15"/>
      <c r="M724" s="26"/>
      <c r="N724" s="26"/>
      <c r="O724" s="26"/>
      <c r="P724" s="26"/>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row>
    <row r="725" spans="1:40">
      <c r="A725" s="15"/>
      <c r="B725" s="15"/>
      <c r="C725" s="26"/>
      <c r="D725" s="15"/>
      <c r="E725" s="15"/>
      <c r="F725" s="15"/>
      <c r="G725" s="15"/>
      <c r="H725" s="15"/>
      <c r="I725" s="26"/>
      <c r="J725" s="15"/>
      <c r="K725" s="26"/>
      <c r="L725" s="15"/>
      <c r="M725" s="26"/>
      <c r="N725" s="26"/>
      <c r="O725" s="26"/>
      <c r="P725" s="26"/>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row>
    <row r="726" spans="1:40">
      <c r="A726" s="15"/>
      <c r="B726" s="15"/>
      <c r="C726" s="26"/>
      <c r="D726" s="15"/>
      <c r="E726" s="15"/>
      <c r="F726" s="15"/>
      <c r="G726" s="15"/>
      <c r="H726" s="15"/>
      <c r="I726" s="26"/>
      <c r="J726" s="15"/>
      <c r="K726" s="26"/>
      <c r="L726" s="15"/>
      <c r="M726" s="26"/>
      <c r="N726" s="26"/>
      <c r="O726" s="26"/>
      <c r="P726" s="26"/>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row>
    <row r="727" spans="1:40">
      <c r="A727" s="15"/>
      <c r="B727" s="15"/>
      <c r="C727" s="26"/>
      <c r="D727" s="15"/>
      <c r="E727" s="15"/>
      <c r="F727" s="15"/>
      <c r="G727" s="15"/>
      <c r="H727" s="15"/>
      <c r="I727" s="26"/>
      <c r="J727" s="15"/>
      <c r="K727" s="26"/>
      <c r="L727" s="15"/>
      <c r="M727" s="26"/>
      <c r="N727" s="26"/>
      <c r="O727" s="26"/>
      <c r="P727" s="26"/>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row>
    <row r="728" spans="1:40">
      <c r="A728" s="15"/>
      <c r="B728" s="15"/>
      <c r="C728" s="26"/>
      <c r="D728" s="15"/>
      <c r="E728" s="15"/>
      <c r="F728" s="15"/>
      <c r="G728" s="15"/>
      <c r="H728" s="15"/>
      <c r="I728" s="26"/>
      <c r="J728" s="15"/>
      <c r="K728" s="26"/>
      <c r="L728" s="15"/>
      <c r="M728" s="26"/>
      <c r="N728" s="26"/>
      <c r="O728" s="26"/>
      <c r="P728" s="26"/>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row>
    <row r="729" spans="1:40">
      <c r="A729" s="15"/>
      <c r="B729" s="15"/>
      <c r="C729" s="26"/>
      <c r="D729" s="15"/>
      <c r="E729" s="15"/>
      <c r="F729" s="15"/>
      <c r="G729" s="15"/>
      <c r="H729" s="15"/>
      <c r="I729" s="26"/>
      <c r="J729" s="15"/>
      <c r="K729" s="26"/>
      <c r="L729" s="15"/>
      <c r="M729" s="26"/>
      <c r="N729" s="26"/>
      <c r="O729" s="26"/>
      <c r="P729" s="26"/>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row>
    <row r="730" spans="1:40">
      <c r="A730" s="15"/>
      <c r="B730" s="15"/>
      <c r="C730" s="26"/>
      <c r="D730" s="15"/>
      <c r="E730" s="15"/>
      <c r="F730" s="15"/>
      <c r="G730" s="15"/>
      <c r="H730" s="15"/>
      <c r="I730" s="26"/>
      <c r="J730" s="15"/>
      <c r="K730" s="26"/>
      <c r="L730" s="15"/>
      <c r="M730" s="26"/>
      <c r="N730" s="26"/>
      <c r="O730" s="26"/>
      <c r="P730" s="26"/>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row>
    <row r="731" spans="1:40">
      <c r="A731" s="15"/>
      <c r="B731" s="15"/>
      <c r="C731" s="26"/>
      <c r="D731" s="15"/>
      <c r="E731" s="15"/>
      <c r="F731" s="15"/>
      <c r="G731" s="15"/>
      <c r="H731" s="15"/>
      <c r="I731" s="26"/>
      <c r="J731" s="15"/>
      <c r="K731" s="26"/>
      <c r="L731" s="15"/>
      <c r="M731" s="26"/>
      <c r="N731" s="26"/>
      <c r="O731" s="26"/>
      <c r="P731" s="26"/>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row>
    <row r="732" spans="1:40">
      <c r="A732" s="15"/>
      <c r="B732" s="15"/>
      <c r="C732" s="26"/>
      <c r="D732" s="15"/>
      <c r="E732" s="15"/>
      <c r="F732" s="15"/>
      <c r="G732" s="15"/>
      <c r="H732" s="15"/>
      <c r="I732" s="26"/>
      <c r="J732" s="15"/>
      <c r="K732" s="26"/>
      <c r="L732" s="15"/>
      <c r="M732" s="26"/>
      <c r="N732" s="26"/>
      <c r="O732" s="26"/>
      <c r="P732" s="26"/>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row>
    <row r="733" spans="1:40">
      <c r="A733" s="15"/>
      <c r="B733" s="15"/>
      <c r="C733" s="26"/>
      <c r="D733" s="15"/>
      <c r="E733" s="15"/>
      <c r="F733" s="15"/>
      <c r="G733" s="15"/>
      <c r="H733" s="15"/>
      <c r="I733" s="26"/>
      <c r="J733" s="15"/>
      <c r="K733" s="26"/>
      <c r="L733" s="15"/>
      <c r="M733" s="26"/>
      <c r="N733" s="26"/>
      <c r="O733" s="26"/>
      <c r="P733" s="26"/>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row>
    <row r="734" spans="1:40">
      <c r="A734" s="15"/>
      <c r="B734" s="15"/>
      <c r="C734" s="26"/>
      <c r="D734" s="15"/>
      <c r="E734" s="15"/>
      <c r="F734" s="15"/>
      <c r="G734" s="15"/>
      <c r="H734" s="15"/>
      <c r="I734" s="26"/>
      <c r="J734" s="15"/>
      <c r="K734" s="26"/>
      <c r="L734" s="15"/>
      <c r="M734" s="26"/>
      <c r="N734" s="26"/>
      <c r="O734" s="26"/>
      <c r="P734" s="26"/>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row>
    <row r="735" spans="1:40">
      <c r="A735" s="15"/>
      <c r="B735" s="15"/>
      <c r="C735" s="26"/>
      <c r="D735" s="15"/>
      <c r="E735" s="15"/>
      <c r="F735" s="15"/>
      <c r="G735" s="15"/>
      <c r="H735" s="15"/>
      <c r="I735" s="26"/>
      <c r="J735" s="15"/>
      <c r="K735" s="26"/>
      <c r="L735" s="15"/>
      <c r="M735" s="26"/>
      <c r="N735" s="26"/>
      <c r="O735" s="26"/>
      <c r="P735" s="26"/>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row>
    <row r="736" spans="1:40">
      <c r="A736" s="15"/>
      <c r="B736" s="15"/>
      <c r="C736" s="26"/>
      <c r="D736" s="15"/>
      <c r="E736" s="15"/>
      <c r="F736" s="15"/>
      <c r="G736" s="15"/>
      <c r="H736" s="15"/>
      <c r="I736" s="26"/>
      <c r="J736" s="15"/>
      <c r="K736" s="26"/>
      <c r="L736" s="15"/>
      <c r="M736" s="26"/>
      <c r="N736" s="26"/>
      <c r="O736" s="26"/>
      <c r="P736" s="26"/>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row>
    <row r="737" spans="1:40">
      <c r="A737" s="15"/>
      <c r="B737" s="15"/>
      <c r="C737" s="26"/>
      <c r="D737" s="15"/>
      <c r="E737" s="15"/>
      <c r="F737" s="15"/>
      <c r="G737" s="15"/>
      <c r="H737" s="15"/>
      <c r="I737" s="26"/>
      <c r="J737" s="15"/>
      <c r="K737" s="26"/>
      <c r="L737" s="15"/>
      <c r="M737" s="26"/>
      <c r="N737" s="26"/>
      <c r="O737" s="26"/>
      <c r="P737" s="26"/>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row>
    <row r="738" spans="1:40">
      <c r="A738" s="15"/>
      <c r="B738" s="15"/>
      <c r="C738" s="26"/>
      <c r="D738" s="15"/>
      <c r="E738" s="15"/>
      <c r="F738" s="15"/>
      <c r="G738" s="15"/>
      <c r="H738" s="15"/>
      <c r="I738" s="26"/>
      <c r="J738" s="15"/>
      <c r="K738" s="26"/>
      <c r="L738" s="15"/>
      <c r="M738" s="26"/>
      <c r="N738" s="26"/>
      <c r="O738" s="26"/>
      <c r="P738" s="26"/>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row>
    <row r="739" spans="1:40">
      <c r="A739" s="15"/>
      <c r="B739" s="15"/>
      <c r="C739" s="26"/>
      <c r="D739" s="15"/>
      <c r="E739" s="15"/>
      <c r="F739" s="15"/>
      <c r="G739" s="15"/>
      <c r="H739" s="15"/>
      <c r="I739" s="26"/>
      <c r="J739" s="15"/>
      <c r="K739" s="26"/>
      <c r="L739" s="15"/>
      <c r="M739" s="26"/>
      <c r="N739" s="26"/>
      <c r="O739" s="26"/>
      <c r="P739" s="26"/>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row>
    <row r="740" spans="1:40">
      <c r="A740" s="15"/>
      <c r="B740" s="15"/>
      <c r="C740" s="26"/>
      <c r="D740" s="15"/>
      <c r="E740" s="15"/>
      <c r="F740" s="15"/>
      <c r="G740" s="15"/>
      <c r="H740" s="15"/>
      <c r="I740" s="26"/>
      <c r="J740" s="15"/>
      <c r="K740" s="26"/>
      <c r="L740" s="15"/>
      <c r="M740" s="26"/>
      <c r="N740" s="26"/>
      <c r="O740" s="26"/>
      <c r="P740" s="26"/>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row>
    <row r="741" spans="1:40">
      <c r="A741" s="15"/>
      <c r="B741" s="15"/>
      <c r="C741" s="26"/>
      <c r="D741" s="15"/>
      <c r="E741" s="15"/>
      <c r="F741" s="15"/>
      <c r="G741" s="15"/>
      <c r="H741" s="15"/>
      <c r="I741" s="26"/>
      <c r="J741" s="15"/>
      <c r="K741" s="26"/>
      <c r="L741" s="15"/>
      <c r="M741" s="26"/>
      <c r="N741" s="26"/>
      <c r="O741" s="26"/>
      <c r="P741" s="26"/>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row>
    <row r="742" spans="1:40">
      <c r="A742" s="15"/>
      <c r="B742" s="15"/>
      <c r="C742" s="26"/>
      <c r="D742" s="15"/>
      <c r="E742" s="15"/>
      <c r="F742" s="15"/>
      <c r="G742" s="15"/>
      <c r="H742" s="15"/>
      <c r="I742" s="26"/>
      <c r="J742" s="15"/>
      <c r="K742" s="26"/>
      <c r="L742" s="15"/>
      <c r="M742" s="26"/>
      <c r="N742" s="26"/>
      <c r="O742" s="26"/>
      <c r="P742" s="26"/>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row>
    <row r="743" spans="1:40">
      <c r="A743" s="15"/>
      <c r="B743" s="15"/>
      <c r="C743" s="26"/>
      <c r="D743" s="15"/>
      <c r="E743" s="15"/>
      <c r="F743" s="15"/>
      <c r="G743" s="15"/>
      <c r="H743" s="15"/>
      <c r="I743" s="26"/>
      <c r="J743" s="15"/>
      <c r="K743" s="26"/>
      <c r="L743" s="15"/>
      <c r="M743" s="26"/>
      <c r="N743" s="26"/>
      <c r="O743" s="26"/>
      <c r="P743" s="26"/>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row>
    <row r="744" spans="1:40">
      <c r="A744" s="15"/>
      <c r="B744" s="15"/>
      <c r="C744" s="26"/>
      <c r="D744" s="15"/>
      <c r="E744" s="15"/>
      <c r="F744" s="15"/>
      <c r="G744" s="15"/>
      <c r="H744" s="15"/>
      <c r="I744" s="26"/>
      <c r="J744" s="15"/>
      <c r="K744" s="26"/>
      <c r="L744" s="15"/>
      <c r="M744" s="26"/>
      <c r="N744" s="26"/>
      <c r="O744" s="26"/>
      <c r="P744" s="26"/>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row>
    <row r="745" spans="1:40">
      <c r="A745" s="15"/>
      <c r="B745" s="15"/>
      <c r="C745" s="26"/>
      <c r="D745" s="15"/>
      <c r="E745" s="15"/>
      <c r="F745" s="15"/>
      <c r="G745" s="15"/>
      <c r="H745" s="15"/>
      <c r="I745" s="26"/>
      <c r="J745" s="15"/>
      <c r="K745" s="26"/>
      <c r="L745" s="15"/>
      <c r="M745" s="26"/>
      <c r="N745" s="26"/>
      <c r="O745" s="26"/>
      <c r="P745" s="26"/>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row>
    <row r="746" spans="1:40">
      <c r="A746" s="15"/>
      <c r="B746" s="15"/>
      <c r="C746" s="26"/>
      <c r="D746" s="15"/>
      <c r="E746" s="15"/>
      <c r="F746" s="15"/>
      <c r="G746" s="15"/>
      <c r="H746" s="15"/>
      <c r="I746" s="26"/>
      <c r="J746" s="15"/>
      <c r="K746" s="26"/>
      <c r="L746" s="15"/>
      <c r="M746" s="26"/>
      <c r="N746" s="26"/>
      <c r="O746" s="26"/>
      <c r="P746" s="26"/>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row>
    <row r="747" spans="1:40">
      <c r="A747" s="15"/>
      <c r="B747" s="15"/>
      <c r="C747" s="26"/>
      <c r="D747" s="15"/>
      <c r="E747" s="15"/>
      <c r="F747" s="15"/>
      <c r="G747" s="15"/>
      <c r="H747" s="15"/>
      <c r="I747" s="26"/>
      <c r="J747" s="15"/>
      <c r="K747" s="26"/>
      <c r="L747" s="15"/>
      <c r="M747" s="26"/>
      <c r="N747" s="26"/>
      <c r="O747" s="26"/>
      <c r="P747" s="26"/>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row>
    <row r="748" spans="1:40">
      <c r="A748" s="15"/>
      <c r="B748" s="15"/>
      <c r="C748" s="26"/>
      <c r="D748" s="15"/>
      <c r="E748" s="15"/>
      <c r="F748" s="15"/>
      <c r="G748" s="15"/>
      <c r="H748" s="15"/>
      <c r="I748" s="26"/>
      <c r="J748" s="15"/>
      <c r="K748" s="26"/>
      <c r="L748" s="15"/>
      <c r="M748" s="26"/>
      <c r="N748" s="26"/>
      <c r="O748" s="26"/>
      <c r="P748" s="26"/>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row>
    <row r="749" spans="1:40">
      <c r="A749" s="15"/>
      <c r="B749" s="15"/>
      <c r="C749" s="26"/>
      <c r="D749" s="15"/>
      <c r="E749" s="15"/>
      <c r="F749" s="15"/>
      <c r="G749" s="15"/>
      <c r="H749" s="15"/>
      <c r="I749" s="26"/>
      <c r="J749" s="15"/>
      <c r="K749" s="26"/>
      <c r="L749" s="15"/>
      <c r="M749" s="26"/>
      <c r="N749" s="26"/>
      <c r="O749" s="26"/>
      <c r="P749" s="26"/>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row>
    <row r="750" spans="1:40">
      <c r="A750" s="15"/>
      <c r="B750" s="15"/>
      <c r="C750" s="26"/>
      <c r="D750" s="15"/>
      <c r="E750" s="15"/>
      <c r="F750" s="15"/>
      <c r="G750" s="15"/>
      <c r="H750" s="15"/>
      <c r="I750" s="26"/>
      <c r="J750" s="15"/>
      <c r="K750" s="26"/>
      <c r="L750" s="15"/>
      <c r="M750" s="26"/>
      <c r="N750" s="26"/>
      <c r="O750" s="26"/>
      <c r="P750" s="26"/>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row>
    <row r="751" spans="1:40">
      <c r="A751" s="15"/>
      <c r="B751" s="15"/>
      <c r="C751" s="26"/>
      <c r="D751" s="15"/>
      <c r="E751" s="15"/>
      <c r="F751" s="15"/>
      <c r="G751" s="15"/>
      <c r="H751" s="15"/>
      <c r="I751" s="26"/>
      <c r="J751" s="15"/>
      <c r="K751" s="26"/>
      <c r="L751" s="15"/>
      <c r="M751" s="26"/>
      <c r="N751" s="26"/>
      <c r="O751" s="26"/>
      <c r="P751" s="26"/>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row>
    <row r="752" spans="1:40">
      <c r="A752" s="15"/>
      <c r="B752" s="15"/>
      <c r="C752" s="26"/>
      <c r="D752" s="15"/>
      <c r="E752" s="15"/>
      <c r="F752" s="15"/>
      <c r="G752" s="15"/>
      <c r="H752" s="15"/>
      <c r="I752" s="26"/>
      <c r="J752" s="15"/>
      <c r="K752" s="26"/>
      <c r="L752" s="15"/>
      <c r="M752" s="26"/>
      <c r="N752" s="26"/>
      <c r="O752" s="26"/>
      <c r="P752" s="26"/>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row>
    <row r="753" spans="1:40">
      <c r="A753" s="15"/>
      <c r="B753" s="15"/>
      <c r="C753" s="26"/>
      <c r="D753" s="15"/>
      <c r="E753" s="15"/>
      <c r="F753" s="15"/>
      <c r="G753" s="15"/>
      <c r="H753" s="15"/>
      <c r="I753" s="26"/>
      <c r="J753" s="15"/>
      <c r="K753" s="26"/>
      <c r="L753" s="15"/>
      <c r="M753" s="26"/>
      <c r="N753" s="26"/>
      <c r="O753" s="26"/>
      <c r="P753" s="26"/>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row>
    <row r="754" spans="1:40">
      <c r="A754" s="15"/>
      <c r="B754" s="15"/>
      <c r="C754" s="26"/>
      <c r="D754" s="15"/>
      <c r="E754" s="15"/>
      <c r="F754" s="15"/>
      <c r="G754" s="15"/>
      <c r="H754" s="15"/>
      <c r="I754" s="26"/>
      <c r="J754" s="15"/>
      <c r="K754" s="26"/>
      <c r="L754" s="15"/>
      <c r="M754" s="26"/>
      <c r="N754" s="26"/>
      <c r="O754" s="26"/>
      <c r="P754" s="26"/>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row>
    <row r="755" spans="1:40">
      <c r="A755" s="15"/>
      <c r="B755" s="15"/>
      <c r="C755" s="26"/>
      <c r="D755" s="15"/>
      <c r="E755" s="15"/>
      <c r="F755" s="15"/>
      <c r="G755" s="15"/>
      <c r="H755" s="15"/>
      <c r="I755" s="26"/>
      <c r="J755" s="15"/>
      <c r="K755" s="26"/>
      <c r="L755" s="15"/>
      <c r="M755" s="26"/>
      <c r="N755" s="26"/>
      <c r="O755" s="26"/>
      <c r="P755" s="26"/>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row>
    <row r="756" spans="1:40">
      <c r="A756" s="15"/>
      <c r="B756" s="15"/>
      <c r="C756" s="26"/>
      <c r="D756" s="15"/>
      <c r="E756" s="15"/>
      <c r="F756" s="15"/>
      <c r="G756" s="15"/>
      <c r="H756" s="15"/>
      <c r="I756" s="26"/>
      <c r="J756" s="15"/>
      <c r="K756" s="26"/>
      <c r="L756" s="15"/>
      <c r="M756" s="26"/>
      <c r="N756" s="26"/>
      <c r="O756" s="26"/>
      <c r="P756" s="26"/>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row>
    <row r="757" spans="1:40">
      <c r="A757" s="15"/>
      <c r="B757" s="15"/>
      <c r="C757" s="26"/>
      <c r="D757" s="15"/>
      <c r="E757" s="15"/>
      <c r="F757" s="15"/>
      <c r="G757" s="15"/>
      <c r="H757" s="15"/>
      <c r="I757" s="26"/>
      <c r="J757" s="15"/>
      <c r="K757" s="26"/>
      <c r="L757" s="15"/>
      <c r="M757" s="26"/>
      <c r="N757" s="26"/>
      <c r="O757" s="26"/>
      <c r="P757" s="26"/>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row>
    <row r="758" spans="1:40">
      <c r="A758" s="15"/>
      <c r="B758" s="15"/>
      <c r="C758" s="26"/>
      <c r="D758" s="15"/>
      <c r="E758" s="15"/>
      <c r="F758" s="15"/>
      <c r="G758" s="15"/>
      <c r="H758" s="15"/>
      <c r="I758" s="26"/>
      <c r="J758" s="15"/>
      <c r="K758" s="26"/>
      <c r="L758" s="15"/>
      <c r="M758" s="26"/>
      <c r="N758" s="26"/>
      <c r="O758" s="26"/>
      <c r="P758" s="26"/>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row>
    <row r="759" spans="1:40">
      <c r="A759" s="15"/>
      <c r="B759" s="15"/>
      <c r="C759" s="26"/>
      <c r="D759" s="15"/>
      <c r="E759" s="15"/>
      <c r="F759" s="15"/>
      <c r="G759" s="15"/>
      <c r="H759" s="15"/>
      <c r="I759" s="26"/>
      <c r="J759" s="15"/>
      <c r="K759" s="26"/>
      <c r="L759" s="15"/>
      <c r="M759" s="26"/>
      <c r="N759" s="26"/>
      <c r="O759" s="26"/>
      <c r="P759" s="26"/>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row>
    <row r="760" spans="1:40">
      <c r="A760" s="15"/>
      <c r="B760" s="15"/>
      <c r="C760" s="26"/>
      <c r="D760" s="15"/>
      <c r="E760" s="15"/>
      <c r="F760" s="15"/>
      <c r="G760" s="15"/>
      <c r="H760" s="15"/>
      <c r="I760" s="26"/>
      <c r="J760" s="15"/>
      <c r="K760" s="26"/>
      <c r="L760" s="15"/>
      <c r="M760" s="26"/>
      <c r="N760" s="26"/>
      <c r="O760" s="26"/>
      <c r="P760" s="26"/>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row>
    <row r="761" spans="1:40">
      <c r="A761" s="15"/>
      <c r="B761" s="15"/>
      <c r="C761" s="26"/>
      <c r="D761" s="15"/>
      <c r="E761" s="15"/>
      <c r="F761" s="15"/>
      <c r="G761" s="15"/>
      <c r="H761" s="15"/>
      <c r="I761" s="26"/>
      <c r="J761" s="15"/>
      <c r="K761" s="26"/>
      <c r="L761" s="15"/>
      <c r="M761" s="26"/>
      <c r="N761" s="26"/>
      <c r="O761" s="26"/>
      <c r="P761" s="26"/>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row>
    <row r="762" spans="1:40">
      <c r="A762" s="15"/>
      <c r="B762" s="15"/>
      <c r="C762" s="26"/>
      <c r="D762" s="15"/>
      <c r="E762" s="15"/>
      <c r="F762" s="15"/>
      <c r="G762" s="15"/>
      <c r="H762" s="15"/>
      <c r="I762" s="26"/>
      <c r="J762" s="15"/>
      <c r="K762" s="26"/>
      <c r="L762" s="15"/>
      <c r="M762" s="26"/>
      <c r="N762" s="26"/>
      <c r="O762" s="26"/>
      <c r="P762" s="26"/>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row>
    <row r="763" spans="1:40">
      <c r="A763" s="15"/>
      <c r="B763" s="15"/>
      <c r="C763" s="26"/>
      <c r="D763" s="15"/>
      <c r="E763" s="15"/>
      <c r="F763" s="15"/>
      <c r="G763" s="15"/>
      <c r="H763" s="15"/>
      <c r="I763" s="26"/>
      <c r="J763" s="15"/>
      <c r="K763" s="26"/>
      <c r="L763" s="15"/>
      <c r="M763" s="26"/>
      <c r="N763" s="26"/>
      <c r="O763" s="26"/>
      <c r="P763" s="26"/>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row>
    <row r="764" spans="1:40">
      <c r="A764" s="15"/>
      <c r="B764" s="15"/>
      <c r="C764" s="26"/>
      <c r="D764" s="15"/>
      <c r="E764" s="15"/>
      <c r="F764" s="15"/>
      <c r="G764" s="15"/>
      <c r="H764" s="15"/>
      <c r="I764" s="26"/>
      <c r="J764" s="15"/>
      <c r="K764" s="26"/>
      <c r="L764" s="15"/>
      <c r="M764" s="26"/>
      <c r="N764" s="26"/>
      <c r="O764" s="26"/>
      <c r="P764" s="26"/>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row>
    <row r="765" spans="1:40">
      <c r="A765" s="15"/>
      <c r="B765" s="15"/>
      <c r="C765" s="26"/>
      <c r="D765" s="15"/>
      <c r="E765" s="15"/>
      <c r="F765" s="15"/>
      <c r="G765" s="15"/>
      <c r="H765" s="15"/>
      <c r="I765" s="26"/>
      <c r="J765" s="15"/>
      <c r="K765" s="26"/>
      <c r="L765" s="15"/>
      <c r="M765" s="26"/>
      <c r="N765" s="26"/>
      <c r="O765" s="26"/>
      <c r="P765" s="26"/>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row>
    <row r="766" spans="1:40">
      <c r="A766" s="15"/>
      <c r="B766" s="15"/>
      <c r="C766" s="26"/>
      <c r="D766" s="15"/>
      <c r="E766" s="15"/>
      <c r="F766" s="15"/>
      <c r="G766" s="15"/>
      <c r="H766" s="15"/>
      <c r="I766" s="26"/>
      <c r="J766" s="15"/>
      <c r="K766" s="26"/>
      <c r="L766" s="15"/>
      <c r="M766" s="26"/>
      <c r="N766" s="26"/>
      <c r="O766" s="26"/>
      <c r="P766" s="26"/>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row>
    <row r="767" spans="1:40">
      <c r="A767" s="15"/>
      <c r="B767" s="15"/>
      <c r="C767" s="26"/>
      <c r="D767" s="15"/>
      <c r="E767" s="15"/>
      <c r="F767" s="15"/>
      <c r="G767" s="15"/>
      <c r="H767" s="15"/>
      <c r="I767" s="26"/>
      <c r="J767" s="15"/>
      <c r="K767" s="26"/>
      <c r="L767" s="15"/>
      <c r="M767" s="26"/>
      <c r="N767" s="26"/>
      <c r="O767" s="26"/>
      <c r="P767" s="26"/>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row>
    <row r="768" spans="1:40">
      <c r="A768" s="15"/>
      <c r="B768" s="15"/>
      <c r="C768" s="26"/>
      <c r="D768" s="15"/>
      <c r="E768" s="15"/>
      <c r="F768" s="15"/>
      <c r="G768" s="15"/>
      <c r="H768" s="15"/>
      <c r="I768" s="26"/>
      <c r="J768" s="15"/>
      <c r="K768" s="26"/>
      <c r="L768" s="15"/>
      <c r="M768" s="26"/>
      <c r="N768" s="26"/>
      <c r="O768" s="26"/>
      <c r="P768" s="26"/>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row>
    <row r="769" spans="1:40">
      <c r="A769" s="15"/>
      <c r="B769" s="15"/>
      <c r="C769" s="26"/>
      <c r="D769" s="15"/>
      <c r="E769" s="15"/>
      <c r="F769" s="15"/>
      <c r="G769" s="15"/>
      <c r="H769" s="15"/>
      <c r="I769" s="26"/>
      <c r="J769" s="15"/>
      <c r="K769" s="26"/>
      <c r="L769" s="15"/>
      <c r="M769" s="26"/>
      <c r="N769" s="26"/>
      <c r="O769" s="26"/>
      <c r="P769" s="26"/>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row>
    <row r="770" spans="1:40">
      <c r="A770" s="15"/>
      <c r="B770" s="15"/>
      <c r="C770" s="26"/>
      <c r="D770" s="15"/>
      <c r="E770" s="15"/>
      <c r="F770" s="15"/>
      <c r="G770" s="15"/>
      <c r="H770" s="15"/>
      <c r="I770" s="26"/>
      <c r="J770" s="15"/>
      <c r="K770" s="26"/>
      <c r="L770" s="15"/>
      <c r="M770" s="26"/>
      <c r="N770" s="26"/>
      <c r="O770" s="26"/>
      <c r="P770" s="26"/>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row>
    <row r="771" spans="1:40">
      <c r="A771" s="15"/>
      <c r="B771" s="15"/>
      <c r="C771" s="26"/>
      <c r="D771" s="15"/>
      <c r="E771" s="15"/>
      <c r="F771" s="15"/>
      <c r="G771" s="15"/>
      <c r="H771" s="15"/>
      <c r="I771" s="26"/>
      <c r="J771" s="15"/>
      <c r="K771" s="26"/>
      <c r="L771" s="15"/>
      <c r="M771" s="26"/>
      <c r="N771" s="26"/>
      <c r="O771" s="26"/>
      <c r="P771" s="26"/>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row>
    <row r="772" spans="1:40">
      <c r="A772" s="15"/>
      <c r="B772" s="15"/>
      <c r="C772" s="26"/>
      <c r="D772" s="15"/>
      <c r="E772" s="15"/>
      <c r="F772" s="15"/>
      <c r="G772" s="15"/>
      <c r="H772" s="15"/>
      <c r="I772" s="26"/>
      <c r="J772" s="15"/>
      <c r="K772" s="26"/>
      <c r="L772" s="15"/>
      <c r="M772" s="26"/>
      <c r="N772" s="26"/>
      <c r="O772" s="26"/>
      <c r="P772" s="26"/>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row>
    <row r="773" spans="1:40">
      <c r="A773" s="15"/>
      <c r="B773" s="15"/>
      <c r="C773" s="26"/>
      <c r="D773" s="15"/>
      <c r="E773" s="15"/>
      <c r="F773" s="15"/>
      <c r="G773" s="15"/>
      <c r="H773" s="15"/>
      <c r="I773" s="26"/>
      <c r="J773" s="15"/>
      <c r="K773" s="26"/>
      <c r="L773" s="15"/>
      <c r="M773" s="26"/>
      <c r="N773" s="26"/>
      <c r="O773" s="26"/>
      <c r="P773" s="26"/>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row>
    <row r="774" spans="1:40">
      <c r="A774" s="15"/>
      <c r="B774" s="15"/>
      <c r="C774" s="26"/>
      <c r="D774" s="15"/>
      <c r="E774" s="15"/>
      <c r="F774" s="15"/>
      <c r="G774" s="15"/>
      <c r="H774" s="15"/>
      <c r="I774" s="26"/>
      <c r="J774" s="15"/>
      <c r="K774" s="26"/>
      <c r="L774" s="15"/>
      <c r="M774" s="26"/>
      <c r="N774" s="26"/>
      <c r="O774" s="26"/>
      <c r="P774" s="26"/>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row>
    <row r="775" spans="1:40">
      <c r="A775" s="15"/>
      <c r="B775" s="15"/>
      <c r="C775" s="26"/>
      <c r="D775" s="15"/>
      <c r="E775" s="15"/>
      <c r="F775" s="15"/>
      <c r="G775" s="15"/>
      <c r="H775" s="15"/>
      <c r="I775" s="26"/>
      <c r="J775" s="15"/>
      <c r="K775" s="26"/>
      <c r="L775" s="15"/>
      <c r="M775" s="26"/>
      <c r="N775" s="26"/>
      <c r="O775" s="26"/>
      <c r="P775" s="26"/>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row>
    <row r="776" spans="1:40">
      <c r="A776" s="15"/>
      <c r="B776" s="15"/>
      <c r="C776" s="26"/>
      <c r="D776" s="15"/>
      <c r="E776" s="15"/>
      <c r="F776" s="15"/>
      <c r="G776" s="15"/>
      <c r="H776" s="15"/>
      <c r="I776" s="26"/>
      <c r="J776" s="15"/>
      <c r="K776" s="26"/>
      <c r="L776" s="15"/>
      <c r="M776" s="26"/>
      <c r="N776" s="26"/>
      <c r="O776" s="26"/>
      <c r="P776" s="26"/>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row>
    <row r="777" spans="1:40">
      <c r="A777" s="15"/>
      <c r="B777" s="15"/>
      <c r="C777" s="26"/>
      <c r="D777" s="15"/>
      <c r="E777" s="15"/>
      <c r="F777" s="15"/>
      <c r="G777" s="15"/>
      <c r="H777" s="15"/>
      <c r="I777" s="26"/>
      <c r="J777" s="15"/>
      <c r="K777" s="26"/>
      <c r="L777" s="15"/>
      <c r="M777" s="26"/>
      <c r="N777" s="26"/>
      <c r="O777" s="26"/>
      <c r="P777" s="26"/>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row>
    <row r="778" spans="1:40">
      <c r="A778" s="15"/>
      <c r="B778" s="15"/>
      <c r="C778" s="26"/>
      <c r="D778" s="15"/>
      <c r="E778" s="15"/>
      <c r="F778" s="15"/>
      <c r="G778" s="15"/>
      <c r="H778" s="15"/>
      <c r="I778" s="26"/>
      <c r="J778" s="15"/>
      <c r="K778" s="26"/>
      <c r="L778" s="15"/>
      <c r="M778" s="26"/>
      <c r="N778" s="26"/>
      <c r="O778" s="26"/>
      <c r="P778" s="26"/>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row>
    <row r="779" spans="1:40">
      <c r="A779" s="15"/>
      <c r="B779" s="15"/>
      <c r="C779" s="26"/>
      <c r="D779" s="15"/>
      <c r="E779" s="15"/>
      <c r="F779" s="15"/>
      <c r="G779" s="15"/>
      <c r="H779" s="15"/>
      <c r="I779" s="26"/>
      <c r="J779" s="15"/>
      <c r="K779" s="26"/>
      <c r="L779" s="15"/>
      <c r="M779" s="26"/>
      <c r="N779" s="26"/>
      <c r="O779" s="26"/>
      <c r="P779" s="26"/>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row>
    <row r="780" spans="1:40">
      <c r="A780" s="15"/>
      <c r="B780" s="15"/>
      <c r="C780" s="26"/>
      <c r="D780" s="15"/>
      <c r="E780" s="15"/>
      <c r="F780" s="15"/>
      <c r="G780" s="15"/>
      <c r="H780" s="15"/>
      <c r="I780" s="26"/>
      <c r="J780" s="15"/>
      <c r="K780" s="26"/>
      <c r="L780" s="15"/>
      <c r="M780" s="26"/>
      <c r="N780" s="26"/>
      <c r="O780" s="26"/>
      <c r="P780" s="26"/>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row>
    <row r="781" spans="1:40">
      <c r="A781" s="15"/>
      <c r="B781" s="15"/>
      <c r="C781" s="26"/>
      <c r="D781" s="15"/>
      <c r="E781" s="15"/>
      <c r="F781" s="15"/>
      <c r="G781" s="15"/>
      <c r="H781" s="15"/>
      <c r="I781" s="26"/>
      <c r="J781" s="15"/>
      <c r="K781" s="26"/>
      <c r="L781" s="15"/>
      <c r="M781" s="26"/>
      <c r="N781" s="26"/>
      <c r="O781" s="26"/>
      <c r="P781" s="26"/>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row>
    <row r="782" spans="1:40">
      <c r="A782" s="15"/>
      <c r="B782" s="15"/>
      <c r="C782" s="26"/>
      <c r="D782" s="15"/>
      <c r="E782" s="15"/>
      <c r="F782" s="15"/>
      <c r="G782" s="15"/>
      <c r="H782" s="15"/>
      <c r="I782" s="26"/>
      <c r="J782" s="15"/>
      <c r="K782" s="26"/>
      <c r="L782" s="15"/>
      <c r="M782" s="26"/>
      <c r="N782" s="26"/>
      <c r="O782" s="26"/>
      <c r="P782" s="26"/>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row>
    <row r="783" spans="1:40">
      <c r="A783" s="15"/>
      <c r="B783" s="15"/>
      <c r="C783" s="26"/>
      <c r="D783" s="15"/>
      <c r="E783" s="15"/>
      <c r="F783" s="15"/>
      <c r="G783" s="15"/>
      <c r="H783" s="15"/>
      <c r="I783" s="26"/>
      <c r="J783" s="15"/>
      <c r="K783" s="26"/>
      <c r="L783" s="15"/>
      <c r="M783" s="26"/>
      <c r="N783" s="26"/>
      <c r="O783" s="26"/>
      <c r="P783" s="26"/>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row>
    <row r="784" spans="1:40">
      <c r="A784" s="15"/>
      <c r="B784" s="15"/>
      <c r="C784" s="26"/>
      <c r="D784" s="15"/>
      <c r="E784" s="15"/>
      <c r="F784" s="15"/>
      <c r="G784" s="15"/>
      <c r="H784" s="15"/>
      <c r="I784" s="26"/>
      <c r="J784" s="15"/>
      <c r="K784" s="26"/>
      <c r="L784" s="15"/>
      <c r="M784" s="26"/>
      <c r="N784" s="26"/>
      <c r="O784" s="26"/>
      <c r="P784" s="26"/>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row>
    <row r="785" spans="1:40">
      <c r="A785" s="15"/>
      <c r="B785" s="15"/>
      <c r="C785" s="26"/>
      <c r="D785" s="15"/>
      <c r="E785" s="15"/>
      <c r="F785" s="15"/>
      <c r="G785" s="15"/>
      <c r="H785" s="15"/>
      <c r="I785" s="26"/>
      <c r="J785" s="15"/>
      <c r="K785" s="26"/>
      <c r="L785" s="15"/>
      <c r="M785" s="26"/>
      <c r="N785" s="26"/>
      <c r="O785" s="26"/>
      <c r="P785" s="26"/>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row>
    <row r="786" spans="1:40">
      <c r="A786" s="15"/>
      <c r="B786" s="15"/>
      <c r="C786" s="26"/>
      <c r="D786" s="15"/>
      <c r="E786" s="15"/>
      <c r="F786" s="15"/>
      <c r="G786" s="15"/>
      <c r="H786" s="15"/>
      <c r="I786" s="26"/>
      <c r="J786" s="15"/>
      <c r="K786" s="26"/>
      <c r="L786" s="15"/>
      <c r="M786" s="26"/>
      <c r="N786" s="26"/>
      <c r="O786" s="26"/>
      <c r="P786" s="26"/>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row>
    <row r="787" spans="1:40">
      <c r="A787" s="15"/>
      <c r="B787" s="15"/>
      <c r="C787" s="26"/>
      <c r="D787" s="15"/>
      <c r="E787" s="15"/>
      <c r="F787" s="15"/>
      <c r="G787" s="15"/>
      <c r="H787" s="15"/>
      <c r="I787" s="26"/>
      <c r="J787" s="15"/>
      <c r="K787" s="26"/>
      <c r="L787" s="15"/>
      <c r="M787" s="26"/>
      <c r="N787" s="26"/>
      <c r="O787" s="26"/>
      <c r="P787" s="26"/>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row>
    <row r="788" spans="1:40">
      <c r="A788" s="15"/>
      <c r="B788" s="15"/>
      <c r="C788" s="26"/>
      <c r="D788" s="15"/>
      <c r="E788" s="15"/>
      <c r="F788" s="15"/>
      <c r="G788" s="15"/>
      <c r="H788" s="15"/>
      <c r="I788" s="26"/>
      <c r="J788" s="15"/>
      <c r="K788" s="26"/>
      <c r="L788" s="15"/>
      <c r="M788" s="26"/>
      <c r="N788" s="26"/>
      <c r="O788" s="26"/>
      <c r="P788" s="26"/>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row>
    <row r="789" spans="1:40">
      <c r="A789" s="15"/>
      <c r="B789" s="15"/>
      <c r="C789" s="26"/>
      <c r="D789" s="15"/>
      <c r="E789" s="15"/>
      <c r="F789" s="15"/>
      <c r="G789" s="15"/>
      <c r="H789" s="15"/>
      <c r="I789" s="26"/>
      <c r="J789" s="15"/>
      <c r="K789" s="26"/>
      <c r="L789" s="15"/>
      <c r="M789" s="26"/>
      <c r="N789" s="26"/>
      <c r="O789" s="26"/>
      <c r="P789" s="26"/>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row>
    <row r="790" spans="1:40">
      <c r="A790" s="15"/>
      <c r="B790" s="15"/>
      <c r="C790" s="26"/>
      <c r="D790" s="15"/>
      <c r="E790" s="15"/>
      <c r="F790" s="15"/>
      <c r="G790" s="15"/>
      <c r="H790" s="15"/>
      <c r="I790" s="26"/>
      <c r="J790" s="15"/>
      <c r="K790" s="26"/>
      <c r="L790" s="15"/>
      <c r="M790" s="26"/>
      <c r="N790" s="26"/>
      <c r="O790" s="26"/>
      <c r="P790" s="26"/>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row>
    <row r="791" spans="1:40">
      <c r="A791" s="15"/>
      <c r="B791" s="15"/>
      <c r="C791" s="26"/>
      <c r="D791" s="15"/>
      <c r="E791" s="15"/>
      <c r="F791" s="15"/>
      <c r="G791" s="15"/>
      <c r="H791" s="15"/>
      <c r="I791" s="26"/>
      <c r="J791" s="15"/>
      <c r="K791" s="26"/>
      <c r="L791" s="15"/>
      <c r="M791" s="26"/>
      <c r="N791" s="26"/>
      <c r="O791" s="26"/>
      <c r="P791" s="26"/>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row>
    <row r="792" spans="1:40">
      <c r="A792" s="15"/>
      <c r="B792" s="15"/>
      <c r="C792" s="26"/>
      <c r="D792" s="15"/>
      <c r="E792" s="15"/>
      <c r="F792" s="15"/>
      <c r="G792" s="15"/>
      <c r="H792" s="15"/>
      <c r="I792" s="26"/>
      <c r="J792" s="15"/>
      <c r="K792" s="26"/>
      <c r="L792" s="15"/>
      <c r="M792" s="26"/>
      <c r="N792" s="26"/>
      <c r="O792" s="26"/>
      <c r="P792" s="26"/>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row>
    <row r="793" spans="1:40">
      <c r="A793" s="15"/>
      <c r="B793" s="15"/>
      <c r="C793" s="26"/>
      <c r="D793" s="15"/>
      <c r="E793" s="15"/>
      <c r="F793" s="15"/>
      <c r="G793" s="15"/>
      <c r="H793" s="15"/>
      <c r="I793" s="26"/>
      <c r="J793" s="15"/>
      <c r="K793" s="26"/>
      <c r="L793" s="15"/>
      <c r="M793" s="26"/>
      <c r="N793" s="26"/>
      <c r="O793" s="26"/>
      <c r="P793" s="26"/>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row>
    <row r="794" spans="1:40">
      <c r="A794" s="15"/>
      <c r="B794" s="15"/>
      <c r="C794" s="26"/>
      <c r="D794" s="15"/>
      <c r="E794" s="15"/>
      <c r="F794" s="15"/>
      <c r="G794" s="15"/>
      <c r="H794" s="15"/>
      <c r="I794" s="26"/>
      <c r="J794" s="15"/>
      <c r="K794" s="26"/>
      <c r="L794" s="15"/>
      <c r="M794" s="26"/>
      <c r="N794" s="26"/>
      <c r="O794" s="26"/>
      <c r="P794" s="26"/>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row>
    <row r="795" spans="1:40">
      <c r="A795" s="15"/>
      <c r="B795" s="15"/>
      <c r="C795" s="26"/>
      <c r="D795" s="15"/>
      <c r="E795" s="15"/>
      <c r="F795" s="15"/>
      <c r="G795" s="15"/>
      <c r="H795" s="15"/>
      <c r="I795" s="26"/>
      <c r="J795" s="15"/>
      <c r="K795" s="26"/>
      <c r="L795" s="15"/>
      <c r="M795" s="26"/>
      <c r="N795" s="26"/>
      <c r="O795" s="26"/>
      <c r="P795" s="26"/>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row>
    <row r="796" spans="1:40">
      <c r="A796" s="15"/>
      <c r="B796" s="15"/>
      <c r="C796" s="26"/>
      <c r="D796" s="15"/>
      <c r="E796" s="15"/>
      <c r="F796" s="15"/>
      <c r="G796" s="15"/>
      <c r="H796" s="15"/>
      <c r="I796" s="26"/>
      <c r="J796" s="15"/>
      <c r="K796" s="26"/>
      <c r="L796" s="15"/>
      <c r="M796" s="26"/>
      <c r="N796" s="26"/>
      <c r="O796" s="26"/>
      <c r="P796" s="26"/>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row>
    <row r="797" spans="1:40">
      <c r="A797" s="15"/>
      <c r="B797" s="15"/>
      <c r="C797" s="26"/>
      <c r="D797" s="15"/>
      <c r="E797" s="15"/>
      <c r="F797" s="15"/>
      <c r="G797" s="15"/>
      <c r="H797" s="15"/>
      <c r="I797" s="26"/>
      <c r="J797" s="15"/>
      <c r="K797" s="26"/>
      <c r="L797" s="15"/>
      <c r="M797" s="26"/>
      <c r="N797" s="26"/>
      <c r="O797" s="26"/>
      <c r="P797" s="26"/>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row>
    <row r="798" spans="1:40">
      <c r="A798" s="15"/>
      <c r="B798" s="15"/>
      <c r="C798" s="26"/>
      <c r="D798" s="15"/>
      <c r="E798" s="15"/>
      <c r="F798" s="15"/>
      <c r="G798" s="15"/>
      <c r="H798" s="15"/>
      <c r="I798" s="26"/>
      <c r="J798" s="15"/>
      <c r="K798" s="26"/>
      <c r="L798" s="15"/>
      <c r="M798" s="26"/>
      <c r="N798" s="26"/>
      <c r="O798" s="26"/>
      <c r="P798" s="26"/>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row>
    <row r="799" spans="1:40">
      <c r="A799" s="15"/>
      <c r="B799" s="15"/>
      <c r="C799" s="26"/>
      <c r="D799" s="15"/>
      <c r="E799" s="15"/>
      <c r="F799" s="15"/>
      <c r="G799" s="15"/>
      <c r="H799" s="15"/>
      <c r="I799" s="26"/>
      <c r="J799" s="15"/>
      <c r="K799" s="26"/>
      <c r="L799" s="15"/>
      <c r="M799" s="26"/>
      <c r="N799" s="26"/>
      <c r="O799" s="26"/>
      <c r="P799" s="26"/>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row>
    <row r="800" spans="1:40">
      <c r="A800" s="15"/>
      <c r="B800" s="15"/>
      <c r="C800" s="26"/>
      <c r="D800" s="15"/>
      <c r="E800" s="15"/>
      <c r="F800" s="15"/>
      <c r="G800" s="15"/>
      <c r="H800" s="15"/>
      <c r="I800" s="26"/>
      <c r="J800" s="15"/>
      <c r="K800" s="26"/>
      <c r="L800" s="15"/>
      <c r="M800" s="26"/>
      <c r="N800" s="26"/>
      <c r="O800" s="26"/>
      <c r="P800" s="26"/>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row>
    <row r="801" spans="1:40">
      <c r="A801" s="15"/>
      <c r="B801" s="15"/>
      <c r="C801" s="26"/>
      <c r="D801" s="15"/>
      <c r="E801" s="15"/>
      <c r="F801" s="15"/>
      <c r="G801" s="15"/>
      <c r="H801" s="15"/>
      <c r="I801" s="26"/>
      <c r="J801" s="15"/>
      <c r="K801" s="26"/>
      <c r="L801" s="15"/>
      <c r="M801" s="26"/>
      <c r="N801" s="26"/>
      <c r="O801" s="26"/>
      <c r="P801" s="26"/>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row>
    <row r="802" spans="1:40">
      <c r="A802" s="15"/>
      <c r="B802" s="15"/>
      <c r="C802" s="26"/>
      <c r="D802" s="15"/>
      <c r="E802" s="15"/>
      <c r="F802" s="15"/>
      <c r="G802" s="15"/>
      <c r="H802" s="15"/>
      <c r="I802" s="26"/>
      <c r="J802" s="15"/>
      <c r="K802" s="26"/>
      <c r="L802" s="15"/>
      <c r="M802" s="26"/>
      <c r="N802" s="26"/>
      <c r="O802" s="26"/>
      <c r="P802" s="26"/>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row>
    <row r="803" spans="1:40">
      <c r="A803" s="15"/>
      <c r="B803" s="15"/>
      <c r="C803" s="26"/>
      <c r="D803" s="15"/>
      <c r="E803" s="15"/>
      <c r="F803" s="15"/>
      <c r="G803" s="15"/>
      <c r="H803" s="15"/>
      <c r="I803" s="26"/>
      <c r="J803" s="15"/>
      <c r="K803" s="26"/>
      <c r="L803" s="15"/>
      <c r="M803" s="26"/>
      <c r="N803" s="26"/>
      <c r="O803" s="26"/>
      <c r="P803" s="26"/>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row>
    <row r="804" spans="1:40">
      <c r="A804" s="15"/>
      <c r="B804" s="15"/>
      <c r="C804" s="26"/>
      <c r="D804" s="15"/>
      <c r="E804" s="15"/>
      <c r="F804" s="15"/>
      <c r="G804" s="15"/>
      <c r="H804" s="15"/>
      <c r="I804" s="26"/>
      <c r="J804" s="15"/>
      <c r="K804" s="26"/>
      <c r="L804" s="15"/>
      <c r="M804" s="26"/>
      <c r="N804" s="26"/>
      <c r="O804" s="26"/>
      <c r="P804" s="26"/>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row>
    <row r="805" spans="1:40">
      <c r="A805" s="15"/>
      <c r="B805" s="15"/>
      <c r="C805" s="26"/>
      <c r="D805" s="15"/>
      <c r="E805" s="15"/>
      <c r="F805" s="15"/>
      <c r="G805" s="15"/>
      <c r="H805" s="15"/>
      <c r="I805" s="26"/>
      <c r="J805" s="15"/>
      <c r="K805" s="26"/>
      <c r="L805" s="15"/>
      <c r="M805" s="26"/>
      <c r="N805" s="26"/>
      <c r="O805" s="26"/>
      <c r="P805" s="26"/>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row>
    <row r="806" spans="1:40">
      <c r="A806" s="15"/>
      <c r="B806" s="15"/>
      <c r="C806" s="26"/>
      <c r="D806" s="15"/>
      <c r="E806" s="15"/>
      <c r="F806" s="15"/>
      <c r="G806" s="15"/>
      <c r="H806" s="15"/>
      <c r="I806" s="26"/>
      <c r="J806" s="15"/>
      <c r="K806" s="26"/>
      <c r="L806" s="15"/>
      <c r="M806" s="26"/>
      <c r="N806" s="26"/>
      <c r="O806" s="26"/>
      <c r="P806" s="26"/>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row>
    <row r="807" spans="1:40">
      <c r="A807" s="15"/>
      <c r="B807" s="15"/>
      <c r="C807" s="26"/>
      <c r="D807" s="15"/>
      <c r="E807" s="15"/>
      <c r="F807" s="15"/>
      <c r="G807" s="15"/>
      <c r="H807" s="15"/>
      <c r="I807" s="26"/>
      <c r="J807" s="15"/>
      <c r="K807" s="26"/>
      <c r="L807" s="15"/>
      <c r="M807" s="26"/>
      <c r="N807" s="26"/>
      <c r="O807" s="26"/>
      <c r="P807" s="26"/>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row>
    <row r="808" spans="1:40">
      <c r="A808" s="15"/>
      <c r="B808" s="15"/>
      <c r="C808" s="26"/>
      <c r="D808" s="15"/>
      <c r="E808" s="15"/>
      <c r="F808" s="15"/>
      <c r="G808" s="15"/>
      <c r="H808" s="15"/>
      <c r="I808" s="26"/>
      <c r="J808" s="15"/>
      <c r="K808" s="26"/>
      <c r="L808" s="15"/>
      <c r="M808" s="26"/>
      <c r="N808" s="26"/>
      <c r="O808" s="26"/>
      <c r="P808" s="26"/>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row>
    <row r="809" spans="1:40">
      <c r="A809" s="15"/>
      <c r="B809" s="15"/>
      <c r="C809" s="26"/>
      <c r="D809" s="15"/>
      <c r="E809" s="15"/>
      <c r="F809" s="15"/>
      <c r="G809" s="15"/>
      <c r="H809" s="15"/>
      <c r="I809" s="26"/>
      <c r="J809" s="15"/>
      <c r="K809" s="26"/>
      <c r="L809" s="15"/>
      <c r="M809" s="26"/>
      <c r="N809" s="26"/>
      <c r="O809" s="26"/>
      <c r="P809" s="26"/>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row>
    <row r="810" spans="1:40">
      <c r="A810" s="15"/>
      <c r="B810" s="15"/>
      <c r="C810" s="26"/>
      <c r="D810" s="15"/>
      <c r="E810" s="15"/>
      <c r="F810" s="15"/>
      <c r="G810" s="15"/>
      <c r="H810" s="15"/>
      <c r="I810" s="26"/>
      <c r="J810" s="15"/>
      <c r="K810" s="26"/>
      <c r="L810" s="15"/>
      <c r="M810" s="26"/>
      <c r="N810" s="26"/>
      <c r="O810" s="26"/>
      <c r="P810" s="26"/>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row>
    <row r="811" spans="1:40">
      <c r="A811" s="15"/>
      <c r="B811" s="15"/>
      <c r="C811" s="26"/>
      <c r="D811" s="15"/>
      <c r="E811" s="15"/>
      <c r="F811" s="15"/>
      <c r="G811" s="15"/>
      <c r="H811" s="15"/>
      <c r="I811" s="26"/>
      <c r="J811" s="15"/>
      <c r="K811" s="26"/>
      <c r="L811" s="15"/>
      <c r="M811" s="26"/>
      <c r="N811" s="26"/>
      <c r="O811" s="26"/>
      <c r="P811" s="26"/>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row>
    <row r="812" spans="1:40">
      <c r="A812" s="15"/>
      <c r="B812" s="15"/>
      <c r="C812" s="26"/>
      <c r="D812" s="15"/>
      <c r="E812" s="15"/>
      <c r="F812" s="15"/>
      <c r="G812" s="15"/>
      <c r="H812" s="15"/>
      <c r="I812" s="26"/>
      <c r="J812" s="15"/>
      <c r="K812" s="26"/>
      <c r="L812" s="15"/>
      <c r="M812" s="26"/>
      <c r="N812" s="26"/>
      <c r="O812" s="26"/>
      <c r="P812" s="26"/>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row>
    <row r="813" spans="1:40">
      <c r="A813" s="15"/>
      <c r="B813" s="15"/>
      <c r="C813" s="26"/>
      <c r="D813" s="15"/>
      <c r="E813" s="15"/>
      <c r="F813" s="15"/>
      <c r="G813" s="15"/>
      <c r="H813" s="15"/>
      <c r="I813" s="26"/>
      <c r="J813" s="15"/>
      <c r="K813" s="26"/>
      <c r="L813" s="15"/>
      <c r="M813" s="26"/>
      <c r="N813" s="26"/>
      <c r="O813" s="26"/>
      <c r="P813" s="26"/>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row>
    <row r="814" spans="1:40">
      <c r="A814" s="15"/>
      <c r="B814" s="15"/>
      <c r="C814" s="26"/>
      <c r="D814" s="15"/>
      <c r="E814" s="15"/>
      <c r="F814" s="15"/>
      <c r="G814" s="15"/>
      <c r="H814" s="15"/>
      <c r="I814" s="26"/>
      <c r="J814" s="15"/>
      <c r="K814" s="26"/>
      <c r="L814" s="15"/>
      <c r="M814" s="26"/>
      <c r="N814" s="26"/>
      <c r="O814" s="26"/>
      <c r="P814" s="26"/>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row>
    <row r="815" spans="1:40">
      <c r="A815" s="15"/>
      <c r="B815" s="15"/>
      <c r="C815" s="26"/>
      <c r="D815" s="15"/>
      <c r="E815" s="15"/>
      <c r="F815" s="15"/>
      <c r="G815" s="15"/>
      <c r="H815" s="15"/>
      <c r="I815" s="26"/>
      <c r="J815" s="15"/>
      <c r="K815" s="26"/>
      <c r="L815" s="15"/>
      <c r="M815" s="26"/>
      <c r="N815" s="26"/>
      <c r="O815" s="26"/>
      <c r="P815" s="26"/>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row>
    <row r="816" spans="1:40">
      <c r="A816" s="15"/>
      <c r="B816" s="15"/>
      <c r="C816" s="26"/>
      <c r="D816" s="15"/>
      <c r="E816" s="15"/>
      <c r="F816" s="15"/>
      <c r="G816" s="15"/>
      <c r="H816" s="15"/>
      <c r="I816" s="26"/>
      <c r="J816" s="15"/>
      <c r="K816" s="26"/>
      <c r="L816" s="15"/>
      <c r="M816" s="26"/>
      <c r="N816" s="26"/>
      <c r="O816" s="26"/>
      <c r="P816" s="26"/>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row>
    <row r="817" spans="1:40">
      <c r="A817" s="15"/>
      <c r="B817" s="15"/>
      <c r="C817" s="26"/>
      <c r="D817" s="15"/>
      <c r="E817" s="15"/>
      <c r="F817" s="15"/>
      <c r="G817" s="15"/>
      <c r="H817" s="15"/>
      <c r="I817" s="26"/>
      <c r="J817" s="15"/>
      <c r="K817" s="26"/>
      <c r="L817" s="15"/>
      <c r="M817" s="26"/>
      <c r="N817" s="26"/>
      <c r="O817" s="26"/>
      <c r="P817" s="26"/>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row>
    <row r="818" spans="1:40">
      <c r="A818" s="15"/>
      <c r="B818" s="15"/>
      <c r="C818" s="26"/>
      <c r="D818" s="15"/>
      <c r="E818" s="15"/>
      <c r="F818" s="15"/>
      <c r="G818" s="15"/>
      <c r="H818" s="15"/>
      <c r="I818" s="26"/>
      <c r="J818" s="15"/>
      <c r="K818" s="26"/>
      <c r="L818" s="15"/>
      <c r="M818" s="26"/>
      <c r="N818" s="26"/>
      <c r="O818" s="26"/>
      <c r="P818" s="26"/>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row>
    <row r="819" spans="1:40">
      <c r="A819" s="15"/>
      <c r="B819" s="15"/>
      <c r="C819" s="26"/>
      <c r="D819" s="15"/>
      <c r="E819" s="15"/>
      <c r="F819" s="15"/>
      <c r="G819" s="15"/>
      <c r="H819" s="15"/>
      <c r="I819" s="26"/>
      <c r="J819" s="15"/>
      <c r="K819" s="26"/>
      <c r="L819" s="15"/>
      <c r="M819" s="26"/>
      <c r="N819" s="26"/>
      <c r="O819" s="26"/>
      <c r="P819" s="26"/>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row>
    <row r="820" spans="1:40">
      <c r="A820" s="15"/>
      <c r="B820" s="15"/>
      <c r="C820" s="26"/>
      <c r="D820" s="15"/>
      <c r="E820" s="15"/>
      <c r="F820" s="15"/>
      <c r="G820" s="15"/>
      <c r="H820" s="15"/>
      <c r="I820" s="26"/>
      <c r="J820" s="15"/>
      <c r="K820" s="26"/>
      <c r="L820" s="15"/>
      <c r="M820" s="26"/>
      <c r="N820" s="26"/>
      <c r="O820" s="26"/>
      <c r="P820" s="26"/>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row>
    <row r="821" spans="1:40">
      <c r="A821" s="15"/>
      <c r="B821" s="15"/>
      <c r="C821" s="26"/>
      <c r="D821" s="15"/>
      <c r="E821" s="15"/>
      <c r="F821" s="15"/>
      <c r="G821" s="15"/>
      <c r="H821" s="15"/>
      <c r="I821" s="26"/>
      <c r="J821" s="15"/>
      <c r="K821" s="26"/>
      <c r="L821" s="15"/>
      <c r="M821" s="26"/>
      <c r="N821" s="26"/>
      <c r="O821" s="26"/>
      <c r="P821" s="26"/>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row>
    <row r="822" spans="1:40">
      <c r="A822" s="15"/>
      <c r="B822" s="15"/>
      <c r="C822" s="26"/>
      <c r="D822" s="15"/>
      <c r="E822" s="15"/>
      <c r="F822" s="15"/>
      <c r="G822" s="15"/>
      <c r="H822" s="15"/>
      <c r="I822" s="26"/>
      <c r="J822" s="15"/>
      <c r="K822" s="26"/>
      <c r="L822" s="15"/>
      <c r="M822" s="26"/>
      <c r="N822" s="26"/>
      <c r="O822" s="26"/>
      <c r="P822" s="26"/>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row>
    <row r="823" spans="1:40">
      <c r="A823" s="15"/>
      <c r="B823" s="15"/>
      <c r="C823" s="26"/>
      <c r="D823" s="15"/>
      <c r="E823" s="15"/>
      <c r="F823" s="15"/>
      <c r="G823" s="15"/>
      <c r="H823" s="15"/>
      <c r="I823" s="26"/>
      <c r="J823" s="15"/>
      <c r="K823" s="26"/>
      <c r="L823" s="15"/>
      <c r="M823" s="26"/>
      <c r="N823" s="26"/>
      <c r="O823" s="26"/>
      <c r="P823" s="26"/>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row>
    <row r="824" spans="1:40">
      <c r="A824" s="15"/>
      <c r="B824" s="15"/>
      <c r="C824" s="26"/>
      <c r="D824" s="15"/>
      <c r="E824" s="15"/>
      <c r="F824" s="15"/>
      <c r="G824" s="15"/>
      <c r="H824" s="15"/>
      <c r="I824" s="26"/>
      <c r="J824" s="15"/>
      <c r="K824" s="26"/>
      <c r="L824" s="15"/>
      <c r="M824" s="26"/>
      <c r="N824" s="26"/>
      <c r="O824" s="26"/>
      <c r="P824" s="26"/>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row>
    <row r="825" spans="1:40">
      <c r="A825" s="15"/>
      <c r="B825" s="15"/>
      <c r="C825" s="26"/>
      <c r="D825" s="15"/>
      <c r="E825" s="15"/>
      <c r="F825" s="15"/>
      <c r="G825" s="15"/>
      <c r="H825" s="15"/>
      <c r="I825" s="26"/>
      <c r="J825" s="15"/>
      <c r="K825" s="26"/>
      <c r="L825" s="15"/>
      <c r="M825" s="26"/>
      <c r="N825" s="26"/>
      <c r="O825" s="26"/>
      <c r="P825" s="26"/>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row>
    <row r="826" spans="1:40">
      <c r="A826" s="15"/>
      <c r="B826" s="15"/>
      <c r="C826" s="26"/>
      <c r="D826" s="15"/>
      <c r="E826" s="15"/>
      <c r="F826" s="15"/>
      <c r="G826" s="15"/>
      <c r="H826" s="15"/>
      <c r="I826" s="26"/>
      <c r="J826" s="15"/>
      <c r="K826" s="26"/>
      <c r="L826" s="15"/>
      <c r="M826" s="26"/>
      <c r="N826" s="26"/>
      <c r="O826" s="26"/>
      <c r="P826" s="26"/>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row>
    <row r="827" spans="1:40">
      <c r="A827" s="15"/>
      <c r="B827" s="15"/>
      <c r="C827" s="26"/>
      <c r="D827" s="15"/>
      <c r="E827" s="15"/>
      <c r="F827" s="15"/>
      <c r="G827" s="15"/>
      <c r="H827" s="15"/>
      <c r="I827" s="26"/>
      <c r="J827" s="15"/>
      <c r="K827" s="26"/>
      <c r="L827" s="15"/>
      <c r="M827" s="26"/>
      <c r="N827" s="26"/>
      <c r="O827" s="26"/>
      <c r="P827" s="26"/>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row>
    <row r="828" spans="1:40">
      <c r="A828" s="15"/>
      <c r="B828" s="15"/>
      <c r="C828" s="26"/>
      <c r="D828" s="15"/>
      <c r="E828" s="15"/>
      <c r="F828" s="15"/>
      <c r="G828" s="15"/>
      <c r="H828" s="15"/>
      <c r="I828" s="26"/>
      <c r="J828" s="15"/>
      <c r="K828" s="26"/>
      <c r="L828" s="15"/>
      <c r="M828" s="26"/>
      <c r="N828" s="26"/>
      <c r="O828" s="26"/>
      <c r="P828" s="26"/>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row>
    <row r="829" spans="1:40">
      <c r="A829" s="15"/>
      <c r="B829" s="15"/>
      <c r="C829" s="26"/>
      <c r="D829" s="15"/>
      <c r="E829" s="15"/>
      <c r="F829" s="15"/>
      <c r="G829" s="15"/>
      <c r="H829" s="15"/>
      <c r="I829" s="26"/>
      <c r="J829" s="15"/>
      <c r="K829" s="26"/>
      <c r="L829" s="15"/>
      <c r="M829" s="26"/>
      <c r="N829" s="26"/>
      <c r="O829" s="26"/>
      <c r="P829" s="26"/>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row>
    <row r="830" spans="1:40">
      <c r="A830" s="15"/>
      <c r="B830" s="15"/>
      <c r="C830" s="26"/>
      <c r="D830" s="15"/>
      <c r="E830" s="15"/>
      <c r="F830" s="15"/>
      <c r="G830" s="15"/>
      <c r="H830" s="15"/>
      <c r="I830" s="26"/>
      <c r="J830" s="15"/>
      <c r="K830" s="26"/>
      <c r="L830" s="15"/>
      <c r="M830" s="26"/>
      <c r="N830" s="26"/>
      <c r="O830" s="26"/>
      <c r="P830" s="26"/>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row>
    <row r="831" spans="1:40">
      <c r="A831" s="15"/>
      <c r="B831" s="15"/>
      <c r="C831" s="26"/>
      <c r="D831" s="15"/>
      <c r="E831" s="15"/>
      <c r="F831" s="15"/>
      <c r="G831" s="15"/>
      <c r="H831" s="15"/>
      <c r="I831" s="26"/>
      <c r="J831" s="15"/>
      <c r="K831" s="26"/>
      <c r="L831" s="15"/>
      <c r="M831" s="26"/>
      <c r="N831" s="26"/>
      <c r="O831" s="26"/>
      <c r="P831" s="26"/>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row>
    <row r="832" spans="1:40">
      <c r="A832" s="15"/>
      <c r="B832" s="15"/>
      <c r="C832" s="26"/>
      <c r="D832" s="15"/>
      <c r="E832" s="15"/>
      <c r="F832" s="15"/>
      <c r="G832" s="15"/>
      <c r="H832" s="15"/>
      <c r="I832" s="26"/>
      <c r="J832" s="15"/>
      <c r="K832" s="26"/>
      <c r="L832" s="15"/>
      <c r="M832" s="26"/>
      <c r="N832" s="26"/>
      <c r="O832" s="26"/>
      <c r="P832" s="26"/>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row>
    <row r="833" spans="1:40">
      <c r="A833" s="15"/>
      <c r="B833" s="15"/>
      <c r="C833" s="26"/>
      <c r="D833" s="15"/>
      <c r="E833" s="15"/>
      <c r="F833" s="15"/>
      <c r="G833" s="15"/>
      <c r="H833" s="15"/>
      <c r="I833" s="26"/>
      <c r="J833" s="15"/>
      <c r="K833" s="26"/>
      <c r="L833" s="15"/>
      <c r="M833" s="26"/>
      <c r="N833" s="26"/>
      <c r="O833" s="26"/>
      <c r="P833" s="26"/>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row>
    <row r="834" spans="1:40">
      <c r="A834" s="15"/>
      <c r="B834" s="15"/>
      <c r="C834" s="26"/>
      <c r="D834" s="15"/>
      <c r="E834" s="15"/>
      <c r="F834" s="15"/>
      <c r="G834" s="15"/>
      <c r="H834" s="15"/>
      <c r="I834" s="26"/>
      <c r="J834" s="15"/>
      <c r="K834" s="26"/>
      <c r="L834" s="15"/>
      <c r="M834" s="26"/>
      <c r="N834" s="26"/>
      <c r="O834" s="26"/>
      <c r="P834" s="26"/>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row>
    <row r="835" spans="1:40">
      <c r="A835" s="15"/>
      <c r="B835" s="15"/>
      <c r="C835" s="26"/>
      <c r="D835" s="15"/>
      <c r="E835" s="15"/>
      <c r="F835" s="15"/>
      <c r="G835" s="15"/>
      <c r="H835" s="15"/>
      <c r="I835" s="26"/>
      <c r="J835" s="15"/>
      <c r="K835" s="26"/>
      <c r="L835" s="15"/>
      <c r="M835" s="26"/>
      <c r="N835" s="26"/>
      <c r="O835" s="26"/>
      <c r="P835" s="26"/>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row>
    <row r="836" spans="1:40">
      <c r="A836" s="15"/>
      <c r="B836" s="15"/>
      <c r="C836" s="26"/>
      <c r="D836" s="15"/>
      <c r="E836" s="15"/>
      <c r="F836" s="15"/>
      <c r="G836" s="15"/>
      <c r="H836" s="15"/>
      <c r="I836" s="26"/>
      <c r="J836" s="15"/>
      <c r="K836" s="26"/>
      <c r="L836" s="15"/>
      <c r="M836" s="26"/>
      <c r="N836" s="26"/>
      <c r="O836" s="26"/>
      <c r="P836" s="26"/>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row>
    <row r="837" spans="1:40">
      <c r="A837" s="15"/>
      <c r="B837" s="15"/>
      <c r="C837" s="26"/>
      <c r="D837" s="15"/>
      <c r="E837" s="15"/>
      <c r="F837" s="15"/>
      <c r="G837" s="15"/>
      <c r="H837" s="15"/>
      <c r="I837" s="26"/>
      <c r="J837" s="15"/>
      <c r="K837" s="26"/>
      <c r="L837" s="15"/>
      <c r="M837" s="26"/>
      <c r="N837" s="26"/>
      <c r="O837" s="26"/>
      <c r="P837" s="26"/>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row>
    <row r="838" spans="1:40">
      <c r="A838" s="15"/>
      <c r="B838" s="15"/>
      <c r="C838" s="26"/>
      <c r="D838" s="15"/>
      <c r="E838" s="15"/>
      <c r="F838" s="15"/>
      <c r="G838" s="15"/>
      <c r="H838" s="15"/>
      <c r="I838" s="26"/>
      <c r="J838" s="15"/>
      <c r="K838" s="26"/>
      <c r="L838" s="15"/>
      <c r="M838" s="26"/>
      <c r="N838" s="26"/>
      <c r="O838" s="26"/>
      <c r="P838" s="26"/>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row>
    <row r="839" spans="1:40">
      <c r="A839" s="15"/>
      <c r="B839" s="15"/>
      <c r="C839" s="26"/>
      <c r="D839" s="15"/>
      <c r="E839" s="15"/>
      <c r="F839" s="15"/>
      <c r="G839" s="15"/>
      <c r="H839" s="15"/>
      <c r="I839" s="26"/>
      <c r="J839" s="15"/>
      <c r="K839" s="26"/>
      <c r="L839" s="15"/>
      <c r="M839" s="26"/>
      <c r="N839" s="26"/>
      <c r="O839" s="26"/>
      <c r="P839" s="26"/>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row>
    <row r="840" spans="1:40">
      <c r="A840" s="15"/>
      <c r="B840" s="15"/>
      <c r="C840" s="26"/>
      <c r="D840" s="15"/>
      <c r="E840" s="15"/>
      <c r="F840" s="15"/>
      <c r="G840" s="15"/>
      <c r="H840" s="15"/>
      <c r="I840" s="26"/>
      <c r="J840" s="15"/>
      <c r="K840" s="26"/>
      <c r="L840" s="15"/>
      <c r="M840" s="26"/>
      <c r="N840" s="26"/>
      <c r="O840" s="26"/>
      <c r="P840" s="26"/>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row>
    <row r="841" spans="1:40">
      <c r="A841" s="15"/>
      <c r="B841" s="15"/>
      <c r="C841" s="26"/>
      <c r="D841" s="15"/>
      <c r="E841" s="15"/>
      <c r="F841" s="15"/>
      <c r="G841" s="15"/>
      <c r="H841" s="15"/>
      <c r="I841" s="26"/>
      <c r="J841" s="15"/>
      <c r="K841" s="26"/>
      <c r="L841" s="15"/>
      <c r="M841" s="26"/>
      <c r="N841" s="26"/>
      <c r="O841" s="26"/>
      <c r="P841" s="26"/>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row>
    <row r="842" spans="1:40">
      <c r="A842" s="15"/>
      <c r="B842" s="15"/>
      <c r="C842" s="26"/>
      <c r="D842" s="15"/>
      <c r="E842" s="15"/>
      <c r="F842" s="15"/>
      <c r="G842" s="15"/>
      <c r="H842" s="15"/>
      <c r="I842" s="26"/>
      <c r="J842" s="15"/>
      <c r="K842" s="26"/>
      <c r="L842" s="15"/>
      <c r="M842" s="26"/>
      <c r="N842" s="26"/>
      <c r="O842" s="26"/>
      <c r="P842" s="26"/>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row>
    <row r="843" spans="1:40">
      <c r="A843" s="15"/>
      <c r="B843" s="15"/>
      <c r="C843" s="26"/>
      <c r="D843" s="15"/>
      <c r="E843" s="15"/>
      <c r="F843" s="15"/>
      <c r="G843" s="15"/>
      <c r="H843" s="15"/>
      <c r="I843" s="26"/>
      <c r="J843" s="15"/>
      <c r="K843" s="26"/>
      <c r="L843" s="15"/>
      <c r="M843" s="26"/>
      <c r="N843" s="26"/>
      <c r="O843" s="26"/>
      <c r="P843" s="26"/>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row>
    <row r="844" spans="1:40">
      <c r="A844" s="15"/>
      <c r="B844" s="15"/>
      <c r="C844" s="26"/>
      <c r="D844" s="15"/>
      <c r="E844" s="15"/>
      <c r="F844" s="15"/>
      <c r="G844" s="15"/>
      <c r="H844" s="15"/>
      <c r="I844" s="26"/>
      <c r="J844" s="15"/>
      <c r="K844" s="26"/>
      <c r="L844" s="15"/>
      <c r="M844" s="26"/>
      <c r="N844" s="26"/>
      <c r="O844" s="26"/>
      <c r="P844" s="26"/>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row>
    <row r="845" spans="1:40">
      <c r="A845" s="15"/>
      <c r="B845" s="15"/>
      <c r="C845" s="26"/>
      <c r="D845" s="15"/>
      <c r="E845" s="15"/>
      <c r="F845" s="15"/>
      <c r="G845" s="15"/>
      <c r="H845" s="15"/>
      <c r="I845" s="26"/>
      <c r="J845" s="15"/>
      <c r="K845" s="26"/>
      <c r="L845" s="15"/>
      <c r="M845" s="26"/>
      <c r="N845" s="26"/>
      <c r="O845" s="26"/>
      <c r="P845" s="26"/>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row>
    <row r="846" spans="1:40">
      <c r="A846" s="15"/>
      <c r="B846" s="15"/>
      <c r="C846" s="26"/>
      <c r="D846" s="15"/>
      <c r="E846" s="15"/>
      <c r="F846" s="15"/>
      <c r="G846" s="15"/>
      <c r="H846" s="15"/>
      <c r="I846" s="26"/>
      <c r="J846" s="15"/>
      <c r="K846" s="26"/>
      <c r="L846" s="15"/>
      <c r="M846" s="26"/>
      <c r="N846" s="26"/>
      <c r="O846" s="26"/>
      <c r="P846" s="26"/>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row>
    <row r="847" spans="1:40">
      <c r="A847" s="15"/>
      <c r="B847" s="15"/>
      <c r="C847" s="26"/>
      <c r="D847" s="15"/>
      <c r="E847" s="15"/>
      <c r="F847" s="15"/>
      <c r="G847" s="15"/>
      <c r="H847" s="15"/>
      <c r="I847" s="26"/>
      <c r="J847" s="15"/>
      <c r="K847" s="26"/>
      <c r="L847" s="15"/>
      <c r="M847" s="26"/>
      <c r="N847" s="26"/>
      <c r="O847" s="26"/>
      <c r="P847" s="26"/>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row>
    <row r="848" spans="1:40">
      <c r="A848" s="15"/>
      <c r="B848" s="15"/>
      <c r="C848" s="26"/>
      <c r="D848" s="15"/>
      <c r="E848" s="15"/>
      <c r="F848" s="15"/>
      <c r="G848" s="15"/>
      <c r="H848" s="15"/>
      <c r="I848" s="26"/>
      <c r="J848" s="15"/>
      <c r="K848" s="26"/>
      <c r="L848" s="15"/>
      <c r="M848" s="26"/>
      <c r="N848" s="26"/>
      <c r="O848" s="26"/>
      <c r="P848" s="26"/>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row>
    <row r="849" spans="1:40">
      <c r="A849" s="15"/>
      <c r="B849" s="15"/>
      <c r="C849" s="26"/>
      <c r="D849" s="15"/>
      <c r="E849" s="15"/>
      <c r="F849" s="15"/>
      <c r="G849" s="15"/>
      <c r="H849" s="15"/>
      <c r="I849" s="26"/>
      <c r="J849" s="15"/>
      <c r="K849" s="26"/>
      <c r="L849" s="15"/>
      <c r="M849" s="26"/>
      <c r="N849" s="26"/>
      <c r="O849" s="26"/>
      <c r="P849" s="26"/>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row>
    <row r="850" spans="1:40">
      <c r="A850" s="15"/>
      <c r="B850" s="15"/>
      <c r="C850" s="26"/>
      <c r="D850" s="15"/>
      <c r="E850" s="15"/>
      <c r="F850" s="15"/>
      <c r="G850" s="15"/>
      <c r="H850" s="15"/>
      <c r="I850" s="26"/>
      <c r="J850" s="15"/>
      <c r="K850" s="26"/>
      <c r="L850" s="15"/>
      <c r="M850" s="26"/>
      <c r="N850" s="26"/>
      <c r="O850" s="26"/>
      <c r="P850" s="26"/>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row>
    <row r="851" spans="1:40">
      <c r="A851" s="15"/>
      <c r="B851" s="15"/>
      <c r="C851" s="26"/>
      <c r="D851" s="15"/>
      <c r="E851" s="15"/>
      <c r="F851" s="15"/>
      <c r="G851" s="15"/>
      <c r="H851" s="15"/>
      <c r="I851" s="26"/>
      <c r="J851" s="15"/>
      <c r="K851" s="26"/>
      <c r="L851" s="15"/>
      <c r="M851" s="26"/>
      <c r="N851" s="26"/>
      <c r="O851" s="26"/>
      <c r="P851" s="26"/>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row>
    <row r="852" spans="1:40">
      <c r="A852" s="15"/>
      <c r="B852" s="15"/>
      <c r="C852" s="26"/>
      <c r="D852" s="15"/>
      <c r="E852" s="15"/>
      <c r="F852" s="15"/>
      <c r="G852" s="15"/>
      <c r="H852" s="15"/>
      <c r="I852" s="26"/>
      <c r="J852" s="15"/>
      <c r="K852" s="26"/>
      <c r="L852" s="15"/>
      <c r="M852" s="26"/>
      <c r="N852" s="26"/>
      <c r="O852" s="26"/>
      <c r="P852" s="26"/>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row>
    <row r="853" spans="1:40">
      <c r="A853" s="15"/>
      <c r="B853" s="15"/>
      <c r="C853" s="26"/>
      <c r="D853" s="15"/>
      <c r="E853" s="15"/>
      <c r="F853" s="15"/>
      <c r="G853" s="15"/>
      <c r="H853" s="15"/>
      <c r="I853" s="26"/>
      <c r="J853" s="15"/>
      <c r="K853" s="26"/>
      <c r="L853" s="15"/>
      <c r="M853" s="26"/>
      <c r="N853" s="26"/>
      <c r="O853" s="26"/>
      <c r="P853" s="26"/>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row>
    <row r="854" spans="1:40">
      <c r="A854" s="15"/>
      <c r="B854" s="15"/>
      <c r="C854" s="26"/>
      <c r="D854" s="15"/>
      <c r="E854" s="15"/>
      <c r="F854" s="15"/>
      <c r="G854" s="15"/>
      <c r="H854" s="15"/>
      <c r="I854" s="26"/>
      <c r="J854" s="15"/>
      <c r="K854" s="26"/>
      <c r="L854" s="15"/>
      <c r="M854" s="26"/>
      <c r="N854" s="26"/>
      <c r="O854" s="26"/>
      <c r="P854" s="26"/>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row>
    <row r="855" spans="1:40">
      <c r="A855" s="15"/>
      <c r="B855" s="15"/>
      <c r="C855" s="26"/>
      <c r="D855" s="15"/>
      <c r="E855" s="15"/>
      <c r="F855" s="15"/>
      <c r="G855" s="15"/>
      <c r="H855" s="15"/>
      <c r="I855" s="26"/>
      <c r="J855" s="15"/>
      <c r="K855" s="26"/>
      <c r="L855" s="15"/>
      <c r="M855" s="26"/>
      <c r="N855" s="26"/>
      <c r="O855" s="26"/>
      <c r="P855" s="26"/>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row>
    <row r="856" spans="1:40">
      <c r="A856" s="15"/>
      <c r="B856" s="15"/>
      <c r="C856" s="26"/>
      <c r="D856" s="15"/>
      <c r="E856" s="15"/>
      <c r="F856" s="15"/>
      <c r="G856" s="15"/>
      <c r="H856" s="15"/>
      <c r="I856" s="26"/>
      <c r="J856" s="15"/>
      <c r="K856" s="26"/>
      <c r="L856" s="15"/>
      <c r="M856" s="26"/>
      <c r="N856" s="26"/>
      <c r="O856" s="26"/>
      <c r="P856" s="26"/>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row>
    <row r="857" spans="1:40">
      <c r="A857" s="15"/>
      <c r="B857" s="15"/>
      <c r="C857" s="26"/>
      <c r="D857" s="15"/>
      <c r="E857" s="15"/>
      <c r="F857" s="15"/>
      <c r="G857" s="15"/>
      <c r="H857" s="15"/>
      <c r="I857" s="26"/>
      <c r="J857" s="15"/>
      <c r="K857" s="26"/>
      <c r="L857" s="15"/>
      <c r="M857" s="26"/>
      <c r="N857" s="26"/>
      <c r="O857" s="26"/>
      <c r="P857" s="26"/>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row>
    <row r="858" spans="1:40">
      <c r="A858" s="15"/>
      <c r="B858" s="15"/>
      <c r="C858" s="26"/>
      <c r="D858" s="15"/>
      <c r="E858" s="15"/>
      <c r="F858" s="15"/>
      <c r="G858" s="15"/>
      <c r="H858" s="15"/>
      <c r="I858" s="26"/>
      <c r="J858" s="15"/>
      <c r="K858" s="26"/>
      <c r="L858" s="15"/>
      <c r="M858" s="26"/>
      <c r="N858" s="26"/>
      <c r="O858" s="26"/>
      <c r="P858" s="26"/>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row>
    <row r="859" spans="1:40">
      <c r="A859" s="15"/>
      <c r="B859" s="15"/>
      <c r="C859" s="26"/>
      <c r="D859" s="15"/>
      <c r="E859" s="15"/>
      <c r="F859" s="15"/>
      <c r="G859" s="15"/>
      <c r="H859" s="15"/>
      <c r="I859" s="26"/>
      <c r="J859" s="15"/>
      <c r="K859" s="26"/>
      <c r="L859" s="15"/>
      <c r="M859" s="26"/>
      <c r="N859" s="26"/>
      <c r="O859" s="26"/>
      <c r="P859" s="26"/>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row>
    <row r="860" spans="1:40">
      <c r="A860" s="15"/>
      <c r="B860" s="15"/>
      <c r="C860" s="26"/>
      <c r="D860" s="15"/>
      <c r="E860" s="15"/>
      <c r="F860" s="15"/>
      <c r="G860" s="15"/>
      <c r="H860" s="15"/>
      <c r="I860" s="26"/>
      <c r="J860" s="15"/>
      <c r="K860" s="26"/>
      <c r="L860" s="15"/>
      <c r="M860" s="26"/>
      <c r="N860" s="26"/>
      <c r="O860" s="26"/>
      <c r="P860" s="26"/>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row>
    <row r="861" spans="1:40">
      <c r="A861" s="15"/>
      <c r="B861" s="15"/>
      <c r="C861" s="26"/>
      <c r="D861" s="15"/>
      <c r="E861" s="15"/>
      <c r="F861" s="15"/>
      <c r="G861" s="15"/>
      <c r="H861" s="15"/>
      <c r="I861" s="26"/>
      <c r="J861" s="15"/>
      <c r="K861" s="26"/>
      <c r="L861" s="15"/>
      <c r="M861" s="26"/>
      <c r="N861" s="26"/>
      <c r="O861" s="26"/>
      <c r="P861" s="26"/>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row>
    <row r="862" spans="1:40">
      <c r="A862" s="15"/>
      <c r="B862" s="15"/>
      <c r="C862" s="26"/>
      <c r="D862" s="15"/>
      <c r="E862" s="15"/>
      <c r="F862" s="15"/>
      <c r="G862" s="15"/>
      <c r="H862" s="15"/>
      <c r="I862" s="26"/>
      <c r="J862" s="15"/>
      <c r="K862" s="26"/>
      <c r="L862" s="15"/>
      <c r="M862" s="26"/>
      <c r="N862" s="26"/>
      <c r="O862" s="26"/>
      <c r="P862" s="26"/>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row>
    <row r="863" spans="1:40">
      <c r="A863" s="15"/>
      <c r="B863" s="15"/>
      <c r="C863" s="26"/>
      <c r="D863" s="15"/>
      <c r="E863" s="15"/>
      <c r="F863" s="15"/>
      <c r="G863" s="15"/>
      <c r="H863" s="15"/>
      <c r="I863" s="26"/>
      <c r="J863" s="15"/>
      <c r="K863" s="26"/>
      <c r="L863" s="15"/>
      <c r="M863" s="26"/>
      <c r="N863" s="26"/>
      <c r="O863" s="26"/>
      <c r="P863" s="26"/>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row>
    <row r="864" spans="1:40">
      <c r="A864" s="15"/>
      <c r="B864" s="15"/>
      <c r="C864" s="26"/>
      <c r="D864" s="15"/>
      <c r="E864" s="15"/>
      <c r="F864" s="15"/>
      <c r="G864" s="15"/>
      <c r="H864" s="15"/>
      <c r="I864" s="26"/>
      <c r="J864" s="15"/>
      <c r="K864" s="26"/>
      <c r="L864" s="15"/>
      <c r="M864" s="26"/>
      <c r="N864" s="26"/>
      <c r="O864" s="26"/>
      <c r="P864" s="26"/>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row>
    <row r="865" spans="1:40">
      <c r="A865" s="15"/>
      <c r="B865" s="15"/>
      <c r="C865" s="26"/>
      <c r="D865" s="15"/>
      <c r="E865" s="15"/>
      <c r="F865" s="15"/>
      <c r="G865" s="15"/>
      <c r="H865" s="15"/>
      <c r="I865" s="26"/>
      <c r="J865" s="15"/>
      <c r="K865" s="26"/>
      <c r="L865" s="15"/>
      <c r="M865" s="26"/>
      <c r="N865" s="26"/>
      <c r="O865" s="26"/>
      <c r="P865" s="26"/>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row>
    <row r="866" spans="1:40">
      <c r="A866" s="15"/>
      <c r="B866" s="15"/>
      <c r="C866" s="26"/>
      <c r="D866" s="15"/>
      <c r="E866" s="15"/>
      <c r="F866" s="15"/>
      <c r="G866" s="15"/>
      <c r="H866" s="15"/>
      <c r="I866" s="26"/>
      <c r="J866" s="15"/>
      <c r="K866" s="26"/>
      <c r="L866" s="15"/>
      <c r="M866" s="26"/>
      <c r="N866" s="26"/>
      <c r="O866" s="26"/>
      <c r="P866" s="26"/>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row>
    <row r="867" spans="1:40">
      <c r="A867" s="15"/>
      <c r="B867" s="15"/>
      <c r="C867" s="26"/>
      <c r="D867" s="15"/>
      <c r="E867" s="15"/>
      <c r="F867" s="15"/>
      <c r="G867" s="15"/>
      <c r="H867" s="15"/>
      <c r="I867" s="26"/>
      <c r="J867" s="15"/>
      <c r="K867" s="26"/>
      <c r="L867" s="15"/>
      <c r="M867" s="26"/>
      <c r="N867" s="26"/>
      <c r="O867" s="26"/>
      <c r="P867" s="26"/>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row>
    <row r="868" spans="1:40">
      <c r="A868" s="15"/>
      <c r="B868" s="15"/>
      <c r="C868" s="26"/>
      <c r="D868" s="15"/>
      <c r="E868" s="15"/>
      <c r="F868" s="15"/>
      <c r="G868" s="15"/>
      <c r="H868" s="15"/>
      <c r="I868" s="26"/>
      <c r="J868" s="15"/>
      <c r="K868" s="26"/>
      <c r="L868" s="15"/>
      <c r="M868" s="26"/>
      <c r="N868" s="26"/>
      <c r="O868" s="26"/>
      <c r="P868" s="26"/>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row>
    <row r="869" spans="1:40">
      <c r="A869" s="15"/>
      <c r="B869" s="15"/>
      <c r="C869" s="26"/>
      <c r="D869" s="15"/>
      <c r="E869" s="15"/>
      <c r="F869" s="15"/>
      <c r="G869" s="15"/>
      <c r="H869" s="15"/>
      <c r="I869" s="26"/>
      <c r="J869" s="15"/>
      <c r="K869" s="26"/>
      <c r="L869" s="15"/>
      <c r="M869" s="26"/>
      <c r="N869" s="26"/>
      <c r="O869" s="26"/>
      <c r="P869" s="26"/>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row>
    <row r="870" spans="1:40">
      <c r="A870" s="15"/>
      <c r="B870" s="15"/>
      <c r="C870" s="26"/>
      <c r="D870" s="15"/>
      <c r="E870" s="15"/>
      <c r="F870" s="15"/>
      <c r="G870" s="15"/>
      <c r="H870" s="15"/>
      <c r="I870" s="26"/>
      <c r="J870" s="15"/>
      <c r="K870" s="26"/>
      <c r="L870" s="15"/>
      <c r="M870" s="26"/>
      <c r="N870" s="26"/>
      <c r="O870" s="26"/>
      <c r="P870" s="26"/>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row>
    <row r="871" spans="1:40">
      <c r="A871" s="15"/>
      <c r="B871" s="15"/>
      <c r="C871" s="26"/>
      <c r="D871" s="15"/>
      <c r="E871" s="15"/>
      <c r="F871" s="15"/>
      <c r="G871" s="15"/>
      <c r="H871" s="15"/>
      <c r="I871" s="26"/>
      <c r="J871" s="15"/>
      <c r="K871" s="26"/>
      <c r="L871" s="15"/>
      <c r="M871" s="26"/>
      <c r="N871" s="26"/>
      <c r="O871" s="26"/>
      <c r="P871" s="26"/>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row>
    <row r="872" spans="1:40">
      <c r="A872" s="15"/>
      <c r="B872" s="15"/>
      <c r="C872" s="26"/>
      <c r="D872" s="15"/>
      <c r="E872" s="15"/>
      <c r="F872" s="15"/>
      <c r="G872" s="15"/>
      <c r="H872" s="15"/>
      <c r="I872" s="26"/>
      <c r="J872" s="15"/>
      <c r="K872" s="26"/>
      <c r="L872" s="15"/>
      <c r="M872" s="26"/>
      <c r="N872" s="26"/>
      <c r="O872" s="26"/>
      <c r="P872" s="26"/>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row>
    <row r="873" spans="1:40">
      <c r="A873" s="15"/>
      <c r="B873" s="15"/>
      <c r="C873" s="26"/>
      <c r="D873" s="15"/>
      <c r="E873" s="15"/>
      <c r="F873" s="15"/>
      <c r="G873" s="15"/>
      <c r="H873" s="15"/>
      <c r="I873" s="26"/>
      <c r="J873" s="15"/>
      <c r="K873" s="26"/>
      <c r="L873" s="15"/>
      <c r="M873" s="26"/>
      <c r="N873" s="26"/>
      <c r="O873" s="26"/>
      <c r="P873" s="26"/>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row>
    <row r="874" spans="1:40">
      <c r="A874" s="15"/>
      <c r="B874" s="15"/>
      <c r="C874" s="26"/>
      <c r="D874" s="15"/>
      <c r="E874" s="15"/>
      <c r="F874" s="15"/>
      <c r="G874" s="15"/>
      <c r="H874" s="15"/>
      <c r="I874" s="26"/>
      <c r="J874" s="15"/>
      <c r="K874" s="26"/>
      <c r="L874" s="15"/>
      <c r="M874" s="26"/>
      <c r="N874" s="26"/>
      <c r="O874" s="26"/>
      <c r="P874" s="26"/>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row>
    <row r="875" spans="1:40">
      <c r="A875" s="15"/>
      <c r="B875" s="15"/>
      <c r="C875" s="26"/>
      <c r="D875" s="15"/>
      <c r="E875" s="15"/>
      <c r="F875" s="15"/>
      <c r="G875" s="15"/>
      <c r="H875" s="15"/>
      <c r="I875" s="26"/>
      <c r="J875" s="15"/>
      <c r="K875" s="26"/>
      <c r="L875" s="15"/>
      <c r="M875" s="26"/>
      <c r="N875" s="26"/>
      <c r="O875" s="26"/>
      <c r="P875" s="26"/>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row>
    <row r="876" spans="1:40">
      <c r="A876" s="15"/>
      <c r="B876" s="15"/>
      <c r="C876" s="26"/>
      <c r="D876" s="15"/>
      <c r="E876" s="15"/>
      <c r="F876" s="15"/>
      <c r="G876" s="15"/>
      <c r="H876" s="15"/>
      <c r="I876" s="26"/>
      <c r="J876" s="15"/>
      <c r="K876" s="26"/>
      <c r="L876" s="15"/>
      <c r="M876" s="26"/>
      <c r="N876" s="26"/>
      <c r="O876" s="26"/>
      <c r="P876" s="26"/>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row>
    <row r="877" spans="1:40">
      <c r="A877" s="15"/>
      <c r="B877" s="15"/>
      <c r="C877" s="26"/>
      <c r="D877" s="15"/>
      <c r="E877" s="15"/>
      <c r="F877" s="15"/>
      <c r="G877" s="15"/>
      <c r="H877" s="15"/>
      <c r="I877" s="26"/>
      <c r="J877" s="15"/>
      <c r="K877" s="26"/>
      <c r="L877" s="15"/>
      <c r="M877" s="26"/>
      <c r="N877" s="26"/>
      <c r="O877" s="26"/>
      <c r="P877" s="26"/>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row>
    <row r="878" spans="1:40">
      <c r="A878" s="15"/>
      <c r="B878" s="15"/>
      <c r="C878" s="26"/>
      <c r="D878" s="15"/>
      <c r="E878" s="15"/>
      <c r="F878" s="15"/>
      <c r="G878" s="15"/>
      <c r="H878" s="15"/>
      <c r="I878" s="26"/>
      <c r="J878" s="15"/>
      <c r="K878" s="26"/>
      <c r="L878" s="15"/>
      <c r="M878" s="26"/>
      <c r="N878" s="26"/>
      <c r="O878" s="26"/>
      <c r="P878" s="26"/>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row>
    <row r="879" spans="1:40">
      <c r="A879" s="15"/>
      <c r="B879" s="15"/>
      <c r="C879" s="26"/>
      <c r="D879" s="15"/>
      <c r="E879" s="15"/>
      <c r="F879" s="15"/>
      <c r="G879" s="15"/>
      <c r="H879" s="15"/>
      <c r="I879" s="26"/>
      <c r="J879" s="15"/>
      <c r="K879" s="26"/>
      <c r="L879" s="15"/>
      <c r="M879" s="26"/>
      <c r="N879" s="26"/>
      <c r="O879" s="26"/>
      <c r="P879" s="26"/>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row>
    <row r="880" spans="1:40">
      <c r="A880" s="15"/>
      <c r="B880" s="15"/>
      <c r="C880" s="26"/>
      <c r="D880" s="15"/>
      <c r="E880" s="15"/>
      <c r="F880" s="15"/>
      <c r="G880" s="15"/>
      <c r="H880" s="15"/>
      <c r="I880" s="26"/>
      <c r="J880" s="15"/>
      <c r="K880" s="26"/>
      <c r="L880" s="15"/>
      <c r="M880" s="26"/>
      <c r="N880" s="26"/>
      <c r="O880" s="26"/>
      <c r="P880" s="26"/>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row>
    <row r="881" spans="1:40">
      <c r="A881" s="15"/>
      <c r="B881" s="15"/>
      <c r="C881" s="26"/>
      <c r="D881" s="15"/>
      <c r="E881" s="15"/>
      <c r="F881" s="15"/>
      <c r="G881" s="15"/>
      <c r="H881" s="15"/>
      <c r="I881" s="26"/>
      <c r="J881" s="15"/>
      <c r="K881" s="26"/>
      <c r="L881" s="15"/>
      <c r="M881" s="26"/>
      <c r="N881" s="26"/>
      <c r="O881" s="26"/>
      <c r="P881" s="26"/>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row>
    <row r="882" spans="1:40">
      <c r="A882" s="15"/>
      <c r="B882" s="15"/>
      <c r="C882" s="26"/>
      <c r="D882" s="15"/>
      <c r="E882" s="15"/>
      <c r="F882" s="15"/>
      <c r="G882" s="15"/>
      <c r="H882" s="15"/>
      <c r="I882" s="26"/>
      <c r="J882" s="15"/>
      <c r="K882" s="26"/>
      <c r="L882" s="15"/>
      <c r="M882" s="26"/>
      <c r="N882" s="26"/>
      <c r="O882" s="26"/>
      <c r="P882" s="26"/>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row>
    <row r="883" spans="1:40">
      <c r="A883" s="15"/>
      <c r="B883" s="15"/>
      <c r="C883" s="26"/>
      <c r="D883" s="15"/>
      <c r="E883" s="15"/>
      <c r="F883" s="15"/>
      <c r="G883" s="15"/>
      <c r="H883" s="15"/>
      <c r="I883" s="26"/>
      <c r="J883" s="15"/>
      <c r="K883" s="26"/>
      <c r="L883" s="15"/>
      <c r="M883" s="26"/>
      <c r="N883" s="26"/>
      <c r="O883" s="26"/>
      <c r="P883" s="26"/>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row>
    <row r="884" spans="1:40">
      <c r="A884" s="15"/>
      <c r="B884" s="15"/>
      <c r="C884" s="26"/>
      <c r="D884" s="15"/>
      <c r="E884" s="15"/>
      <c r="F884" s="15"/>
      <c r="G884" s="15"/>
      <c r="H884" s="15"/>
      <c r="I884" s="26"/>
      <c r="J884" s="15"/>
      <c r="K884" s="26"/>
      <c r="L884" s="15"/>
      <c r="M884" s="26"/>
      <c r="N884" s="26"/>
      <c r="O884" s="26"/>
      <c r="P884" s="26"/>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row>
    <row r="885" spans="1:40">
      <c r="A885" s="15"/>
      <c r="B885" s="15"/>
      <c r="C885" s="26"/>
      <c r="D885" s="15"/>
      <c r="E885" s="15"/>
      <c r="F885" s="15"/>
      <c r="G885" s="15"/>
      <c r="H885" s="15"/>
      <c r="I885" s="26"/>
      <c r="J885" s="15"/>
      <c r="K885" s="26"/>
      <c r="L885" s="15"/>
      <c r="M885" s="26"/>
      <c r="N885" s="26"/>
      <c r="O885" s="26"/>
      <c r="P885" s="26"/>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row>
    <row r="886" spans="1:40">
      <c r="A886" s="15"/>
      <c r="B886" s="15"/>
      <c r="C886" s="26"/>
      <c r="D886" s="15"/>
      <c r="E886" s="15"/>
      <c r="F886" s="15"/>
      <c r="G886" s="15"/>
      <c r="H886" s="15"/>
      <c r="I886" s="26"/>
      <c r="J886" s="15"/>
      <c r="K886" s="26"/>
      <c r="L886" s="15"/>
      <c r="M886" s="26"/>
      <c r="N886" s="26"/>
      <c r="O886" s="26"/>
      <c r="P886" s="26"/>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row>
    <row r="887" spans="1:40">
      <c r="A887" s="15"/>
      <c r="B887" s="15"/>
      <c r="C887" s="26"/>
      <c r="D887" s="15"/>
      <c r="E887" s="15"/>
      <c r="F887" s="15"/>
      <c r="G887" s="15"/>
      <c r="H887" s="15"/>
      <c r="I887" s="26"/>
      <c r="J887" s="15"/>
      <c r="K887" s="26"/>
      <c r="L887" s="15"/>
      <c r="M887" s="26"/>
      <c r="N887" s="26"/>
      <c r="O887" s="26"/>
      <c r="P887" s="26"/>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row>
    <row r="888" spans="1:40">
      <c r="A888" s="15"/>
      <c r="B888" s="15"/>
      <c r="C888" s="26"/>
      <c r="D888" s="15"/>
      <c r="E888" s="15"/>
      <c r="F888" s="15"/>
      <c r="G888" s="15"/>
      <c r="H888" s="15"/>
      <c r="I888" s="26"/>
      <c r="J888" s="15"/>
      <c r="K888" s="26"/>
      <c r="L888" s="15"/>
      <c r="M888" s="26"/>
      <c r="N888" s="26"/>
      <c r="O888" s="26"/>
      <c r="P888" s="26"/>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row>
    <row r="889" spans="1:40">
      <c r="A889" s="15"/>
      <c r="B889" s="15"/>
      <c r="C889" s="26"/>
      <c r="D889" s="15"/>
      <c r="E889" s="15"/>
      <c r="F889" s="15"/>
      <c r="G889" s="15"/>
      <c r="H889" s="15"/>
      <c r="I889" s="26"/>
      <c r="J889" s="15"/>
      <c r="K889" s="26"/>
      <c r="L889" s="15"/>
      <c r="M889" s="26"/>
      <c r="N889" s="26"/>
      <c r="O889" s="26"/>
      <c r="P889" s="26"/>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row>
    <row r="890" spans="1:40">
      <c r="A890" s="15"/>
      <c r="B890" s="15"/>
      <c r="C890" s="26"/>
      <c r="D890" s="15"/>
      <c r="E890" s="15"/>
      <c r="F890" s="15"/>
      <c r="G890" s="15"/>
      <c r="H890" s="15"/>
      <c r="I890" s="26"/>
      <c r="J890" s="15"/>
      <c r="K890" s="26"/>
      <c r="L890" s="15"/>
      <c r="M890" s="26"/>
      <c r="N890" s="26"/>
      <c r="O890" s="26"/>
      <c r="P890" s="26"/>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row>
    <row r="891" spans="1:40">
      <c r="A891" s="15"/>
      <c r="B891" s="15"/>
      <c r="C891" s="26"/>
      <c r="D891" s="15"/>
      <c r="E891" s="15"/>
      <c r="F891" s="15"/>
      <c r="G891" s="15"/>
      <c r="H891" s="15"/>
      <c r="I891" s="26"/>
      <c r="J891" s="15"/>
      <c r="K891" s="26"/>
      <c r="L891" s="15"/>
      <c r="M891" s="26"/>
      <c r="N891" s="26"/>
      <c r="O891" s="26"/>
      <c r="P891" s="26"/>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row>
    <row r="892" spans="1:40">
      <c r="A892" s="15"/>
      <c r="B892" s="15"/>
      <c r="C892" s="26"/>
      <c r="D892" s="15"/>
      <c r="E892" s="15"/>
      <c r="F892" s="15"/>
      <c r="G892" s="15"/>
      <c r="H892" s="15"/>
      <c r="I892" s="26"/>
      <c r="J892" s="15"/>
      <c r="K892" s="26"/>
      <c r="L892" s="15"/>
      <c r="M892" s="26"/>
      <c r="N892" s="26"/>
      <c r="O892" s="26"/>
      <c r="P892" s="26"/>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row>
    <row r="893" spans="1:40">
      <c r="A893" s="15"/>
      <c r="B893" s="15"/>
      <c r="C893" s="26"/>
      <c r="D893" s="15"/>
      <c r="E893" s="15"/>
      <c r="F893" s="15"/>
      <c r="G893" s="15"/>
      <c r="H893" s="15"/>
      <c r="I893" s="26"/>
      <c r="J893" s="15"/>
      <c r="K893" s="26"/>
      <c r="L893" s="15"/>
      <c r="M893" s="26"/>
      <c r="N893" s="26"/>
      <c r="O893" s="26"/>
      <c r="P893" s="26"/>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row>
    <row r="894" spans="1:40">
      <c r="A894" s="15"/>
      <c r="B894" s="15"/>
      <c r="C894" s="26"/>
      <c r="D894" s="15"/>
      <c r="E894" s="15"/>
      <c r="F894" s="15"/>
      <c r="G894" s="15"/>
      <c r="H894" s="15"/>
      <c r="I894" s="26"/>
      <c r="J894" s="15"/>
      <c r="K894" s="26"/>
      <c r="L894" s="15"/>
      <c r="M894" s="26"/>
      <c r="N894" s="26"/>
      <c r="O894" s="26"/>
      <c r="P894" s="26"/>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row>
    <row r="895" spans="1:40">
      <c r="A895" s="15"/>
      <c r="B895" s="15"/>
      <c r="C895" s="26"/>
      <c r="D895" s="15"/>
      <c r="E895" s="15"/>
      <c r="F895" s="15"/>
      <c r="G895" s="15"/>
      <c r="H895" s="15"/>
      <c r="I895" s="26"/>
      <c r="J895" s="15"/>
      <c r="K895" s="26"/>
      <c r="L895" s="15"/>
      <c r="M895" s="26"/>
      <c r="N895" s="26"/>
      <c r="O895" s="26"/>
      <c r="P895" s="26"/>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row>
    <row r="896" spans="1:40">
      <c r="A896" s="15"/>
      <c r="B896" s="15"/>
      <c r="C896" s="26"/>
      <c r="D896" s="15"/>
      <c r="E896" s="15"/>
      <c r="F896" s="15"/>
      <c r="G896" s="15"/>
      <c r="H896" s="15"/>
      <c r="I896" s="26"/>
      <c r="J896" s="15"/>
      <c r="K896" s="26"/>
      <c r="L896" s="15"/>
      <c r="M896" s="26"/>
      <c r="N896" s="26"/>
      <c r="O896" s="26"/>
      <c r="P896" s="26"/>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row>
    <row r="897" spans="1:40">
      <c r="A897" s="15"/>
      <c r="B897" s="15"/>
      <c r="C897" s="26"/>
      <c r="D897" s="15"/>
      <c r="E897" s="15"/>
      <c r="F897" s="15"/>
      <c r="G897" s="15"/>
      <c r="H897" s="15"/>
      <c r="I897" s="26"/>
      <c r="J897" s="15"/>
      <c r="K897" s="26"/>
      <c r="L897" s="15"/>
      <c r="M897" s="26"/>
      <c r="N897" s="26"/>
      <c r="O897" s="26"/>
      <c r="P897" s="26"/>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row>
    <row r="898" spans="1:40">
      <c r="A898" s="15"/>
      <c r="B898" s="15"/>
      <c r="C898" s="26"/>
      <c r="D898" s="15"/>
      <c r="E898" s="15"/>
      <c r="F898" s="15"/>
      <c r="G898" s="15"/>
      <c r="H898" s="15"/>
      <c r="I898" s="26"/>
      <c r="J898" s="15"/>
      <c r="K898" s="26"/>
      <c r="L898" s="15"/>
      <c r="M898" s="26"/>
      <c r="N898" s="26"/>
      <c r="O898" s="26"/>
      <c r="P898" s="26"/>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row>
    <row r="899" spans="1:40">
      <c r="A899" s="15"/>
      <c r="B899" s="15"/>
      <c r="C899" s="26"/>
      <c r="D899" s="15"/>
      <c r="E899" s="15"/>
      <c r="F899" s="15"/>
      <c r="G899" s="15"/>
      <c r="H899" s="15"/>
      <c r="I899" s="26"/>
      <c r="J899" s="15"/>
      <c r="K899" s="26"/>
      <c r="L899" s="15"/>
      <c r="M899" s="26"/>
      <c r="N899" s="26"/>
      <c r="O899" s="26"/>
      <c r="P899" s="26"/>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row>
    <row r="900" spans="1:40">
      <c r="A900" s="15"/>
      <c r="B900" s="15"/>
      <c r="C900" s="26"/>
      <c r="D900" s="15"/>
      <c r="E900" s="15"/>
      <c r="F900" s="15"/>
      <c r="G900" s="15"/>
      <c r="H900" s="15"/>
      <c r="I900" s="26"/>
      <c r="J900" s="15"/>
      <c r="K900" s="26"/>
      <c r="L900" s="15"/>
      <c r="M900" s="26"/>
      <c r="N900" s="26"/>
      <c r="O900" s="26"/>
      <c r="P900" s="26"/>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row>
    <row r="901" spans="1:40">
      <c r="A901" s="15"/>
      <c r="B901" s="15"/>
      <c r="C901" s="26"/>
      <c r="D901" s="15"/>
      <c r="E901" s="15"/>
      <c r="F901" s="15"/>
      <c r="G901" s="15"/>
      <c r="H901" s="15"/>
      <c r="I901" s="26"/>
      <c r="J901" s="15"/>
      <c r="K901" s="26"/>
      <c r="L901" s="15"/>
      <c r="M901" s="26"/>
      <c r="N901" s="26"/>
      <c r="O901" s="26"/>
      <c r="P901" s="26"/>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row>
    <row r="902" spans="1:40">
      <c r="A902" s="15"/>
      <c r="B902" s="15"/>
      <c r="C902" s="26"/>
      <c r="D902" s="15"/>
      <c r="E902" s="15"/>
      <c r="F902" s="15"/>
      <c r="G902" s="15"/>
      <c r="H902" s="15"/>
      <c r="I902" s="26"/>
      <c r="J902" s="15"/>
      <c r="K902" s="26"/>
      <c r="L902" s="15"/>
      <c r="M902" s="26"/>
      <c r="N902" s="26"/>
      <c r="O902" s="26"/>
      <c r="P902" s="26"/>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row>
    <row r="903" spans="1:40">
      <c r="A903" s="15"/>
      <c r="B903" s="15"/>
      <c r="C903" s="26"/>
      <c r="D903" s="15"/>
      <c r="E903" s="15"/>
      <c r="F903" s="15"/>
      <c r="G903" s="15"/>
      <c r="H903" s="15"/>
      <c r="I903" s="26"/>
      <c r="J903" s="15"/>
      <c r="K903" s="26"/>
      <c r="L903" s="15"/>
      <c r="M903" s="26"/>
      <c r="N903" s="26"/>
      <c r="O903" s="26"/>
      <c r="P903" s="26"/>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row>
    <row r="904" spans="1:40">
      <c r="A904" s="15"/>
      <c r="B904" s="15"/>
      <c r="C904" s="26"/>
      <c r="D904" s="15"/>
      <c r="E904" s="15"/>
      <c r="F904" s="15"/>
      <c r="G904" s="15"/>
      <c r="H904" s="15"/>
      <c r="I904" s="26"/>
      <c r="J904" s="15"/>
      <c r="K904" s="26"/>
      <c r="L904" s="15"/>
      <c r="M904" s="26"/>
      <c r="N904" s="26"/>
      <c r="O904" s="26"/>
      <c r="P904" s="26"/>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row>
    <row r="905" spans="1:40">
      <c r="A905" s="15"/>
      <c r="B905" s="15"/>
      <c r="C905" s="26"/>
      <c r="D905" s="15"/>
      <c r="E905" s="15"/>
      <c r="F905" s="15"/>
      <c r="G905" s="15"/>
      <c r="H905" s="15"/>
      <c r="I905" s="26"/>
      <c r="J905" s="15"/>
      <c r="K905" s="26"/>
      <c r="L905" s="15"/>
      <c r="M905" s="26"/>
      <c r="N905" s="26"/>
      <c r="O905" s="26"/>
      <c r="P905" s="26"/>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row>
    <row r="906" spans="1:40">
      <c r="A906" s="15"/>
      <c r="B906" s="15"/>
      <c r="C906" s="26"/>
      <c r="D906" s="15"/>
      <c r="E906" s="15"/>
      <c r="F906" s="15"/>
      <c r="G906" s="15"/>
      <c r="H906" s="15"/>
      <c r="I906" s="26"/>
      <c r="J906" s="15"/>
      <c r="K906" s="26"/>
      <c r="L906" s="15"/>
      <c r="M906" s="26"/>
      <c r="N906" s="26"/>
      <c r="O906" s="26"/>
      <c r="P906" s="26"/>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row>
    <row r="907" spans="1:40">
      <c r="A907" s="15"/>
      <c r="B907" s="15"/>
      <c r="C907" s="26"/>
      <c r="D907" s="15"/>
      <c r="E907" s="15"/>
      <c r="F907" s="15"/>
      <c r="G907" s="15"/>
      <c r="H907" s="15"/>
      <c r="I907" s="26"/>
      <c r="J907" s="15"/>
      <c r="K907" s="26"/>
      <c r="L907" s="15"/>
      <c r="M907" s="26"/>
      <c r="N907" s="26"/>
      <c r="O907" s="26"/>
      <c r="P907" s="26"/>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row>
    <row r="908" spans="1:40">
      <c r="A908" s="15"/>
      <c r="B908" s="15"/>
      <c r="C908" s="26"/>
      <c r="D908" s="15"/>
      <c r="E908" s="15"/>
      <c r="F908" s="15"/>
      <c r="G908" s="15"/>
      <c r="H908" s="15"/>
      <c r="I908" s="26"/>
      <c r="J908" s="15"/>
      <c r="K908" s="26"/>
      <c r="L908" s="15"/>
      <c r="M908" s="26"/>
      <c r="N908" s="26"/>
      <c r="O908" s="26"/>
      <c r="P908" s="26"/>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row>
    <row r="909" spans="1:40">
      <c r="A909" s="15"/>
      <c r="B909" s="15"/>
      <c r="C909" s="26"/>
      <c r="D909" s="15"/>
      <c r="E909" s="15"/>
      <c r="F909" s="15"/>
      <c r="G909" s="15"/>
      <c r="H909" s="15"/>
      <c r="I909" s="26"/>
      <c r="J909" s="15"/>
      <c r="K909" s="26"/>
      <c r="L909" s="15"/>
      <c r="M909" s="26"/>
      <c r="N909" s="26"/>
      <c r="O909" s="26"/>
      <c r="P909" s="26"/>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row>
    <row r="910" spans="1:40">
      <c r="A910" s="15"/>
      <c r="B910" s="15"/>
      <c r="C910" s="26"/>
      <c r="D910" s="15"/>
      <c r="E910" s="15"/>
      <c r="F910" s="15"/>
      <c r="G910" s="15"/>
      <c r="H910" s="15"/>
      <c r="I910" s="26"/>
      <c r="J910" s="15"/>
      <c r="K910" s="26"/>
      <c r="L910" s="15"/>
      <c r="M910" s="26"/>
      <c r="N910" s="26"/>
      <c r="O910" s="26"/>
      <c r="P910" s="26"/>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row>
    <row r="911" spans="1:40">
      <c r="A911" s="15"/>
      <c r="B911" s="15"/>
      <c r="C911" s="26"/>
      <c r="D911" s="15"/>
      <c r="E911" s="15"/>
      <c r="F911" s="15"/>
      <c r="G911" s="15"/>
      <c r="H911" s="15"/>
      <c r="I911" s="26"/>
      <c r="J911" s="15"/>
      <c r="K911" s="26"/>
      <c r="L911" s="15"/>
      <c r="M911" s="26"/>
      <c r="N911" s="26"/>
      <c r="O911" s="26"/>
      <c r="P911" s="26"/>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row>
    <row r="912" spans="1:40">
      <c r="A912" s="15"/>
      <c r="B912" s="15"/>
      <c r="C912" s="26"/>
      <c r="D912" s="15"/>
      <c r="E912" s="15"/>
      <c r="F912" s="15"/>
      <c r="G912" s="15"/>
      <c r="H912" s="15"/>
      <c r="I912" s="26"/>
      <c r="J912" s="15"/>
      <c r="K912" s="26"/>
      <c r="L912" s="15"/>
      <c r="M912" s="26"/>
      <c r="N912" s="26"/>
      <c r="O912" s="26"/>
      <c r="P912" s="26"/>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row>
    <row r="913" spans="1:40">
      <c r="A913" s="15"/>
      <c r="B913" s="15"/>
      <c r="C913" s="26"/>
      <c r="D913" s="15"/>
      <c r="E913" s="15"/>
      <c r="F913" s="15"/>
      <c r="G913" s="15"/>
      <c r="H913" s="15"/>
      <c r="I913" s="26"/>
      <c r="J913" s="15"/>
      <c r="K913" s="26"/>
      <c r="L913" s="15"/>
      <c r="M913" s="26"/>
      <c r="N913" s="26"/>
      <c r="O913" s="26"/>
      <c r="P913" s="26"/>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row>
    <row r="914" spans="1:40">
      <c r="A914" s="15"/>
      <c r="B914" s="15"/>
      <c r="C914" s="26"/>
      <c r="D914" s="15"/>
      <c r="E914" s="15"/>
      <c r="F914" s="15"/>
      <c r="G914" s="15"/>
      <c r="H914" s="15"/>
      <c r="I914" s="26"/>
      <c r="J914" s="15"/>
      <c r="K914" s="26"/>
      <c r="L914" s="15"/>
      <c r="M914" s="26"/>
      <c r="N914" s="26"/>
      <c r="O914" s="26"/>
      <c r="P914" s="26"/>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row>
    <row r="915" spans="1:40">
      <c r="A915" s="15"/>
      <c r="B915" s="15"/>
      <c r="C915" s="26"/>
      <c r="D915" s="15"/>
      <c r="E915" s="15"/>
      <c r="F915" s="15"/>
      <c r="G915" s="15"/>
      <c r="H915" s="15"/>
      <c r="I915" s="26"/>
      <c r="J915" s="15"/>
      <c r="K915" s="26"/>
      <c r="L915" s="15"/>
      <c r="M915" s="26"/>
      <c r="N915" s="26"/>
      <c r="O915" s="26"/>
      <c r="P915" s="26"/>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row>
    <row r="916" spans="1:40">
      <c r="A916" s="15"/>
      <c r="B916" s="15"/>
      <c r="C916" s="26"/>
      <c r="D916" s="15"/>
      <c r="E916" s="15"/>
      <c r="F916" s="15"/>
      <c r="G916" s="15"/>
      <c r="H916" s="15"/>
      <c r="I916" s="26"/>
      <c r="J916" s="15"/>
      <c r="K916" s="26"/>
      <c r="L916" s="15"/>
      <c r="M916" s="26"/>
      <c r="N916" s="26"/>
      <c r="O916" s="26"/>
      <c r="P916" s="26"/>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row>
    <row r="917" spans="1:40">
      <c r="A917" s="15"/>
      <c r="B917" s="15"/>
      <c r="C917" s="26"/>
      <c r="D917" s="15"/>
      <c r="E917" s="15"/>
      <c r="F917" s="15"/>
      <c r="G917" s="15"/>
      <c r="H917" s="15"/>
      <c r="I917" s="26"/>
      <c r="J917" s="15"/>
      <c r="K917" s="26"/>
      <c r="L917" s="15"/>
      <c r="M917" s="26"/>
      <c r="N917" s="26"/>
      <c r="O917" s="26"/>
      <c r="P917" s="26"/>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row>
    <row r="918" spans="1:40">
      <c r="A918" s="15"/>
      <c r="B918" s="15"/>
      <c r="C918" s="26"/>
      <c r="D918" s="15"/>
      <c r="E918" s="15"/>
      <c r="F918" s="15"/>
      <c r="G918" s="15"/>
      <c r="H918" s="15"/>
      <c r="I918" s="26"/>
      <c r="J918" s="15"/>
      <c r="K918" s="26"/>
      <c r="L918" s="15"/>
      <c r="M918" s="26"/>
      <c r="N918" s="26"/>
      <c r="O918" s="26"/>
      <c r="P918" s="26"/>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row>
    <row r="919" spans="1:40">
      <c r="A919" s="15"/>
      <c r="B919" s="15"/>
      <c r="C919" s="26"/>
      <c r="D919" s="15"/>
      <c r="E919" s="15"/>
      <c r="F919" s="15"/>
      <c r="G919" s="15"/>
      <c r="H919" s="15"/>
      <c r="I919" s="26"/>
      <c r="J919" s="15"/>
      <c r="K919" s="26"/>
      <c r="L919" s="15"/>
      <c r="M919" s="26"/>
      <c r="N919" s="26"/>
      <c r="O919" s="26"/>
      <c r="P919" s="26"/>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row>
    <row r="920" spans="1:40">
      <c r="A920" s="15"/>
      <c r="B920" s="15"/>
      <c r="C920" s="26"/>
      <c r="D920" s="15"/>
      <c r="E920" s="15"/>
      <c r="F920" s="15"/>
      <c r="G920" s="15"/>
      <c r="H920" s="15"/>
      <c r="I920" s="26"/>
      <c r="J920" s="15"/>
      <c r="K920" s="26"/>
      <c r="L920" s="15"/>
      <c r="M920" s="26"/>
      <c r="N920" s="26"/>
      <c r="O920" s="26"/>
      <c r="P920" s="26"/>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row>
    <row r="921" spans="1:40">
      <c r="A921" s="15"/>
      <c r="B921" s="15"/>
      <c r="C921" s="26"/>
      <c r="D921" s="15"/>
      <c r="E921" s="15"/>
      <c r="F921" s="15"/>
      <c r="G921" s="15"/>
      <c r="H921" s="15"/>
      <c r="I921" s="26"/>
      <c r="J921" s="15"/>
      <c r="K921" s="26"/>
      <c r="L921" s="15"/>
      <c r="M921" s="26"/>
      <c r="N921" s="26"/>
      <c r="O921" s="26"/>
      <c r="P921" s="26"/>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row>
    <row r="922" spans="1:40">
      <c r="A922" s="15"/>
      <c r="B922" s="15"/>
      <c r="C922" s="26"/>
      <c r="D922" s="15"/>
      <c r="E922" s="15"/>
      <c r="F922" s="15"/>
      <c r="G922" s="15"/>
      <c r="H922" s="15"/>
      <c r="I922" s="26"/>
      <c r="J922" s="15"/>
      <c r="K922" s="26"/>
      <c r="L922" s="15"/>
      <c r="M922" s="26"/>
      <c r="N922" s="26"/>
      <c r="O922" s="26"/>
      <c r="P922" s="26"/>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row>
    <row r="923" spans="1:40">
      <c r="A923" s="15"/>
      <c r="B923" s="15"/>
      <c r="C923" s="26"/>
      <c r="D923" s="15"/>
      <c r="E923" s="15"/>
      <c r="F923" s="15"/>
      <c r="G923" s="15"/>
      <c r="H923" s="15"/>
      <c r="I923" s="26"/>
      <c r="J923" s="15"/>
      <c r="K923" s="26"/>
      <c r="L923" s="15"/>
      <c r="M923" s="26"/>
      <c r="N923" s="26"/>
      <c r="O923" s="26"/>
      <c r="P923" s="26"/>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row>
    <row r="924" spans="1:40">
      <c r="A924" s="15"/>
      <c r="B924" s="15"/>
      <c r="C924" s="26"/>
      <c r="D924" s="15"/>
      <c r="E924" s="15"/>
      <c r="F924" s="15"/>
      <c r="G924" s="15"/>
      <c r="H924" s="15"/>
      <c r="I924" s="26"/>
      <c r="J924" s="15"/>
      <c r="K924" s="26"/>
      <c r="L924" s="15"/>
      <c r="M924" s="26"/>
      <c r="N924" s="26"/>
      <c r="O924" s="26"/>
      <c r="P924" s="26"/>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row>
    <row r="925" spans="1:40">
      <c r="A925" s="15"/>
      <c r="B925" s="15"/>
      <c r="C925" s="26"/>
      <c r="D925" s="15"/>
      <c r="E925" s="15"/>
      <c r="F925" s="15"/>
      <c r="G925" s="15"/>
      <c r="H925" s="15"/>
      <c r="I925" s="26"/>
      <c r="J925" s="15"/>
      <c r="K925" s="26"/>
      <c r="L925" s="15"/>
      <c r="M925" s="26"/>
      <c r="N925" s="26"/>
      <c r="O925" s="26"/>
      <c r="P925" s="26"/>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row>
    <row r="926" spans="1:40">
      <c r="A926" s="15"/>
      <c r="B926" s="15"/>
      <c r="C926" s="26"/>
      <c r="D926" s="15"/>
      <c r="E926" s="15"/>
      <c r="F926" s="15"/>
      <c r="G926" s="15"/>
      <c r="H926" s="15"/>
      <c r="I926" s="26"/>
      <c r="J926" s="15"/>
      <c r="K926" s="26"/>
      <c r="L926" s="15"/>
      <c r="M926" s="26"/>
      <c r="N926" s="26"/>
      <c r="O926" s="26"/>
      <c r="P926" s="26"/>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row>
    <row r="927" spans="1:40">
      <c r="A927" s="15"/>
      <c r="B927" s="15"/>
      <c r="C927" s="26"/>
      <c r="D927" s="15"/>
      <c r="E927" s="15"/>
      <c r="F927" s="15"/>
      <c r="G927" s="15"/>
      <c r="H927" s="15"/>
      <c r="I927" s="26"/>
      <c r="J927" s="15"/>
      <c r="K927" s="26"/>
      <c r="L927" s="15"/>
      <c r="M927" s="26"/>
      <c r="N927" s="26"/>
      <c r="O927" s="26"/>
      <c r="P927" s="26"/>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row>
    <row r="928" spans="1:40">
      <c r="A928" s="15"/>
      <c r="B928" s="15"/>
      <c r="C928" s="26"/>
      <c r="D928" s="15"/>
      <c r="E928" s="15"/>
      <c r="F928" s="15"/>
      <c r="G928" s="15"/>
      <c r="H928" s="15"/>
      <c r="I928" s="26"/>
      <c r="J928" s="15"/>
      <c r="K928" s="26"/>
      <c r="L928" s="15"/>
      <c r="M928" s="26"/>
      <c r="N928" s="26"/>
      <c r="O928" s="26"/>
      <c r="P928" s="26"/>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row>
    <row r="929" spans="1:40">
      <c r="A929" s="15"/>
      <c r="B929" s="15"/>
      <c r="C929" s="26"/>
      <c r="D929" s="15"/>
      <c r="E929" s="15"/>
      <c r="F929" s="15"/>
      <c r="G929" s="15"/>
      <c r="H929" s="15"/>
      <c r="I929" s="26"/>
      <c r="J929" s="15"/>
      <c r="K929" s="26"/>
      <c r="L929" s="15"/>
      <c r="M929" s="26"/>
      <c r="N929" s="26"/>
      <c r="O929" s="26"/>
      <c r="P929" s="26"/>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row>
    <row r="930" spans="1:40">
      <c r="A930" s="15"/>
      <c r="B930" s="15"/>
      <c r="C930" s="26"/>
      <c r="D930" s="15"/>
      <c r="E930" s="15"/>
      <c r="F930" s="15"/>
      <c r="G930" s="15"/>
      <c r="H930" s="15"/>
      <c r="I930" s="26"/>
      <c r="J930" s="15"/>
      <c r="K930" s="26"/>
      <c r="L930" s="15"/>
      <c r="M930" s="26"/>
      <c r="N930" s="26"/>
      <c r="O930" s="26"/>
      <c r="P930" s="26"/>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row>
    <row r="931" spans="1:40">
      <c r="A931" s="15"/>
      <c r="B931" s="15"/>
      <c r="C931" s="26"/>
      <c r="D931" s="15"/>
      <c r="E931" s="15"/>
      <c r="F931" s="15"/>
      <c r="G931" s="15"/>
      <c r="H931" s="15"/>
      <c r="I931" s="26"/>
      <c r="J931" s="15"/>
      <c r="K931" s="26"/>
      <c r="L931" s="15"/>
      <c r="M931" s="26"/>
      <c r="N931" s="26"/>
      <c r="O931" s="26"/>
      <c r="P931" s="26"/>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row>
    <row r="932" spans="1:40">
      <c r="A932" s="15"/>
      <c r="B932" s="15"/>
      <c r="C932" s="26"/>
      <c r="D932" s="15"/>
      <c r="E932" s="15"/>
      <c r="F932" s="15"/>
      <c r="G932" s="15"/>
      <c r="H932" s="15"/>
      <c r="I932" s="26"/>
      <c r="J932" s="15"/>
      <c r="K932" s="26"/>
      <c r="L932" s="15"/>
      <c r="M932" s="26"/>
      <c r="N932" s="26"/>
      <c r="O932" s="26"/>
      <c r="P932" s="26"/>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row>
    <row r="933" spans="1:40">
      <c r="A933" s="15"/>
      <c r="B933" s="15"/>
      <c r="C933" s="26"/>
      <c r="D933" s="15"/>
      <c r="E933" s="15"/>
      <c r="F933" s="15"/>
      <c r="G933" s="15"/>
      <c r="H933" s="15"/>
      <c r="I933" s="26"/>
      <c r="J933" s="15"/>
      <c r="K933" s="26"/>
      <c r="L933" s="15"/>
      <c r="M933" s="26"/>
      <c r="N933" s="26"/>
      <c r="O933" s="26"/>
      <c r="P933" s="26"/>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row>
    <row r="934" spans="1:40">
      <c r="A934" s="15"/>
      <c r="B934" s="15"/>
      <c r="C934" s="26"/>
      <c r="D934" s="15"/>
      <c r="E934" s="15"/>
      <c r="F934" s="15"/>
      <c r="G934" s="15"/>
      <c r="H934" s="15"/>
      <c r="I934" s="26"/>
      <c r="J934" s="15"/>
      <c r="K934" s="26"/>
      <c r="L934" s="15"/>
      <c r="M934" s="26"/>
      <c r="N934" s="26"/>
      <c r="O934" s="26"/>
      <c r="P934" s="26"/>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row>
    <row r="935" spans="1:40">
      <c r="A935" s="15"/>
      <c r="B935" s="15"/>
      <c r="C935" s="26"/>
      <c r="D935" s="15"/>
      <c r="E935" s="15"/>
      <c r="F935" s="15"/>
      <c r="G935" s="15"/>
      <c r="H935" s="15"/>
      <c r="I935" s="26"/>
      <c r="J935" s="15"/>
      <c r="K935" s="26"/>
      <c r="L935" s="15"/>
      <c r="M935" s="26"/>
      <c r="N935" s="26"/>
      <c r="O935" s="26"/>
      <c r="P935" s="26"/>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row>
    <row r="936" spans="1:40">
      <c r="A936" s="15"/>
      <c r="B936" s="15"/>
      <c r="C936" s="26"/>
      <c r="D936" s="15"/>
      <c r="E936" s="15"/>
      <c r="F936" s="15"/>
      <c r="G936" s="15"/>
      <c r="H936" s="15"/>
      <c r="I936" s="26"/>
      <c r="J936" s="15"/>
      <c r="K936" s="26"/>
      <c r="L936" s="15"/>
      <c r="M936" s="26"/>
      <c r="N936" s="26"/>
      <c r="O936" s="26"/>
      <c r="P936" s="26"/>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row>
    <row r="937" spans="1:40">
      <c r="A937" s="15"/>
      <c r="B937" s="15"/>
      <c r="C937" s="26"/>
      <c r="D937" s="15"/>
      <c r="E937" s="15"/>
      <c r="F937" s="15"/>
      <c r="G937" s="15"/>
      <c r="H937" s="15"/>
      <c r="I937" s="26"/>
      <c r="J937" s="15"/>
      <c r="K937" s="26"/>
      <c r="L937" s="15"/>
      <c r="M937" s="26"/>
      <c r="N937" s="26"/>
      <c r="O937" s="26"/>
      <c r="P937" s="26"/>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row>
    <row r="938" spans="1:40">
      <c r="A938" s="15"/>
      <c r="B938" s="15"/>
      <c r="C938" s="26"/>
      <c r="D938" s="15"/>
      <c r="E938" s="15"/>
      <c r="F938" s="15"/>
      <c r="G938" s="15"/>
      <c r="H938" s="15"/>
      <c r="I938" s="26"/>
      <c r="J938" s="15"/>
      <c r="K938" s="26"/>
      <c r="L938" s="15"/>
      <c r="M938" s="26"/>
      <c r="N938" s="26"/>
      <c r="O938" s="26"/>
      <c r="P938" s="26"/>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row>
    <row r="939" spans="1:40">
      <c r="A939" s="15"/>
      <c r="B939" s="15"/>
      <c r="C939" s="26"/>
      <c r="D939" s="15"/>
      <c r="E939" s="15"/>
      <c r="F939" s="15"/>
      <c r="G939" s="15"/>
      <c r="H939" s="15"/>
      <c r="I939" s="26"/>
      <c r="J939" s="15"/>
      <c r="K939" s="26"/>
      <c r="L939" s="15"/>
      <c r="M939" s="26"/>
      <c r="N939" s="26"/>
      <c r="O939" s="26"/>
      <c r="P939" s="26"/>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row>
    <row r="940" spans="1:40">
      <c r="A940" s="15"/>
      <c r="B940" s="15"/>
      <c r="C940" s="26"/>
      <c r="D940" s="15"/>
      <c r="E940" s="15"/>
      <c r="F940" s="15"/>
      <c r="G940" s="15"/>
      <c r="H940" s="15"/>
      <c r="I940" s="26"/>
      <c r="J940" s="15"/>
      <c r="K940" s="26"/>
      <c r="L940" s="15"/>
      <c r="M940" s="26"/>
      <c r="N940" s="26"/>
      <c r="O940" s="26"/>
      <c r="P940" s="26"/>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row>
    <row r="941" spans="1:40">
      <c r="A941" s="15"/>
      <c r="B941" s="15"/>
      <c r="C941" s="26"/>
      <c r="D941" s="15"/>
      <c r="E941" s="15"/>
      <c r="F941" s="15"/>
      <c r="G941" s="15"/>
      <c r="H941" s="15"/>
      <c r="I941" s="26"/>
      <c r="J941" s="15"/>
      <c r="K941" s="26"/>
      <c r="L941" s="15"/>
      <c r="M941" s="26"/>
      <c r="N941" s="26"/>
      <c r="O941" s="26"/>
      <c r="P941" s="26"/>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row>
    <row r="942" spans="1:40">
      <c r="A942" s="15"/>
      <c r="B942" s="15"/>
      <c r="C942" s="26"/>
      <c r="D942" s="15"/>
      <c r="E942" s="15"/>
      <c r="F942" s="15"/>
      <c r="G942" s="15"/>
      <c r="H942" s="15"/>
      <c r="I942" s="26"/>
      <c r="J942" s="15"/>
      <c r="K942" s="26"/>
      <c r="L942" s="15"/>
      <c r="M942" s="26"/>
      <c r="N942" s="26"/>
      <c r="O942" s="26"/>
      <c r="P942" s="26"/>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row>
    <row r="943" spans="1:40">
      <c r="A943" s="15"/>
      <c r="B943" s="15"/>
      <c r="C943" s="26"/>
      <c r="D943" s="15"/>
      <c r="E943" s="15"/>
      <c r="F943" s="15"/>
      <c r="G943" s="15"/>
      <c r="H943" s="15"/>
      <c r="I943" s="26"/>
      <c r="J943" s="15"/>
      <c r="K943" s="26"/>
      <c r="L943" s="15"/>
      <c r="M943" s="26"/>
      <c r="N943" s="26"/>
      <c r="O943" s="26"/>
      <c r="P943" s="26"/>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row>
    <row r="944" spans="1:40">
      <c r="A944" s="15"/>
      <c r="B944" s="15"/>
      <c r="C944" s="26"/>
      <c r="D944" s="15"/>
      <c r="E944" s="15"/>
      <c r="F944" s="15"/>
      <c r="G944" s="15"/>
      <c r="H944" s="15"/>
      <c r="I944" s="26"/>
      <c r="J944" s="15"/>
      <c r="K944" s="26"/>
      <c r="L944" s="15"/>
      <c r="M944" s="26"/>
      <c r="N944" s="26"/>
      <c r="O944" s="26"/>
      <c r="P944" s="26"/>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row>
    <row r="945" spans="1:40">
      <c r="A945" s="15"/>
      <c r="B945" s="15"/>
      <c r="C945" s="26"/>
      <c r="D945" s="15"/>
      <c r="E945" s="15"/>
      <c r="F945" s="15"/>
      <c r="G945" s="15"/>
      <c r="H945" s="15"/>
      <c r="I945" s="26"/>
      <c r="J945" s="15"/>
      <c r="K945" s="26"/>
      <c r="L945" s="15"/>
      <c r="M945" s="26"/>
      <c r="N945" s="26"/>
      <c r="O945" s="26"/>
      <c r="P945" s="26"/>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row>
    <row r="946" spans="1:40">
      <c r="A946" s="15"/>
      <c r="B946" s="15"/>
      <c r="C946" s="26"/>
      <c r="D946" s="15"/>
      <c r="E946" s="15"/>
      <c r="F946" s="15"/>
      <c r="G946" s="15"/>
      <c r="H946" s="15"/>
      <c r="I946" s="26"/>
      <c r="J946" s="15"/>
      <c r="K946" s="26"/>
      <c r="L946" s="15"/>
      <c r="M946" s="26"/>
      <c r="N946" s="26"/>
      <c r="O946" s="26"/>
      <c r="P946" s="26"/>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row>
    <row r="947" spans="1:40">
      <c r="A947" s="15"/>
      <c r="B947" s="15"/>
      <c r="C947" s="26"/>
      <c r="D947" s="15"/>
      <c r="E947" s="15"/>
      <c r="F947" s="15"/>
      <c r="G947" s="15"/>
      <c r="H947" s="15"/>
      <c r="I947" s="26"/>
      <c r="J947" s="15"/>
      <c r="K947" s="26"/>
      <c r="L947" s="15"/>
      <c r="M947" s="26"/>
      <c r="N947" s="26"/>
      <c r="O947" s="26"/>
      <c r="P947" s="26"/>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row>
    <row r="948" spans="1:40">
      <c r="A948" s="15"/>
      <c r="B948" s="15"/>
      <c r="C948" s="26"/>
      <c r="D948" s="15"/>
      <c r="E948" s="15"/>
      <c r="F948" s="15"/>
      <c r="G948" s="15"/>
      <c r="H948" s="15"/>
      <c r="I948" s="26"/>
      <c r="J948" s="15"/>
      <c r="K948" s="26"/>
      <c r="L948" s="15"/>
      <c r="M948" s="26"/>
      <c r="N948" s="26"/>
      <c r="O948" s="26"/>
      <c r="P948" s="26"/>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row>
    <row r="949" spans="1:40">
      <c r="A949" s="15"/>
      <c r="B949" s="15"/>
      <c r="C949" s="26"/>
      <c r="D949" s="15"/>
      <c r="E949" s="15"/>
      <c r="F949" s="15"/>
      <c r="G949" s="15"/>
      <c r="H949" s="15"/>
      <c r="I949" s="26"/>
      <c r="J949" s="15"/>
      <c r="K949" s="26"/>
      <c r="L949" s="15"/>
      <c r="M949" s="26"/>
      <c r="N949" s="26"/>
      <c r="O949" s="26"/>
      <c r="P949" s="26"/>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row>
    <row r="950" spans="1:40">
      <c r="A950" s="15"/>
      <c r="B950" s="15"/>
      <c r="C950" s="26"/>
      <c r="D950" s="15"/>
      <c r="E950" s="15"/>
      <c r="F950" s="15"/>
      <c r="G950" s="15"/>
      <c r="H950" s="15"/>
      <c r="I950" s="26"/>
      <c r="J950" s="15"/>
      <c r="K950" s="26"/>
      <c r="L950" s="15"/>
      <c r="M950" s="26"/>
      <c r="N950" s="26"/>
      <c r="O950" s="26"/>
      <c r="P950" s="26"/>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row>
    <row r="951" spans="1:40">
      <c r="A951" s="15"/>
      <c r="B951" s="15"/>
      <c r="C951" s="26"/>
      <c r="D951" s="15"/>
      <c r="E951" s="15"/>
      <c r="F951" s="15"/>
      <c r="G951" s="15"/>
      <c r="H951" s="15"/>
      <c r="I951" s="26"/>
      <c r="J951" s="15"/>
      <c r="K951" s="26"/>
      <c r="L951" s="15"/>
      <c r="M951" s="26"/>
      <c r="N951" s="26"/>
      <c r="O951" s="26"/>
      <c r="P951" s="26"/>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row>
    <row r="952" spans="1:40">
      <c r="A952" s="15"/>
      <c r="B952" s="15"/>
      <c r="C952" s="26"/>
      <c r="D952" s="15"/>
      <c r="E952" s="15"/>
      <c r="F952" s="15"/>
      <c r="G952" s="15"/>
      <c r="H952" s="15"/>
      <c r="I952" s="26"/>
      <c r="J952" s="15"/>
      <c r="K952" s="26"/>
      <c r="L952" s="15"/>
      <c r="M952" s="26"/>
      <c r="N952" s="26"/>
      <c r="O952" s="26"/>
      <c r="P952" s="26"/>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row>
    <row r="953" spans="1:40">
      <c r="A953" s="15"/>
      <c r="B953" s="15"/>
      <c r="C953" s="26"/>
      <c r="D953" s="15"/>
      <c r="E953" s="15"/>
      <c r="F953" s="15"/>
      <c r="G953" s="15"/>
      <c r="H953" s="15"/>
      <c r="I953" s="26"/>
      <c r="J953" s="15"/>
      <c r="K953" s="26"/>
      <c r="L953" s="15"/>
      <c r="M953" s="26"/>
      <c r="N953" s="26"/>
      <c r="O953" s="26"/>
      <c r="P953" s="26"/>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row>
    <row r="954" spans="1:40">
      <c r="A954" s="15"/>
      <c r="B954" s="15"/>
      <c r="C954" s="26"/>
      <c r="D954" s="15"/>
      <c r="E954" s="15"/>
      <c r="F954" s="15"/>
      <c r="G954" s="15"/>
      <c r="H954" s="15"/>
      <c r="I954" s="26"/>
      <c r="J954" s="15"/>
      <c r="K954" s="26"/>
      <c r="L954" s="15"/>
      <c r="M954" s="26"/>
      <c r="N954" s="26"/>
      <c r="O954" s="26"/>
      <c r="P954" s="26"/>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row>
    <row r="955" spans="1:40">
      <c r="A955" s="15"/>
      <c r="B955" s="15"/>
      <c r="C955" s="26"/>
      <c r="D955" s="15"/>
      <c r="E955" s="15"/>
      <c r="F955" s="15"/>
      <c r="G955" s="15"/>
      <c r="H955" s="15"/>
      <c r="I955" s="26"/>
      <c r="J955" s="15"/>
      <c r="K955" s="26"/>
      <c r="L955" s="15"/>
      <c r="M955" s="26"/>
      <c r="N955" s="26"/>
      <c r="O955" s="26"/>
      <c r="P955" s="26"/>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row>
    <row r="956" spans="1:40">
      <c r="A956" s="15"/>
      <c r="B956" s="15"/>
      <c r="C956" s="26"/>
      <c r="D956" s="15"/>
      <c r="E956" s="15"/>
      <c r="F956" s="15"/>
      <c r="G956" s="15"/>
      <c r="H956" s="15"/>
      <c r="I956" s="26"/>
      <c r="J956" s="15"/>
      <c r="K956" s="26"/>
      <c r="L956" s="15"/>
      <c r="M956" s="26"/>
      <c r="N956" s="26"/>
      <c r="O956" s="26"/>
      <c r="P956" s="26"/>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row>
    <row r="957" spans="1:40">
      <c r="A957" s="15"/>
      <c r="B957" s="15"/>
      <c r="C957" s="26"/>
      <c r="D957" s="15"/>
      <c r="E957" s="15"/>
      <c r="F957" s="15"/>
      <c r="G957" s="15"/>
      <c r="H957" s="15"/>
      <c r="I957" s="26"/>
      <c r="J957" s="15"/>
      <c r="K957" s="26"/>
      <c r="L957" s="15"/>
      <c r="M957" s="26"/>
      <c r="N957" s="26"/>
      <c r="O957" s="26"/>
      <c r="P957" s="26"/>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row>
    <row r="958" spans="1:40">
      <c r="A958" s="15"/>
      <c r="B958" s="15"/>
      <c r="C958" s="26"/>
      <c r="D958" s="15"/>
      <c r="E958" s="15"/>
      <c r="F958" s="15"/>
      <c r="G958" s="15"/>
      <c r="H958" s="15"/>
      <c r="I958" s="26"/>
      <c r="J958" s="15"/>
      <c r="K958" s="26"/>
      <c r="L958" s="15"/>
      <c r="M958" s="26"/>
      <c r="N958" s="26"/>
      <c r="O958" s="26"/>
      <c r="P958" s="26"/>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row>
    <row r="959" spans="1:40">
      <c r="A959" s="15"/>
      <c r="B959" s="15"/>
      <c r="C959" s="26"/>
      <c r="D959" s="15"/>
      <c r="E959" s="15"/>
      <c r="F959" s="15"/>
      <c r="G959" s="15"/>
      <c r="H959" s="15"/>
      <c r="I959" s="26"/>
      <c r="J959" s="15"/>
      <c r="K959" s="26"/>
      <c r="L959" s="15"/>
      <c r="M959" s="26"/>
      <c r="N959" s="26"/>
      <c r="O959" s="26"/>
      <c r="P959" s="26"/>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row>
    <row r="960" spans="1:40">
      <c r="A960" s="15"/>
      <c r="B960" s="15"/>
      <c r="C960" s="26"/>
      <c r="D960" s="15"/>
      <c r="E960" s="15"/>
      <c r="F960" s="15"/>
      <c r="G960" s="15"/>
      <c r="H960" s="15"/>
      <c r="I960" s="26"/>
      <c r="J960" s="15"/>
      <c r="K960" s="26"/>
      <c r="L960" s="15"/>
      <c r="M960" s="26"/>
      <c r="N960" s="26"/>
      <c r="O960" s="26"/>
      <c r="P960" s="26"/>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row>
    <row r="961" spans="1:40">
      <c r="A961" s="15"/>
      <c r="B961" s="15"/>
      <c r="C961" s="26"/>
      <c r="D961" s="15"/>
      <c r="E961" s="15"/>
      <c r="F961" s="15"/>
      <c r="G961" s="15"/>
      <c r="H961" s="15"/>
      <c r="I961" s="26"/>
      <c r="J961" s="15"/>
      <c r="K961" s="26"/>
      <c r="L961" s="15"/>
      <c r="M961" s="26"/>
      <c r="N961" s="26"/>
      <c r="O961" s="26"/>
      <c r="P961" s="26"/>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row>
    <row r="962" spans="1:40">
      <c r="A962" s="15"/>
      <c r="B962" s="15"/>
      <c r="C962" s="26"/>
      <c r="D962" s="15"/>
      <c r="E962" s="15"/>
      <c r="F962" s="15"/>
      <c r="G962" s="15"/>
      <c r="H962" s="15"/>
      <c r="I962" s="26"/>
      <c r="J962" s="15"/>
      <c r="K962" s="26"/>
      <c r="L962" s="15"/>
      <c r="M962" s="26"/>
      <c r="N962" s="26"/>
      <c r="O962" s="26"/>
      <c r="P962" s="26"/>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row>
    <row r="963" spans="1:40">
      <c r="A963" s="15"/>
      <c r="B963" s="15"/>
      <c r="C963" s="26"/>
      <c r="D963" s="15"/>
      <c r="E963" s="15"/>
      <c r="F963" s="15"/>
      <c r="G963" s="15"/>
      <c r="H963" s="15"/>
      <c r="I963" s="26"/>
      <c r="J963" s="15"/>
      <c r="K963" s="26"/>
      <c r="L963" s="15"/>
      <c r="M963" s="26"/>
      <c r="N963" s="26"/>
      <c r="O963" s="26"/>
      <c r="P963" s="26"/>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row>
    <row r="964" spans="1:40">
      <c r="A964" s="15"/>
      <c r="B964" s="15"/>
      <c r="C964" s="26"/>
      <c r="D964" s="15"/>
      <c r="E964" s="15"/>
      <c r="F964" s="15"/>
      <c r="G964" s="15"/>
      <c r="H964" s="15"/>
      <c r="I964" s="26"/>
      <c r="J964" s="15"/>
      <c r="K964" s="26"/>
      <c r="L964" s="15"/>
      <c r="M964" s="26"/>
      <c r="N964" s="26"/>
      <c r="O964" s="26"/>
      <c r="P964" s="26"/>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row>
    <row r="965" spans="1:40">
      <c r="A965" s="15"/>
      <c r="B965" s="15"/>
      <c r="C965" s="26"/>
      <c r="D965" s="15"/>
      <c r="E965" s="15"/>
      <c r="F965" s="15"/>
      <c r="G965" s="15"/>
      <c r="H965" s="15"/>
      <c r="I965" s="26"/>
      <c r="J965" s="15"/>
      <c r="K965" s="26"/>
      <c r="L965" s="15"/>
      <c r="M965" s="26"/>
      <c r="N965" s="26"/>
      <c r="O965" s="26"/>
      <c r="P965" s="26"/>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row>
  </sheetData>
  <dataValidations count="1">
    <dataValidation type="list" allowBlank="1" showErrorMessage="1" sqref="W3:W19" xr:uid="{00000000-0002-0000-0500-000000000000}">
      <formula1>"Open,Inprogress,Closed"</formula1>
    </dataValidation>
  </dataValidations>
  <pageMargins left="0" right="0" top="0" bottom="0" header="0" footer="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election activeCell="M15" sqref="M15"/>
    </sheetView>
  </sheetViews>
  <sheetFormatPr defaultColWidth="12.5703125" defaultRowHeight="15.75" customHeight="1"/>
  <cols>
    <col min="6" max="6" width="33.85546875" customWidth="1"/>
  </cols>
  <sheetData>
    <row r="1" spans="1:26">
      <c r="A1" s="7" t="s">
        <v>243</v>
      </c>
      <c r="B1" s="21" t="s">
        <v>11</v>
      </c>
      <c r="C1" s="21" t="s">
        <v>297</v>
      </c>
      <c r="D1" s="21" t="s">
        <v>245</v>
      </c>
      <c r="E1" s="22" t="s">
        <v>299</v>
      </c>
      <c r="F1" s="22" t="s">
        <v>300</v>
      </c>
      <c r="G1" s="21" t="s">
        <v>301</v>
      </c>
      <c r="H1" s="21" t="s">
        <v>303</v>
      </c>
      <c r="I1" s="21" t="s">
        <v>248</v>
      </c>
      <c r="J1" s="23" t="s">
        <v>305</v>
      </c>
      <c r="K1" s="24" t="s">
        <v>269</v>
      </c>
      <c r="L1" s="25"/>
      <c r="M1" s="25"/>
      <c r="N1" s="25"/>
      <c r="O1" s="25"/>
      <c r="P1" s="25"/>
      <c r="Q1" s="25"/>
      <c r="R1" s="25"/>
      <c r="S1" s="25"/>
      <c r="T1" s="25"/>
      <c r="U1" s="25"/>
      <c r="V1" s="25"/>
      <c r="W1" s="25"/>
      <c r="X1" s="25"/>
      <c r="Y1" s="25"/>
      <c r="Z1" s="25"/>
    </row>
    <row r="2" spans="1:26">
      <c r="A2" s="29">
        <v>1</v>
      </c>
      <c r="B2" s="31" t="s">
        <v>23</v>
      </c>
      <c r="C2" s="18">
        <v>22665</v>
      </c>
      <c r="D2" s="30" t="s">
        <v>1019</v>
      </c>
      <c r="E2" s="30" t="s">
        <v>715</v>
      </c>
      <c r="F2" s="19" t="s">
        <v>1470</v>
      </c>
      <c r="G2" s="30" t="s">
        <v>784</v>
      </c>
      <c r="H2" s="30" t="s">
        <v>371</v>
      </c>
      <c r="I2" s="30" t="s">
        <v>952</v>
      </c>
      <c r="J2" s="30" t="s">
        <v>859</v>
      </c>
      <c r="K2" s="30" t="s">
        <v>1471</v>
      </c>
      <c r="L2" s="25"/>
      <c r="M2" s="25"/>
      <c r="N2" s="25"/>
      <c r="O2" s="25"/>
      <c r="P2" s="25"/>
      <c r="Q2" s="25"/>
      <c r="R2" s="25"/>
      <c r="S2" s="25"/>
      <c r="T2" s="25"/>
      <c r="U2" s="25"/>
      <c r="V2" s="25"/>
    </row>
    <row r="3" spans="1:26">
      <c r="A3" s="29">
        <v>2</v>
      </c>
      <c r="B3" s="31" t="s">
        <v>23</v>
      </c>
      <c r="C3" s="18" t="s">
        <v>1472</v>
      </c>
      <c r="D3" s="30" t="s">
        <v>1019</v>
      </c>
      <c r="E3" s="30" t="s">
        <v>127</v>
      </c>
      <c r="F3" s="32" t="s">
        <v>1473</v>
      </c>
      <c r="G3" s="30" t="s">
        <v>784</v>
      </c>
      <c r="H3" s="30" t="s">
        <v>371</v>
      </c>
      <c r="I3" s="30" t="s">
        <v>780</v>
      </c>
      <c r="J3" s="30" t="s">
        <v>859</v>
      </c>
      <c r="K3" s="30" t="s">
        <v>1471</v>
      </c>
      <c r="L3" s="25"/>
      <c r="M3" s="25"/>
      <c r="N3" s="25"/>
      <c r="O3" s="25"/>
      <c r="P3" s="25"/>
      <c r="Q3" s="25"/>
      <c r="R3" s="25"/>
      <c r="S3" s="25"/>
      <c r="T3" s="25"/>
      <c r="U3" s="25"/>
      <c r="V3" s="25"/>
    </row>
    <row r="4" spans="1:26">
      <c r="A4" s="29">
        <v>3</v>
      </c>
      <c r="B4" s="31" t="s">
        <v>23</v>
      </c>
      <c r="C4" s="18" t="s">
        <v>1472</v>
      </c>
      <c r="D4" s="30" t="s">
        <v>287</v>
      </c>
      <c r="E4" s="30" t="s">
        <v>127</v>
      </c>
      <c r="F4" s="36" t="s">
        <v>1474</v>
      </c>
      <c r="G4" s="30" t="s">
        <v>307</v>
      </c>
      <c r="H4" s="30" t="s">
        <v>371</v>
      </c>
      <c r="I4" s="30" t="s">
        <v>780</v>
      </c>
      <c r="J4" s="30" t="s">
        <v>859</v>
      </c>
      <c r="K4" s="30" t="s">
        <v>1471</v>
      </c>
      <c r="L4" s="25"/>
      <c r="M4" s="25"/>
      <c r="N4" s="25"/>
      <c r="O4" s="25"/>
      <c r="P4" s="25"/>
      <c r="Q4" s="25"/>
      <c r="R4" s="25"/>
      <c r="S4" s="25"/>
      <c r="T4" s="25"/>
      <c r="U4" s="25"/>
      <c r="V4" s="25"/>
    </row>
    <row r="5" spans="1:26">
      <c r="A5" s="29">
        <v>4</v>
      </c>
      <c r="B5" s="31" t="s">
        <v>23</v>
      </c>
      <c r="C5" s="18" t="s">
        <v>1472</v>
      </c>
      <c r="D5" s="30" t="s">
        <v>1019</v>
      </c>
      <c r="E5" s="30" t="s">
        <v>127</v>
      </c>
      <c r="F5" s="37" t="s">
        <v>1475</v>
      </c>
      <c r="G5" s="30" t="s">
        <v>924</v>
      </c>
      <c r="H5" s="30" t="s">
        <v>371</v>
      </c>
      <c r="I5" s="30" t="s">
        <v>780</v>
      </c>
      <c r="J5" s="30" t="s">
        <v>859</v>
      </c>
      <c r="K5" s="30" t="s">
        <v>1471</v>
      </c>
      <c r="L5" s="25"/>
      <c r="M5" s="25"/>
      <c r="N5" s="25"/>
      <c r="O5" s="25"/>
      <c r="P5" s="25"/>
      <c r="Q5" s="25"/>
      <c r="R5" s="25"/>
      <c r="S5" s="25"/>
      <c r="T5" s="25"/>
      <c r="U5" s="25"/>
      <c r="V5" s="25"/>
    </row>
    <row r="6" spans="1:26">
      <c r="A6" s="29">
        <v>5</v>
      </c>
      <c r="B6" s="31" t="s">
        <v>23</v>
      </c>
      <c r="C6" s="18" t="s">
        <v>1472</v>
      </c>
      <c r="D6" s="30" t="s">
        <v>275</v>
      </c>
      <c r="E6" s="30" t="s">
        <v>127</v>
      </c>
      <c r="F6" s="37" t="s">
        <v>1476</v>
      </c>
      <c r="G6" s="30" t="s">
        <v>924</v>
      </c>
      <c r="H6" s="30" t="s">
        <v>371</v>
      </c>
      <c r="I6" s="30" t="s">
        <v>780</v>
      </c>
      <c r="J6" s="30" t="s">
        <v>937</v>
      </c>
      <c r="K6" s="33" t="s">
        <v>1477</v>
      </c>
      <c r="L6" s="25"/>
      <c r="M6" s="25"/>
      <c r="N6" s="25"/>
      <c r="O6" s="25"/>
      <c r="P6" s="25"/>
      <c r="Q6" s="25"/>
      <c r="R6" s="25"/>
      <c r="S6" s="25"/>
      <c r="T6" s="25"/>
      <c r="U6" s="25"/>
      <c r="V6" s="25"/>
    </row>
    <row r="7" spans="1:26">
      <c r="A7" s="29">
        <v>6</v>
      </c>
      <c r="B7" s="31" t="s">
        <v>23</v>
      </c>
      <c r="C7" s="18" t="s">
        <v>1472</v>
      </c>
      <c r="D7" s="30" t="s">
        <v>275</v>
      </c>
      <c r="E7" s="30" t="s">
        <v>127</v>
      </c>
      <c r="F7" s="37" t="s">
        <v>1478</v>
      </c>
      <c r="G7" s="30" t="s">
        <v>784</v>
      </c>
      <c r="H7" s="30" t="s">
        <v>371</v>
      </c>
      <c r="I7" s="30" t="s">
        <v>780</v>
      </c>
      <c r="J7" s="30" t="s">
        <v>859</v>
      </c>
      <c r="K7" s="33" t="s">
        <v>1479</v>
      </c>
      <c r="L7" s="25"/>
      <c r="M7" s="25"/>
      <c r="N7" s="25"/>
      <c r="O7" s="25"/>
      <c r="P7" s="25"/>
      <c r="Q7" s="25"/>
      <c r="R7" s="25"/>
      <c r="S7" s="25"/>
      <c r="T7" s="25"/>
      <c r="U7" s="25"/>
      <c r="V7" s="25"/>
    </row>
    <row r="8" spans="1:26">
      <c r="A8" s="29">
        <v>7</v>
      </c>
      <c r="B8" s="31" t="s">
        <v>23</v>
      </c>
      <c r="C8" s="18" t="s">
        <v>1472</v>
      </c>
      <c r="D8" s="30" t="s">
        <v>1019</v>
      </c>
      <c r="E8" s="30" t="s">
        <v>127</v>
      </c>
      <c r="F8" s="37" t="s">
        <v>1480</v>
      </c>
      <c r="G8" s="30" t="s">
        <v>924</v>
      </c>
      <c r="H8" s="30" t="s">
        <v>371</v>
      </c>
      <c r="I8" s="30" t="s">
        <v>780</v>
      </c>
      <c r="J8" s="30" t="s">
        <v>859</v>
      </c>
      <c r="K8" s="30" t="s">
        <v>1471</v>
      </c>
    </row>
    <row r="9" spans="1:26">
      <c r="A9" s="29">
        <v>8</v>
      </c>
      <c r="B9" s="31" t="s">
        <v>23</v>
      </c>
      <c r="C9" s="18" t="s">
        <v>1472</v>
      </c>
      <c r="D9" s="30" t="s">
        <v>1019</v>
      </c>
      <c r="E9" s="30" t="s">
        <v>127</v>
      </c>
      <c r="F9" s="37" t="s">
        <v>1473</v>
      </c>
      <c r="G9" s="30" t="s">
        <v>307</v>
      </c>
      <c r="H9" s="30" t="s">
        <v>371</v>
      </c>
      <c r="I9" s="30" t="s">
        <v>780</v>
      </c>
      <c r="J9" s="30" t="s">
        <v>859</v>
      </c>
      <c r="K9" s="30" t="s">
        <v>1471</v>
      </c>
    </row>
    <row r="10" spans="1:26">
      <c r="A10" s="29">
        <v>9</v>
      </c>
      <c r="B10" s="31" t="s">
        <v>23</v>
      </c>
      <c r="C10" s="18" t="s">
        <v>1472</v>
      </c>
      <c r="D10" s="30" t="s">
        <v>1019</v>
      </c>
      <c r="E10" s="30" t="s">
        <v>127</v>
      </c>
      <c r="F10" s="37" t="s">
        <v>1481</v>
      </c>
      <c r="G10" s="30" t="s">
        <v>924</v>
      </c>
      <c r="H10" s="30" t="s">
        <v>371</v>
      </c>
      <c r="I10" s="30" t="s">
        <v>780</v>
      </c>
      <c r="J10" s="30" t="s">
        <v>859</v>
      </c>
      <c r="K10" s="30" t="s">
        <v>1471</v>
      </c>
    </row>
    <row r="11" spans="1:26">
      <c r="A11" s="29">
        <v>10</v>
      </c>
      <c r="B11" s="31" t="s">
        <v>23</v>
      </c>
      <c r="C11" s="18" t="s">
        <v>1472</v>
      </c>
      <c r="D11" s="30" t="s">
        <v>287</v>
      </c>
      <c r="E11" s="30" t="s">
        <v>127</v>
      </c>
      <c r="F11" s="37" t="s">
        <v>1482</v>
      </c>
      <c r="G11" s="30" t="s">
        <v>924</v>
      </c>
      <c r="H11" s="30" t="s">
        <v>371</v>
      </c>
      <c r="I11" s="30" t="s">
        <v>780</v>
      </c>
      <c r="J11" s="30" t="s">
        <v>859</v>
      </c>
      <c r="K11" s="30" t="s">
        <v>1471</v>
      </c>
    </row>
    <row r="12" spans="1:26">
      <c r="A12" s="29">
        <v>11</v>
      </c>
      <c r="B12" s="31" t="s">
        <v>23</v>
      </c>
      <c r="C12" s="18" t="s">
        <v>1472</v>
      </c>
      <c r="D12" s="30" t="s">
        <v>275</v>
      </c>
      <c r="E12" s="30" t="s">
        <v>127</v>
      </c>
      <c r="F12" s="37" t="s">
        <v>1483</v>
      </c>
      <c r="G12" s="30" t="s">
        <v>784</v>
      </c>
      <c r="H12" s="30" t="s">
        <v>371</v>
      </c>
      <c r="I12" s="30" t="s">
        <v>780</v>
      </c>
      <c r="J12" s="30" t="s">
        <v>859</v>
      </c>
      <c r="K12" s="30" t="s">
        <v>1471</v>
      </c>
    </row>
    <row r="13" spans="1:26">
      <c r="A13" s="29"/>
      <c r="B13" s="31"/>
      <c r="C13" s="18"/>
      <c r="D13" s="30"/>
      <c r="E13" s="30"/>
      <c r="F13" s="32"/>
      <c r="G13" s="30"/>
      <c r="H13" s="30"/>
      <c r="I13" s="30"/>
      <c r="J13" s="30"/>
      <c r="K13" s="30"/>
    </row>
    <row r="14" spans="1:26">
      <c r="C14" s="34"/>
    </row>
    <row r="15" spans="1:26">
      <c r="C15" s="34"/>
    </row>
    <row r="16" spans="1:26">
      <c r="C16" s="34"/>
    </row>
    <row r="17" spans="3:3">
      <c r="C17" s="34"/>
    </row>
    <row r="18" spans="3:3">
      <c r="C18" s="34"/>
    </row>
    <row r="19" spans="3:3">
      <c r="C19" s="34"/>
    </row>
    <row r="20" spans="3:3">
      <c r="C20" s="34"/>
    </row>
    <row r="21" spans="3:3">
      <c r="C21" s="34"/>
    </row>
    <row r="22" spans="3:3">
      <c r="C22" s="34"/>
    </row>
    <row r="23" spans="3:3">
      <c r="C23" s="34"/>
    </row>
    <row r="24" spans="3:3">
      <c r="C24" s="34"/>
    </row>
    <row r="25" spans="3:3">
      <c r="C25" s="34"/>
    </row>
    <row r="26" spans="3:3">
      <c r="C26" s="34"/>
    </row>
    <row r="27" spans="3:3">
      <c r="C27" s="34"/>
    </row>
    <row r="28" spans="3:3">
      <c r="C28" s="34"/>
    </row>
    <row r="29" spans="3:3">
      <c r="C29" s="34"/>
    </row>
    <row r="30" spans="3:3">
      <c r="C30" s="34"/>
    </row>
    <row r="31" spans="3:3">
      <c r="C31" s="34"/>
    </row>
    <row r="32" spans="3:3">
      <c r="C32" s="34"/>
    </row>
    <row r="33" spans="3:3">
      <c r="C33" s="34"/>
    </row>
    <row r="34" spans="3:3">
      <c r="C34" s="34"/>
    </row>
    <row r="35" spans="3:3">
      <c r="C35" s="34"/>
    </row>
    <row r="36" spans="3:3">
      <c r="C36" s="34"/>
    </row>
    <row r="37" spans="3:3">
      <c r="C37" s="34"/>
    </row>
    <row r="38" spans="3:3">
      <c r="C38" s="34"/>
    </row>
    <row r="39" spans="3:3">
      <c r="C39" s="34"/>
    </row>
    <row r="40" spans="3:3">
      <c r="C40" s="34"/>
    </row>
    <row r="41" spans="3:3">
      <c r="C41" s="34"/>
    </row>
    <row r="42" spans="3:3">
      <c r="C42" s="34"/>
    </row>
    <row r="43" spans="3:3">
      <c r="C43" s="34"/>
    </row>
    <row r="44" spans="3:3">
      <c r="C44" s="34"/>
    </row>
    <row r="45" spans="3:3">
      <c r="C45" s="34"/>
    </row>
    <row r="46" spans="3:3">
      <c r="C46" s="34"/>
    </row>
    <row r="47" spans="3:3">
      <c r="C47" s="34"/>
    </row>
    <row r="48" spans="3:3">
      <c r="C48" s="34"/>
    </row>
    <row r="49" spans="3:3">
      <c r="C49" s="34"/>
    </row>
    <row r="50" spans="3:3">
      <c r="C50" s="34"/>
    </row>
    <row r="51" spans="3:3">
      <c r="C51" s="34"/>
    </row>
    <row r="52" spans="3:3">
      <c r="C52" s="34"/>
    </row>
    <row r="53" spans="3:3">
      <c r="C53" s="34"/>
    </row>
    <row r="54" spans="3:3">
      <c r="C54" s="34"/>
    </row>
    <row r="55" spans="3:3">
      <c r="C55" s="34"/>
    </row>
    <row r="56" spans="3:3">
      <c r="C56" s="34"/>
    </row>
    <row r="57" spans="3:3">
      <c r="C57" s="34"/>
    </row>
    <row r="58" spans="3:3">
      <c r="C58" s="34"/>
    </row>
    <row r="59" spans="3:3">
      <c r="C59" s="34"/>
    </row>
    <row r="60" spans="3:3">
      <c r="C60" s="34"/>
    </row>
    <row r="61" spans="3:3">
      <c r="C61" s="34"/>
    </row>
    <row r="62" spans="3:3">
      <c r="C62" s="34"/>
    </row>
    <row r="63" spans="3:3">
      <c r="C63" s="34"/>
    </row>
    <row r="64" spans="3:3">
      <c r="C64" s="34"/>
    </row>
    <row r="65" spans="3:3">
      <c r="C65" s="34"/>
    </row>
    <row r="66" spans="3:3">
      <c r="C66" s="34"/>
    </row>
    <row r="67" spans="3:3">
      <c r="C67" s="34"/>
    </row>
    <row r="68" spans="3:3">
      <c r="C68" s="34"/>
    </row>
    <row r="69" spans="3:3">
      <c r="C69" s="34"/>
    </row>
    <row r="70" spans="3:3">
      <c r="C70" s="34"/>
    </row>
    <row r="71" spans="3:3">
      <c r="C71" s="34"/>
    </row>
    <row r="72" spans="3:3">
      <c r="C72" s="34"/>
    </row>
    <row r="73" spans="3:3">
      <c r="C73" s="34"/>
    </row>
    <row r="74" spans="3:3">
      <c r="C74" s="34"/>
    </row>
    <row r="75" spans="3:3">
      <c r="C75" s="34"/>
    </row>
    <row r="76" spans="3:3">
      <c r="C76" s="34"/>
    </row>
    <row r="77" spans="3:3">
      <c r="C77" s="34"/>
    </row>
    <row r="78" spans="3:3">
      <c r="C78" s="34"/>
    </row>
    <row r="79" spans="3:3">
      <c r="C79" s="34"/>
    </row>
    <row r="80" spans="3:3">
      <c r="C80" s="34"/>
    </row>
    <row r="81" spans="3:3">
      <c r="C81" s="34"/>
    </row>
    <row r="82" spans="3:3">
      <c r="C82" s="34"/>
    </row>
    <row r="83" spans="3:3">
      <c r="C83" s="34"/>
    </row>
    <row r="84" spans="3:3">
      <c r="C84" s="34"/>
    </row>
    <row r="85" spans="3:3">
      <c r="C85" s="34"/>
    </row>
    <row r="86" spans="3:3">
      <c r="C86" s="34"/>
    </row>
    <row r="87" spans="3:3">
      <c r="C87" s="34"/>
    </row>
    <row r="88" spans="3:3">
      <c r="C88" s="34"/>
    </row>
    <row r="89" spans="3:3">
      <c r="C89" s="34"/>
    </row>
    <row r="90" spans="3:3">
      <c r="C90" s="34"/>
    </row>
    <row r="91" spans="3:3">
      <c r="C91" s="34"/>
    </row>
    <row r="92" spans="3:3">
      <c r="C92" s="34"/>
    </row>
    <row r="93" spans="3:3">
      <c r="C93" s="34"/>
    </row>
    <row r="94" spans="3:3">
      <c r="C94" s="34"/>
    </row>
    <row r="95" spans="3:3">
      <c r="C95" s="34"/>
    </row>
    <row r="96" spans="3:3">
      <c r="C96" s="34"/>
    </row>
    <row r="97" spans="3:3">
      <c r="C97" s="34"/>
    </row>
    <row r="98" spans="3:3">
      <c r="C98" s="34"/>
    </row>
    <row r="99" spans="3:3">
      <c r="C99" s="34"/>
    </row>
    <row r="100" spans="3:3">
      <c r="C100" s="34"/>
    </row>
    <row r="101" spans="3:3">
      <c r="C101" s="34"/>
    </row>
    <row r="102" spans="3:3">
      <c r="C102" s="34"/>
    </row>
    <row r="103" spans="3:3">
      <c r="C103" s="34"/>
    </row>
    <row r="104" spans="3:3">
      <c r="C104" s="34"/>
    </row>
    <row r="105" spans="3:3">
      <c r="C105" s="34"/>
    </row>
    <row r="106" spans="3:3">
      <c r="C106" s="34"/>
    </row>
    <row r="107" spans="3:3">
      <c r="C107" s="34"/>
    </row>
    <row r="108" spans="3:3">
      <c r="C108" s="34"/>
    </row>
    <row r="109" spans="3:3">
      <c r="C109" s="34"/>
    </row>
    <row r="110" spans="3:3">
      <c r="C110" s="34"/>
    </row>
    <row r="111" spans="3:3">
      <c r="C111" s="34"/>
    </row>
    <row r="112" spans="3:3">
      <c r="C112" s="34"/>
    </row>
    <row r="113" spans="3:3">
      <c r="C113" s="34"/>
    </row>
    <row r="114" spans="3:3">
      <c r="C114" s="34"/>
    </row>
    <row r="115" spans="3:3">
      <c r="C115" s="34"/>
    </row>
    <row r="116" spans="3:3">
      <c r="C116" s="34"/>
    </row>
    <row r="117" spans="3:3">
      <c r="C117" s="34"/>
    </row>
    <row r="118" spans="3:3">
      <c r="C118" s="34"/>
    </row>
    <row r="119" spans="3:3">
      <c r="C119" s="34"/>
    </row>
    <row r="120" spans="3:3">
      <c r="C120" s="34"/>
    </row>
    <row r="121" spans="3:3">
      <c r="C121" s="34"/>
    </row>
    <row r="122" spans="3:3">
      <c r="C122" s="34"/>
    </row>
    <row r="123" spans="3:3">
      <c r="C123" s="34"/>
    </row>
    <row r="124" spans="3:3">
      <c r="C124" s="34"/>
    </row>
    <row r="125" spans="3:3">
      <c r="C125" s="34"/>
    </row>
    <row r="126" spans="3:3">
      <c r="C126" s="34"/>
    </row>
    <row r="127" spans="3:3">
      <c r="C127" s="34"/>
    </row>
    <row r="128" spans="3:3">
      <c r="C128" s="34"/>
    </row>
    <row r="129" spans="3:3">
      <c r="C129" s="34"/>
    </row>
    <row r="130" spans="3:3">
      <c r="C130" s="34"/>
    </row>
    <row r="131" spans="3:3">
      <c r="C131" s="34"/>
    </row>
    <row r="132" spans="3:3">
      <c r="C132" s="34"/>
    </row>
    <row r="133" spans="3:3">
      <c r="C133" s="34"/>
    </row>
    <row r="134" spans="3:3">
      <c r="C134" s="34"/>
    </row>
    <row r="135" spans="3:3">
      <c r="C135" s="34"/>
    </row>
    <row r="136" spans="3:3">
      <c r="C136" s="34"/>
    </row>
    <row r="137" spans="3:3">
      <c r="C137" s="34"/>
    </row>
    <row r="138" spans="3:3">
      <c r="C138" s="34"/>
    </row>
    <row r="139" spans="3:3">
      <c r="C139" s="34"/>
    </row>
    <row r="140" spans="3:3">
      <c r="C140" s="34"/>
    </row>
    <row r="141" spans="3:3">
      <c r="C141" s="34"/>
    </row>
    <row r="142" spans="3:3">
      <c r="C142" s="34"/>
    </row>
    <row r="143" spans="3:3">
      <c r="C143" s="34"/>
    </row>
    <row r="144" spans="3:3">
      <c r="C144" s="34"/>
    </row>
    <row r="145" spans="3:3">
      <c r="C145" s="34"/>
    </row>
    <row r="146" spans="3:3">
      <c r="C146" s="34"/>
    </row>
    <row r="147" spans="3:3">
      <c r="C147" s="34"/>
    </row>
    <row r="148" spans="3:3">
      <c r="C148" s="34"/>
    </row>
    <row r="149" spans="3:3">
      <c r="C149" s="34"/>
    </row>
    <row r="150" spans="3:3">
      <c r="C150" s="34"/>
    </row>
    <row r="151" spans="3:3">
      <c r="C151" s="34"/>
    </row>
    <row r="152" spans="3:3">
      <c r="C152" s="34"/>
    </row>
    <row r="153" spans="3:3">
      <c r="C153" s="34"/>
    </row>
    <row r="154" spans="3:3">
      <c r="C154" s="34"/>
    </row>
    <row r="155" spans="3:3">
      <c r="C155" s="34"/>
    </row>
    <row r="156" spans="3:3">
      <c r="C156" s="34"/>
    </row>
    <row r="157" spans="3:3">
      <c r="C157" s="34"/>
    </row>
    <row r="158" spans="3:3">
      <c r="C158" s="34"/>
    </row>
    <row r="159" spans="3:3">
      <c r="C159" s="34"/>
    </row>
    <row r="160" spans="3:3">
      <c r="C160" s="34"/>
    </row>
    <row r="161" spans="3:3">
      <c r="C161" s="34"/>
    </row>
    <row r="162" spans="3:3">
      <c r="C162" s="34"/>
    </row>
    <row r="163" spans="3:3">
      <c r="C163" s="34"/>
    </row>
    <row r="164" spans="3:3">
      <c r="C164" s="34"/>
    </row>
    <row r="165" spans="3:3">
      <c r="C165" s="34"/>
    </row>
    <row r="166" spans="3:3">
      <c r="C166" s="34"/>
    </row>
    <row r="167" spans="3:3">
      <c r="C167" s="34"/>
    </row>
    <row r="168" spans="3:3">
      <c r="C168" s="34"/>
    </row>
    <row r="169" spans="3:3">
      <c r="C169" s="34"/>
    </row>
    <row r="170" spans="3:3">
      <c r="C170" s="34"/>
    </row>
    <row r="171" spans="3:3">
      <c r="C171" s="34"/>
    </row>
    <row r="172" spans="3:3">
      <c r="C172" s="34"/>
    </row>
    <row r="173" spans="3:3">
      <c r="C173" s="34"/>
    </row>
    <row r="174" spans="3:3">
      <c r="C174" s="34"/>
    </row>
    <row r="175" spans="3:3">
      <c r="C175" s="34"/>
    </row>
    <row r="176" spans="3:3">
      <c r="C176" s="34"/>
    </row>
    <row r="177" spans="3:3">
      <c r="C177" s="34"/>
    </row>
    <row r="178" spans="3:3">
      <c r="C178" s="34"/>
    </row>
    <row r="179" spans="3:3">
      <c r="C179" s="34"/>
    </row>
    <row r="180" spans="3:3">
      <c r="C180" s="34"/>
    </row>
    <row r="181" spans="3:3">
      <c r="C181" s="34"/>
    </row>
    <row r="182" spans="3:3">
      <c r="C182" s="34"/>
    </row>
    <row r="183" spans="3:3">
      <c r="C183" s="34"/>
    </row>
    <row r="184" spans="3:3">
      <c r="C184" s="34"/>
    </row>
    <row r="185" spans="3:3">
      <c r="C185" s="34"/>
    </row>
    <row r="186" spans="3:3">
      <c r="C186" s="34"/>
    </row>
    <row r="187" spans="3:3">
      <c r="C187" s="34"/>
    </row>
    <row r="188" spans="3:3">
      <c r="C188" s="34"/>
    </row>
    <row r="189" spans="3:3">
      <c r="C189" s="34"/>
    </row>
    <row r="190" spans="3:3">
      <c r="C190" s="34"/>
    </row>
    <row r="191" spans="3:3">
      <c r="C191" s="34"/>
    </row>
    <row r="192" spans="3:3">
      <c r="C192" s="34"/>
    </row>
    <row r="193" spans="3:3">
      <c r="C193" s="34"/>
    </row>
    <row r="194" spans="3:3">
      <c r="C194" s="34"/>
    </row>
    <row r="195" spans="3:3">
      <c r="C195" s="34"/>
    </row>
    <row r="196" spans="3:3">
      <c r="C196" s="34"/>
    </row>
    <row r="197" spans="3:3">
      <c r="C197" s="34"/>
    </row>
    <row r="198" spans="3:3">
      <c r="C198" s="34"/>
    </row>
    <row r="199" spans="3:3">
      <c r="C199" s="34"/>
    </row>
    <row r="200" spans="3:3">
      <c r="C200" s="34"/>
    </row>
    <row r="201" spans="3:3">
      <c r="C201" s="34"/>
    </row>
    <row r="202" spans="3:3">
      <c r="C202" s="34"/>
    </row>
    <row r="203" spans="3:3">
      <c r="C203" s="34"/>
    </row>
    <row r="204" spans="3:3">
      <c r="C204" s="34"/>
    </row>
    <row r="205" spans="3:3">
      <c r="C205" s="34"/>
    </row>
    <row r="206" spans="3:3">
      <c r="C206" s="34"/>
    </row>
    <row r="207" spans="3:3">
      <c r="C207" s="34"/>
    </row>
    <row r="208" spans="3:3">
      <c r="C208" s="34"/>
    </row>
    <row r="209" spans="3:3">
      <c r="C209" s="34"/>
    </row>
    <row r="210" spans="3:3">
      <c r="C210" s="34"/>
    </row>
    <row r="211" spans="3:3">
      <c r="C211" s="34"/>
    </row>
    <row r="212" spans="3:3">
      <c r="C212" s="34"/>
    </row>
    <row r="213" spans="3:3">
      <c r="C213" s="34"/>
    </row>
    <row r="214" spans="3:3">
      <c r="C214" s="34"/>
    </row>
    <row r="215" spans="3:3">
      <c r="C215" s="34"/>
    </row>
    <row r="216" spans="3:3">
      <c r="C216" s="34"/>
    </row>
    <row r="217" spans="3:3">
      <c r="C217" s="34"/>
    </row>
    <row r="218" spans="3:3">
      <c r="C218" s="34"/>
    </row>
    <row r="219" spans="3:3">
      <c r="C219" s="34"/>
    </row>
    <row r="220" spans="3:3">
      <c r="C220" s="34"/>
    </row>
    <row r="221" spans="3:3">
      <c r="C221" s="34"/>
    </row>
    <row r="222" spans="3:3">
      <c r="C222" s="34"/>
    </row>
    <row r="223" spans="3:3">
      <c r="C223" s="34"/>
    </row>
    <row r="224" spans="3:3">
      <c r="C224" s="34"/>
    </row>
    <row r="225" spans="3:3">
      <c r="C225" s="34"/>
    </row>
    <row r="226" spans="3:3">
      <c r="C226" s="34"/>
    </row>
    <row r="227" spans="3:3">
      <c r="C227" s="34"/>
    </row>
    <row r="228" spans="3:3">
      <c r="C228" s="34"/>
    </row>
    <row r="229" spans="3:3">
      <c r="C229" s="34"/>
    </row>
    <row r="230" spans="3:3">
      <c r="C230" s="34"/>
    </row>
    <row r="231" spans="3:3">
      <c r="C231" s="34"/>
    </row>
    <row r="232" spans="3:3">
      <c r="C232" s="34"/>
    </row>
    <row r="233" spans="3:3">
      <c r="C233" s="34"/>
    </row>
    <row r="234" spans="3:3">
      <c r="C234" s="34"/>
    </row>
    <row r="235" spans="3:3">
      <c r="C235" s="34"/>
    </row>
    <row r="236" spans="3:3">
      <c r="C236" s="34"/>
    </row>
    <row r="237" spans="3:3">
      <c r="C237" s="34"/>
    </row>
    <row r="238" spans="3:3">
      <c r="C238" s="34"/>
    </row>
    <row r="239" spans="3:3">
      <c r="C239" s="34"/>
    </row>
    <row r="240" spans="3:3">
      <c r="C240" s="34"/>
    </row>
    <row r="241" spans="3:3">
      <c r="C241" s="34"/>
    </row>
    <row r="242" spans="3:3">
      <c r="C242" s="34"/>
    </row>
    <row r="243" spans="3:3">
      <c r="C243" s="34"/>
    </row>
    <row r="244" spans="3:3">
      <c r="C244" s="34"/>
    </row>
    <row r="245" spans="3:3">
      <c r="C245" s="34"/>
    </row>
    <row r="246" spans="3:3">
      <c r="C246" s="34"/>
    </row>
    <row r="247" spans="3:3">
      <c r="C247" s="34"/>
    </row>
    <row r="248" spans="3:3">
      <c r="C248" s="34"/>
    </row>
    <row r="249" spans="3:3">
      <c r="C249" s="34"/>
    </row>
    <row r="250" spans="3:3">
      <c r="C250" s="34"/>
    </row>
    <row r="251" spans="3:3">
      <c r="C251" s="34"/>
    </row>
    <row r="252" spans="3:3">
      <c r="C252" s="34"/>
    </row>
    <row r="253" spans="3:3">
      <c r="C253" s="34"/>
    </row>
    <row r="254" spans="3:3">
      <c r="C254" s="34"/>
    </row>
    <row r="255" spans="3:3">
      <c r="C255" s="34"/>
    </row>
    <row r="256" spans="3:3">
      <c r="C256" s="34"/>
    </row>
    <row r="257" spans="3:3">
      <c r="C257" s="34"/>
    </row>
    <row r="258" spans="3:3">
      <c r="C258" s="34"/>
    </row>
    <row r="259" spans="3:3">
      <c r="C259" s="34"/>
    </row>
    <row r="260" spans="3:3">
      <c r="C260" s="34"/>
    </row>
    <row r="261" spans="3:3">
      <c r="C261" s="34"/>
    </row>
    <row r="262" spans="3:3">
      <c r="C262" s="34"/>
    </row>
    <row r="263" spans="3:3">
      <c r="C263" s="34"/>
    </row>
    <row r="264" spans="3:3">
      <c r="C264" s="34"/>
    </row>
    <row r="265" spans="3:3">
      <c r="C265" s="34"/>
    </row>
    <row r="266" spans="3:3">
      <c r="C266" s="34"/>
    </row>
    <row r="267" spans="3:3">
      <c r="C267" s="34"/>
    </row>
    <row r="268" spans="3:3">
      <c r="C268" s="34"/>
    </row>
    <row r="269" spans="3:3">
      <c r="C269" s="34"/>
    </row>
    <row r="270" spans="3:3">
      <c r="C270" s="34"/>
    </row>
    <row r="271" spans="3:3">
      <c r="C271" s="34"/>
    </row>
    <row r="272" spans="3:3">
      <c r="C272" s="34"/>
    </row>
    <row r="273" spans="3:3">
      <c r="C273" s="34"/>
    </row>
    <row r="274" spans="3:3">
      <c r="C274" s="34"/>
    </row>
    <row r="275" spans="3:3">
      <c r="C275" s="34"/>
    </row>
    <row r="276" spans="3:3">
      <c r="C276" s="34"/>
    </row>
    <row r="277" spans="3:3">
      <c r="C277" s="34"/>
    </row>
    <row r="278" spans="3:3">
      <c r="C278" s="34"/>
    </row>
    <row r="279" spans="3:3">
      <c r="C279" s="34"/>
    </row>
    <row r="280" spans="3:3">
      <c r="C280" s="34"/>
    </row>
    <row r="281" spans="3:3">
      <c r="C281" s="34"/>
    </row>
    <row r="282" spans="3:3">
      <c r="C282" s="34"/>
    </row>
    <row r="283" spans="3:3">
      <c r="C283" s="34"/>
    </row>
    <row r="284" spans="3:3">
      <c r="C284" s="34"/>
    </row>
    <row r="285" spans="3:3">
      <c r="C285" s="34"/>
    </row>
    <row r="286" spans="3:3">
      <c r="C286" s="34"/>
    </row>
    <row r="287" spans="3:3">
      <c r="C287" s="34"/>
    </row>
    <row r="288" spans="3:3">
      <c r="C288" s="34"/>
    </row>
    <row r="289" spans="3:3">
      <c r="C289" s="34"/>
    </row>
    <row r="290" spans="3:3">
      <c r="C290" s="34"/>
    </row>
    <row r="291" spans="3:3">
      <c r="C291" s="34"/>
    </row>
    <row r="292" spans="3:3">
      <c r="C292" s="34"/>
    </row>
    <row r="293" spans="3:3">
      <c r="C293" s="34"/>
    </row>
    <row r="294" spans="3:3">
      <c r="C294" s="34"/>
    </row>
    <row r="295" spans="3:3">
      <c r="C295" s="34"/>
    </row>
    <row r="296" spans="3:3">
      <c r="C296" s="34"/>
    </row>
    <row r="297" spans="3:3">
      <c r="C297" s="34"/>
    </row>
    <row r="298" spans="3:3">
      <c r="C298" s="34"/>
    </row>
    <row r="299" spans="3:3">
      <c r="C299" s="34"/>
    </row>
    <row r="300" spans="3:3">
      <c r="C300" s="34"/>
    </row>
    <row r="301" spans="3:3">
      <c r="C301" s="34"/>
    </row>
    <row r="302" spans="3:3">
      <c r="C302" s="34"/>
    </row>
    <row r="303" spans="3:3">
      <c r="C303" s="34"/>
    </row>
    <row r="304" spans="3:3">
      <c r="C304" s="34"/>
    </row>
    <row r="305" spans="3:3">
      <c r="C305" s="34"/>
    </row>
    <row r="306" spans="3:3">
      <c r="C306" s="34"/>
    </row>
    <row r="307" spans="3:3">
      <c r="C307" s="34"/>
    </row>
    <row r="308" spans="3:3">
      <c r="C308" s="34"/>
    </row>
    <row r="309" spans="3:3">
      <c r="C309" s="34"/>
    </row>
    <row r="310" spans="3:3">
      <c r="C310" s="34"/>
    </row>
    <row r="311" spans="3:3">
      <c r="C311" s="34"/>
    </row>
    <row r="312" spans="3:3">
      <c r="C312" s="34"/>
    </row>
    <row r="313" spans="3:3">
      <c r="C313" s="34"/>
    </row>
    <row r="314" spans="3:3">
      <c r="C314" s="34"/>
    </row>
    <row r="315" spans="3:3">
      <c r="C315" s="34"/>
    </row>
    <row r="316" spans="3:3">
      <c r="C316" s="34"/>
    </row>
    <row r="317" spans="3:3">
      <c r="C317" s="34"/>
    </row>
    <row r="318" spans="3:3">
      <c r="C318" s="34"/>
    </row>
    <row r="319" spans="3:3">
      <c r="C319" s="34"/>
    </row>
    <row r="320" spans="3:3">
      <c r="C320" s="34"/>
    </row>
    <row r="321" spans="3:3">
      <c r="C321" s="34"/>
    </row>
    <row r="322" spans="3:3">
      <c r="C322" s="34"/>
    </row>
    <row r="323" spans="3:3">
      <c r="C323" s="34"/>
    </row>
    <row r="324" spans="3:3">
      <c r="C324" s="34"/>
    </row>
    <row r="325" spans="3:3">
      <c r="C325" s="34"/>
    </row>
    <row r="326" spans="3:3">
      <c r="C326" s="34"/>
    </row>
    <row r="327" spans="3:3">
      <c r="C327" s="34"/>
    </row>
    <row r="328" spans="3:3">
      <c r="C328" s="34"/>
    </row>
    <row r="329" spans="3:3">
      <c r="C329" s="34"/>
    </row>
    <row r="330" spans="3:3">
      <c r="C330" s="34"/>
    </row>
    <row r="331" spans="3:3">
      <c r="C331" s="34"/>
    </row>
    <row r="332" spans="3:3">
      <c r="C332" s="34"/>
    </row>
    <row r="333" spans="3:3">
      <c r="C333" s="34"/>
    </row>
    <row r="334" spans="3:3">
      <c r="C334" s="34"/>
    </row>
    <row r="335" spans="3:3">
      <c r="C335" s="34"/>
    </row>
    <row r="336" spans="3:3">
      <c r="C336" s="34"/>
    </row>
    <row r="337" spans="3:3">
      <c r="C337" s="34"/>
    </row>
    <row r="338" spans="3:3">
      <c r="C338" s="34"/>
    </row>
    <row r="339" spans="3:3">
      <c r="C339" s="34"/>
    </row>
    <row r="340" spans="3:3">
      <c r="C340" s="34"/>
    </row>
    <row r="341" spans="3:3">
      <c r="C341" s="34"/>
    </row>
    <row r="342" spans="3:3">
      <c r="C342" s="34"/>
    </row>
    <row r="343" spans="3:3">
      <c r="C343" s="34"/>
    </row>
    <row r="344" spans="3:3">
      <c r="C344" s="34"/>
    </row>
    <row r="345" spans="3:3">
      <c r="C345" s="34"/>
    </row>
    <row r="346" spans="3:3">
      <c r="C346" s="34"/>
    </row>
    <row r="347" spans="3:3">
      <c r="C347" s="34"/>
    </row>
    <row r="348" spans="3:3">
      <c r="C348" s="34"/>
    </row>
    <row r="349" spans="3:3">
      <c r="C349" s="34"/>
    </row>
    <row r="350" spans="3:3">
      <c r="C350" s="34"/>
    </row>
    <row r="351" spans="3:3">
      <c r="C351" s="34"/>
    </row>
    <row r="352" spans="3:3">
      <c r="C352" s="34"/>
    </row>
    <row r="353" spans="3:3">
      <c r="C353" s="34"/>
    </row>
    <row r="354" spans="3:3">
      <c r="C354" s="34"/>
    </row>
    <row r="355" spans="3:3">
      <c r="C355" s="34"/>
    </row>
    <row r="356" spans="3:3">
      <c r="C356" s="34"/>
    </row>
    <row r="357" spans="3:3">
      <c r="C357" s="34"/>
    </row>
    <row r="358" spans="3:3">
      <c r="C358" s="34"/>
    </row>
    <row r="359" spans="3:3">
      <c r="C359" s="34"/>
    </row>
    <row r="360" spans="3:3">
      <c r="C360" s="34"/>
    </row>
    <row r="361" spans="3:3">
      <c r="C361" s="34"/>
    </row>
    <row r="362" spans="3:3">
      <c r="C362" s="34"/>
    </row>
    <row r="363" spans="3:3">
      <c r="C363" s="34"/>
    </row>
    <row r="364" spans="3:3">
      <c r="C364" s="34"/>
    </row>
    <row r="365" spans="3:3">
      <c r="C365" s="34"/>
    </row>
    <row r="366" spans="3:3">
      <c r="C366" s="34"/>
    </row>
    <row r="367" spans="3:3">
      <c r="C367" s="34"/>
    </row>
    <row r="368" spans="3:3">
      <c r="C368" s="34"/>
    </row>
    <row r="369" spans="3:3">
      <c r="C369" s="34"/>
    </row>
    <row r="370" spans="3:3">
      <c r="C370" s="34"/>
    </row>
    <row r="371" spans="3:3">
      <c r="C371" s="34"/>
    </row>
    <row r="372" spans="3:3">
      <c r="C372" s="34"/>
    </row>
    <row r="373" spans="3:3">
      <c r="C373" s="34"/>
    </row>
    <row r="374" spans="3:3">
      <c r="C374" s="34"/>
    </row>
    <row r="375" spans="3:3">
      <c r="C375" s="34"/>
    </row>
    <row r="376" spans="3:3">
      <c r="C376" s="34"/>
    </row>
    <row r="377" spans="3:3">
      <c r="C377" s="34"/>
    </row>
    <row r="378" spans="3:3">
      <c r="C378" s="34"/>
    </row>
    <row r="379" spans="3:3">
      <c r="C379" s="34"/>
    </row>
    <row r="380" spans="3:3">
      <c r="C380" s="34"/>
    </row>
    <row r="381" spans="3:3">
      <c r="C381" s="34"/>
    </row>
    <row r="382" spans="3:3">
      <c r="C382" s="34"/>
    </row>
    <row r="383" spans="3:3">
      <c r="C383" s="34"/>
    </row>
    <row r="384" spans="3:3">
      <c r="C384" s="34"/>
    </row>
    <row r="385" spans="3:3">
      <c r="C385" s="34"/>
    </row>
    <row r="386" spans="3:3">
      <c r="C386" s="34"/>
    </row>
    <row r="387" spans="3:3">
      <c r="C387" s="34"/>
    </row>
    <row r="388" spans="3:3">
      <c r="C388" s="34"/>
    </row>
    <row r="389" spans="3:3">
      <c r="C389" s="34"/>
    </row>
    <row r="390" spans="3:3">
      <c r="C390" s="34"/>
    </row>
    <row r="391" spans="3:3">
      <c r="C391" s="34"/>
    </row>
    <row r="392" spans="3:3">
      <c r="C392" s="34"/>
    </row>
    <row r="393" spans="3:3">
      <c r="C393" s="34"/>
    </row>
    <row r="394" spans="3:3">
      <c r="C394" s="34"/>
    </row>
    <row r="395" spans="3:3">
      <c r="C395" s="34"/>
    </row>
    <row r="396" spans="3:3">
      <c r="C396" s="34"/>
    </row>
    <row r="397" spans="3:3">
      <c r="C397" s="34"/>
    </row>
    <row r="398" spans="3:3">
      <c r="C398" s="34"/>
    </row>
    <row r="399" spans="3:3">
      <c r="C399" s="34"/>
    </row>
    <row r="400" spans="3:3">
      <c r="C400" s="34"/>
    </row>
    <row r="401" spans="3:3">
      <c r="C401" s="34"/>
    </row>
    <row r="402" spans="3:3">
      <c r="C402" s="34"/>
    </row>
    <row r="403" spans="3:3">
      <c r="C403" s="34"/>
    </row>
    <row r="404" spans="3:3">
      <c r="C404" s="34"/>
    </row>
    <row r="405" spans="3:3">
      <c r="C405" s="34"/>
    </row>
    <row r="406" spans="3:3">
      <c r="C406" s="34"/>
    </row>
    <row r="407" spans="3:3">
      <c r="C407" s="34"/>
    </row>
    <row r="408" spans="3:3">
      <c r="C408" s="34"/>
    </row>
    <row r="409" spans="3:3">
      <c r="C409" s="34"/>
    </row>
    <row r="410" spans="3:3">
      <c r="C410" s="34"/>
    </row>
    <row r="411" spans="3:3">
      <c r="C411" s="34"/>
    </row>
    <row r="412" spans="3:3">
      <c r="C412" s="34"/>
    </row>
    <row r="413" spans="3:3">
      <c r="C413" s="34"/>
    </row>
    <row r="414" spans="3:3">
      <c r="C414" s="34"/>
    </row>
    <row r="415" spans="3:3">
      <c r="C415" s="34"/>
    </row>
    <row r="416" spans="3:3">
      <c r="C416" s="34"/>
    </row>
    <row r="417" spans="3:3">
      <c r="C417" s="34"/>
    </row>
    <row r="418" spans="3:3">
      <c r="C418" s="34"/>
    </row>
    <row r="419" spans="3:3">
      <c r="C419" s="34"/>
    </row>
    <row r="420" spans="3:3">
      <c r="C420" s="34"/>
    </row>
    <row r="421" spans="3:3">
      <c r="C421" s="34"/>
    </row>
    <row r="422" spans="3:3">
      <c r="C422" s="34"/>
    </row>
    <row r="423" spans="3:3">
      <c r="C423" s="34"/>
    </row>
    <row r="424" spans="3:3">
      <c r="C424" s="34"/>
    </row>
    <row r="425" spans="3:3">
      <c r="C425" s="34"/>
    </row>
    <row r="426" spans="3:3">
      <c r="C426" s="34"/>
    </row>
    <row r="427" spans="3:3">
      <c r="C427" s="34"/>
    </row>
    <row r="428" spans="3:3">
      <c r="C428" s="34"/>
    </row>
    <row r="429" spans="3:3">
      <c r="C429" s="34"/>
    </row>
    <row r="430" spans="3:3">
      <c r="C430" s="34"/>
    </row>
    <row r="431" spans="3:3">
      <c r="C431" s="34"/>
    </row>
    <row r="432" spans="3:3">
      <c r="C432" s="34"/>
    </row>
    <row r="433" spans="3:3">
      <c r="C433" s="34"/>
    </row>
    <row r="434" spans="3:3">
      <c r="C434" s="34"/>
    </row>
    <row r="435" spans="3:3">
      <c r="C435" s="34"/>
    </row>
    <row r="436" spans="3:3">
      <c r="C436" s="34"/>
    </row>
    <row r="437" spans="3:3">
      <c r="C437" s="34"/>
    </row>
    <row r="438" spans="3:3">
      <c r="C438" s="34"/>
    </row>
    <row r="439" spans="3:3">
      <c r="C439" s="34"/>
    </row>
    <row r="440" spans="3:3">
      <c r="C440" s="34"/>
    </row>
    <row r="441" spans="3:3">
      <c r="C441" s="34"/>
    </row>
    <row r="442" spans="3:3">
      <c r="C442" s="34"/>
    </row>
    <row r="443" spans="3:3">
      <c r="C443" s="34"/>
    </row>
    <row r="444" spans="3:3">
      <c r="C444" s="34"/>
    </row>
    <row r="445" spans="3:3">
      <c r="C445" s="34"/>
    </row>
    <row r="446" spans="3:3">
      <c r="C446" s="34"/>
    </row>
    <row r="447" spans="3:3">
      <c r="C447" s="34"/>
    </row>
    <row r="448" spans="3:3">
      <c r="C448" s="34"/>
    </row>
    <row r="449" spans="3:3">
      <c r="C449" s="34"/>
    </row>
    <row r="450" spans="3:3">
      <c r="C450" s="34"/>
    </row>
    <row r="451" spans="3:3">
      <c r="C451" s="34"/>
    </row>
    <row r="452" spans="3:3">
      <c r="C452" s="34"/>
    </row>
    <row r="453" spans="3:3">
      <c r="C453" s="34"/>
    </row>
    <row r="454" spans="3:3">
      <c r="C454" s="34"/>
    </row>
    <row r="455" spans="3:3">
      <c r="C455" s="34"/>
    </row>
    <row r="456" spans="3:3">
      <c r="C456" s="34"/>
    </row>
    <row r="457" spans="3:3">
      <c r="C457" s="34"/>
    </row>
    <row r="458" spans="3:3">
      <c r="C458" s="34"/>
    </row>
    <row r="459" spans="3:3">
      <c r="C459" s="34"/>
    </row>
    <row r="460" spans="3:3">
      <c r="C460" s="34"/>
    </row>
    <row r="461" spans="3:3">
      <c r="C461" s="34"/>
    </row>
    <row r="462" spans="3:3">
      <c r="C462" s="34"/>
    </row>
    <row r="463" spans="3:3">
      <c r="C463" s="34"/>
    </row>
    <row r="464" spans="3:3">
      <c r="C464" s="34"/>
    </row>
    <row r="465" spans="3:3">
      <c r="C465" s="34"/>
    </row>
    <row r="466" spans="3:3">
      <c r="C466" s="34"/>
    </row>
    <row r="467" spans="3:3">
      <c r="C467" s="34"/>
    </row>
    <row r="468" spans="3:3">
      <c r="C468" s="34"/>
    </row>
    <row r="469" spans="3:3">
      <c r="C469" s="34"/>
    </row>
    <row r="470" spans="3:3">
      <c r="C470" s="34"/>
    </row>
    <row r="471" spans="3:3">
      <c r="C471" s="34"/>
    </row>
    <row r="472" spans="3:3">
      <c r="C472" s="34"/>
    </row>
    <row r="473" spans="3:3">
      <c r="C473" s="34"/>
    </row>
    <row r="474" spans="3:3">
      <c r="C474" s="34"/>
    </row>
    <row r="475" spans="3:3">
      <c r="C475" s="34"/>
    </row>
    <row r="476" spans="3:3">
      <c r="C476" s="34"/>
    </row>
    <row r="477" spans="3:3">
      <c r="C477" s="34"/>
    </row>
    <row r="478" spans="3:3">
      <c r="C478" s="34"/>
    </row>
    <row r="479" spans="3:3">
      <c r="C479" s="34"/>
    </row>
    <row r="480" spans="3:3">
      <c r="C480" s="34"/>
    </row>
    <row r="481" spans="3:3">
      <c r="C481" s="34"/>
    </row>
    <row r="482" spans="3:3">
      <c r="C482" s="34"/>
    </row>
    <row r="483" spans="3:3">
      <c r="C483" s="34"/>
    </row>
    <row r="484" spans="3:3">
      <c r="C484" s="34"/>
    </row>
    <row r="485" spans="3:3">
      <c r="C485" s="34"/>
    </row>
    <row r="486" spans="3:3">
      <c r="C486" s="34"/>
    </row>
    <row r="487" spans="3:3">
      <c r="C487" s="34"/>
    </row>
    <row r="488" spans="3:3">
      <c r="C488" s="34"/>
    </row>
    <row r="489" spans="3:3">
      <c r="C489" s="34"/>
    </row>
    <row r="490" spans="3:3">
      <c r="C490" s="34"/>
    </row>
    <row r="491" spans="3:3">
      <c r="C491" s="34"/>
    </row>
    <row r="492" spans="3:3">
      <c r="C492" s="34"/>
    </row>
    <row r="493" spans="3:3">
      <c r="C493" s="34"/>
    </row>
    <row r="494" spans="3:3">
      <c r="C494" s="34"/>
    </row>
    <row r="495" spans="3:3">
      <c r="C495" s="34"/>
    </row>
    <row r="496" spans="3:3">
      <c r="C496" s="34"/>
    </row>
    <row r="497" spans="3:3">
      <c r="C497" s="34"/>
    </row>
    <row r="498" spans="3:3">
      <c r="C498" s="34"/>
    </row>
    <row r="499" spans="3:3">
      <c r="C499" s="34"/>
    </row>
    <row r="500" spans="3:3">
      <c r="C500" s="34"/>
    </row>
    <row r="501" spans="3:3">
      <c r="C501" s="34"/>
    </row>
    <row r="502" spans="3:3">
      <c r="C502" s="34"/>
    </row>
    <row r="503" spans="3:3">
      <c r="C503" s="34"/>
    </row>
    <row r="504" spans="3:3">
      <c r="C504" s="34"/>
    </row>
    <row r="505" spans="3:3">
      <c r="C505" s="34"/>
    </row>
    <row r="506" spans="3:3">
      <c r="C506" s="34"/>
    </row>
    <row r="507" spans="3:3">
      <c r="C507" s="34"/>
    </row>
    <row r="508" spans="3:3">
      <c r="C508" s="34"/>
    </row>
    <row r="509" spans="3:3">
      <c r="C509" s="34"/>
    </row>
    <row r="510" spans="3:3">
      <c r="C510" s="34"/>
    </row>
    <row r="511" spans="3:3">
      <c r="C511" s="34"/>
    </row>
    <row r="512" spans="3:3">
      <c r="C512" s="34"/>
    </row>
    <row r="513" spans="3:3">
      <c r="C513" s="34"/>
    </row>
    <row r="514" spans="3:3">
      <c r="C514" s="34"/>
    </row>
    <row r="515" spans="3:3">
      <c r="C515" s="34"/>
    </row>
    <row r="516" spans="3:3">
      <c r="C516" s="34"/>
    </row>
    <row r="517" spans="3:3">
      <c r="C517" s="34"/>
    </row>
    <row r="518" spans="3:3">
      <c r="C518" s="34"/>
    </row>
    <row r="519" spans="3:3">
      <c r="C519" s="34"/>
    </row>
    <row r="520" spans="3:3">
      <c r="C520" s="34"/>
    </row>
    <row r="521" spans="3:3">
      <c r="C521" s="34"/>
    </row>
    <row r="522" spans="3:3">
      <c r="C522" s="34"/>
    </row>
    <row r="523" spans="3:3">
      <c r="C523" s="34"/>
    </row>
    <row r="524" spans="3:3">
      <c r="C524" s="34"/>
    </row>
    <row r="525" spans="3:3">
      <c r="C525" s="34"/>
    </row>
    <row r="526" spans="3:3">
      <c r="C526" s="34"/>
    </row>
    <row r="527" spans="3:3">
      <c r="C527" s="34"/>
    </row>
    <row r="528" spans="3:3">
      <c r="C528" s="34"/>
    </row>
    <row r="529" spans="3:3">
      <c r="C529" s="34"/>
    </row>
    <row r="530" spans="3:3">
      <c r="C530" s="34"/>
    </row>
    <row r="531" spans="3:3">
      <c r="C531" s="34"/>
    </row>
    <row r="532" spans="3:3">
      <c r="C532" s="34"/>
    </row>
    <row r="533" spans="3:3">
      <c r="C533" s="34"/>
    </row>
    <row r="534" spans="3:3">
      <c r="C534" s="34"/>
    </row>
    <row r="535" spans="3:3">
      <c r="C535" s="34"/>
    </row>
    <row r="536" spans="3:3">
      <c r="C536" s="34"/>
    </row>
    <row r="537" spans="3:3">
      <c r="C537" s="34"/>
    </row>
    <row r="538" spans="3:3">
      <c r="C538" s="34"/>
    </row>
    <row r="539" spans="3:3">
      <c r="C539" s="34"/>
    </row>
    <row r="540" spans="3:3">
      <c r="C540" s="34"/>
    </row>
    <row r="541" spans="3:3">
      <c r="C541" s="34"/>
    </row>
    <row r="542" spans="3:3">
      <c r="C542" s="34"/>
    </row>
    <row r="543" spans="3:3">
      <c r="C543" s="34"/>
    </row>
    <row r="544" spans="3:3">
      <c r="C544" s="34"/>
    </row>
    <row r="545" spans="3:3">
      <c r="C545" s="34"/>
    </row>
    <row r="546" spans="3:3">
      <c r="C546" s="34"/>
    </row>
    <row r="547" spans="3:3">
      <c r="C547" s="34"/>
    </row>
    <row r="548" spans="3:3">
      <c r="C548" s="34"/>
    </row>
    <row r="549" spans="3:3">
      <c r="C549" s="34"/>
    </row>
    <row r="550" spans="3:3">
      <c r="C550" s="34"/>
    </row>
    <row r="551" spans="3:3">
      <c r="C551" s="34"/>
    </row>
    <row r="552" spans="3:3">
      <c r="C552" s="34"/>
    </row>
    <row r="553" spans="3:3">
      <c r="C553" s="34"/>
    </row>
    <row r="554" spans="3:3">
      <c r="C554" s="34"/>
    </row>
    <row r="555" spans="3:3">
      <c r="C555" s="34"/>
    </row>
    <row r="556" spans="3:3">
      <c r="C556" s="34"/>
    </row>
    <row r="557" spans="3:3">
      <c r="C557" s="34"/>
    </row>
    <row r="558" spans="3:3">
      <c r="C558" s="34"/>
    </row>
    <row r="559" spans="3:3">
      <c r="C559" s="34"/>
    </row>
    <row r="560" spans="3:3">
      <c r="C560" s="34"/>
    </row>
    <row r="561" spans="3:3">
      <c r="C561" s="34"/>
    </row>
    <row r="562" spans="3:3">
      <c r="C562" s="34"/>
    </row>
    <row r="563" spans="3:3">
      <c r="C563" s="34"/>
    </row>
    <row r="564" spans="3:3">
      <c r="C564" s="34"/>
    </row>
    <row r="565" spans="3:3">
      <c r="C565" s="34"/>
    </row>
    <row r="566" spans="3:3">
      <c r="C566" s="34"/>
    </row>
    <row r="567" spans="3:3">
      <c r="C567" s="34"/>
    </row>
    <row r="568" spans="3:3">
      <c r="C568" s="34"/>
    </row>
    <row r="569" spans="3:3">
      <c r="C569" s="34"/>
    </row>
    <row r="570" spans="3:3">
      <c r="C570" s="34"/>
    </row>
    <row r="571" spans="3:3">
      <c r="C571" s="34"/>
    </row>
    <row r="572" spans="3:3">
      <c r="C572" s="34"/>
    </row>
    <row r="573" spans="3:3">
      <c r="C573" s="34"/>
    </row>
    <row r="574" spans="3:3">
      <c r="C574" s="34"/>
    </row>
    <row r="575" spans="3:3">
      <c r="C575" s="34"/>
    </row>
    <row r="576" spans="3:3">
      <c r="C576" s="34"/>
    </row>
    <row r="577" spans="3:3">
      <c r="C577" s="34"/>
    </row>
    <row r="578" spans="3:3">
      <c r="C578" s="34"/>
    </row>
    <row r="579" spans="3:3">
      <c r="C579" s="34"/>
    </row>
    <row r="580" spans="3:3">
      <c r="C580" s="34"/>
    </row>
    <row r="581" spans="3:3">
      <c r="C581" s="34"/>
    </row>
    <row r="582" spans="3:3">
      <c r="C582" s="34"/>
    </row>
    <row r="583" spans="3:3">
      <c r="C583" s="34"/>
    </row>
    <row r="584" spans="3:3">
      <c r="C584" s="34"/>
    </row>
    <row r="585" spans="3:3">
      <c r="C585" s="34"/>
    </row>
    <row r="586" spans="3:3">
      <c r="C586" s="34"/>
    </row>
    <row r="587" spans="3:3">
      <c r="C587" s="34"/>
    </row>
    <row r="588" spans="3:3">
      <c r="C588" s="34"/>
    </row>
    <row r="589" spans="3:3">
      <c r="C589" s="34"/>
    </row>
    <row r="590" spans="3:3">
      <c r="C590" s="34"/>
    </row>
    <row r="591" spans="3:3">
      <c r="C591" s="34"/>
    </row>
    <row r="592" spans="3:3">
      <c r="C592" s="34"/>
    </row>
    <row r="593" spans="3:3">
      <c r="C593" s="34"/>
    </row>
    <row r="594" spans="3:3">
      <c r="C594" s="34"/>
    </row>
    <row r="595" spans="3:3">
      <c r="C595" s="34"/>
    </row>
    <row r="596" spans="3:3">
      <c r="C596" s="34"/>
    </row>
    <row r="597" spans="3:3">
      <c r="C597" s="34"/>
    </row>
    <row r="598" spans="3:3">
      <c r="C598" s="34"/>
    </row>
    <row r="599" spans="3:3">
      <c r="C599" s="34"/>
    </row>
    <row r="600" spans="3:3">
      <c r="C600" s="34"/>
    </row>
    <row r="601" spans="3:3">
      <c r="C601" s="34"/>
    </row>
    <row r="602" spans="3:3">
      <c r="C602" s="34"/>
    </row>
    <row r="603" spans="3:3">
      <c r="C603" s="34"/>
    </row>
    <row r="604" spans="3:3">
      <c r="C604" s="34"/>
    </row>
    <row r="605" spans="3:3">
      <c r="C605" s="34"/>
    </row>
    <row r="606" spans="3:3">
      <c r="C606" s="34"/>
    </row>
    <row r="607" spans="3:3">
      <c r="C607" s="34"/>
    </row>
    <row r="608" spans="3:3">
      <c r="C608" s="34"/>
    </row>
    <row r="609" spans="3:3">
      <c r="C609" s="34"/>
    </row>
    <row r="610" spans="3:3">
      <c r="C610" s="34"/>
    </row>
    <row r="611" spans="3:3">
      <c r="C611" s="34"/>
    </row>
    <row r="612" spans="3:3">
      <c r="C612" s="34"/>
    </row>
    <row r="613" spans="3:3">
      <c r="C613" s="34"/>
    </row>
    <row r="614" spans="3:3">
      <c r="C614" s="34"/>
    </row>
    <row r="615" spans="3:3">
      <c r="C615" s="34"/>
    </row>
    <row r="616" spans="3:3">
      <c r="C616" s="34"/>
    </row>
    <row r="617" spans="3:3">
      <c r="C617" s="34"/>
    </row>
    <row r="618" spans="3:3">
      <c r="C618" s="34"/>
    </row>
    <row r="619" spans="3:3">
      <c r="C619" s="34"/>
    </row>
    <row r="620" spans="3:3">
      <c r="C620" s="34"/>
    </row>
    <row r="621" spans="3:3">
      <c r="C621" s="34"/>
    </row>
    <row r="622" spans="3:3">
      <c r="C622" s="34"/>
    </row>
    <row r="623" spans="3:3">
      <c r="C623" s="34"/>
    </row>
    <row r="624" spans="3:3">
      <c r="C624" s="34"/>
    </row>
    <row r="625" spans="3:3">
      <c r="C625" s="34"/>
    </row>
    <row r="626" spans="3:3">
      <c r="C626" s="34"/>
    </row>
    <row r="627" spans="3:3">
      <c r="C627" s="34"/>
    </row>
    <row r="628" spans="3:3">
      <c r="C628" s="34"/>
    </row>
    <row r="629" spans="3:3">
      <c r="C629" s="34"/>
    </row>
    <row r="630" spans="3:3">
      <c r="C630" s="34"/>
    </row>
    <row r="631" spans="3:3">
      <c r="C631" s="34"/>
    </row>
    <row r="632" spans="3:3">
      <c r="C632" s="34"/>
    </row>
    <row r="633" spans="3:3">
      <c r="C633" s="34"/>
    </row>
    <row r="634" spans="3:3">
      <c r="C634" s="34"/>
    </row>
    <row r="635" spans="3:3">
      <c r="C635" s="34"/>
    </row>
    <row r="636" spans="3:3">
      <c r="C636" s="34"/>
    </row>
    <row r="637" spans="3:3">
      <c r="C637" s="34"/>
    </row>
    <row r="638" spans="3:3">
      <c r="C638" s="34"/>
    </row>
    <row r="639" spans="3:3">
      <c r="C639" s="34"/>
    </row>
    <row r="640" spans="3:3">
      <c r="C640" s="34"/>
    </row>
    <row r="641" spans="3:3">
      <c r="C641" s="34"/>
    </row>
    <row r="642" spans="3:3">
      <c r="C642" s="34"/>
    </row>
    <row r="643" spans="3:3">
      <c r="C643" s="34"/>
    </row>
    <row r="644" spans="3:3">
      <c r="C644" s="34"/>
    </row>
    <row r="645" spans="3:3">
      <c r="C645" s="34"/>
    </row>
    <row r="646" spans="3:3">
      <c r="C646" s="34"/>
    </row>
    <row r="647" spans="3:3">
      <c r="C647" s="34"/>
    </row>
    <row r="648" spans="3:3">
      <c r="C648" s="34"/>
    </row>
    <row r="649" spans="3:3">
      <c r="C649" s="34"/>
    </row>
    <row r="650" spans="3:3">
      <c r="C650" s="34"/>
    </row>
    <row r="651" spans="3:3">
      <c r="C651" s="34"/>
    </row>
    <row r="652" spans="3:3">
      <c r="C652" s="34"/>
    </row>
    <row r="653" spans="3:3">
      <c r="C653" s="34"/>
    </row>
    <row r="654" spans="3:3">
      <c r="C654" s="34"/>
    </row>
    <row r="655" spans="3:3">
      <c r="C655" s="34"/>
    </row>
    <row r="656" spans="3:3">
      <c r="C656" s="34"/>
    </row>
    <row r="657" spans="3:3">
      <c r="C657" s="34"/>
    </row>
    <row r="658" spans="3:3">
      <c r="C658" s="34"/>
    </row>
    <row r="659" spans="3:3">
      <c r="C659" s="34"/>
    </row>
    <row r="660" spans="3:3">
      <c r="C660" s="34"/>
    </row>
    <row r="661" spans="3:3">
      <c r="C661" s="34"/>
    </row>
    <row r="662" spans="3:3">
      <c r="C662" s="34"/>
    </row>
    <row r="663" spans="3:3">
      <c r="C663" s="34"/>
    </row>
    <row r="664" spans="3:3">
      <c r="C664" s="34"/>
    </row>
    <row r="665" spans="3:3">
      <c r="C665" s="34"/>
    </row>
    <row r="666" spans="3:3">
      <c r="C666" s="34"/>
    </row>
    <row r="667" spans="3:3">
      <c r="C667" s="34"/>
    </row>
    <row r="668" spans="3:3">
      <c r="C668" s="34"/>
    </row>
    <row r="669" spans="3:3">
      <c r="C669" s="34"/>
    </row>
    <row r="670" spans="3:3">
      <c r="C670" s="34"/>
    </row>
    <row r="671" spans="3:3">
      <c r="C671" s="34"/>
    </row>
    <row r="672" spans="3:3">
      <c r="C672" s="34"/>
    </row>
    <row r="673" spans="3:3">
      <c r="C673" s="34"/>
    </row>
    <row r="674" spans="3:3">
      <c r="C674" s="34"/>
    </row>
    <row r="675" spans="3:3">
      <c r="C675" s="34"/>
    </row>
    <row r="676" spans="3:3">
      <c r="C676" s="34"/>
    </row>
    <row r="677" spans="3:3">
      <c r="C677" s="34"/>
    </row>
    <row r="678" spans="3:3">
      <c r="C678" s="34"/>
    </row>
    <row r="679" spans="3:3">
      <c r="C679" s="34"/>
    </row>
    <row r="680" spans="3:3">
      <c r="C680" s="34"/>
    </row>
    <row r="681" spans="3:3">
      <c r="C681" s="34"/>
    </row>
    <row r="682" spans="3:3">
      <c r="C682" s="34"/>
    </row>
    <row r="683" spans="3:3">
      <c r="C683" s="34"/>
    </row>
    <row r="684" spans="3:3">
      <c r="C684" s="34"/>
    </row>
    <row r="685" spans="3:3">
      <c r="C685" s="34"/>
    </row>
    <row r="686" spans="3:3">
      <c r="C686" s="34"/>
    </row>
    <row r="687" spans="3:3">
      <c r="C687" s="34"/>
    </row>
    <row r="688" spans="3:3">
      <c r="C688" s="34"/>
    </row>
    <row r="689" spans="3:3">
      <c r="C689" s="34"/>
    </row>
    <row r="690" spans="3:3">
      <c r="C690" s="34"/>
    </row>
    <row r="691" spans="3:3">
      <c r="C691" s="34"/>
    </row>
    <row r="692" spans="3:3">
      <c r="C692" s="34"/>
    </row>
    <row r="693" spans="3:3">
      <c r="C693" s="34"/>
    </row>
    <row r="694" spans="3:3">
      <c r="C694" s="34"/>
    </row>
    <row r="695" spans="3:3">
      <c r="C695" s="34"/>
    </row>
    <row r="696" spans="3:3">
      <c r="C696" s="34"/>
    </row>
    <row r="697" spans="3:3">
      <c r="C697" s="34"/>
    </row>
    <row r="698" spans="3:3">
      <c r="C698" s="34"/>
    </row>
    <row r="699" spans="3:3">
      <c r="C699" s="34"/>
    </row>
    <row r="700" spans="3:3">
      <c r="C700" s="34"/>
    </row>
    <row r="701" spans="3:3">
      <c r="C701" s="34"/>
    </row>
    <row r="702" spans="3:3">
      <c r="C702" s="34"/>
    </row>
    <row r="703" spans="3:3">
      <c r="C703" s="34"/>
    </row>
    <row r="704" spans="3:3">
      <c r="C704" s="34"/>
    </row>
    <row r="705" spans="3:3">
      <c r="C705" s="34"/>
    </row>
    <row r="706" spans="3:3">
      <c r="C706" s="34"/>
    </row>
    <row r="707" spans="3:3">
      <c r="C707" s="34"/>
    </row>
    <row r="708" spans="3:3">
      <c r="C708" s="34"/>
    </row>
    <row r="709" spans="3:3">
      <c r="C709" s="34"/>
    </row>
    <row r="710" spans="3:3">
      <c r="C710" s="34"/>
    </row>
    <row r="711" spans="3:3">
      <c r="C711" s="34"/>
    </row>
    <row r="712" spans="3:3">
      <c r="C712" s="34"/>
    </row>
    <row r="713" spans="3:3">
      <c r="C713" s="34"/>
    </row>
    <row r="714" spans="3:3">
      <c r="C714" s="34"/>
    </row>
    <row r="715" spans="3:3">
      <c r="C715" s="34"/>
    </row>
    <row r="716" spans="3:3">
      <c r="C716" s="34"/>
    </row>
    <row r="717" spans="3:3">
      <c r="C717" s="34"/>
    </row>
    <row r="718" spans="3:3">
      <c r="C718" s="34"/>
    </row>
    <row r="719" spans="3:3">
      <c r="C719" s="34"/>
    </row>
    <row r="720" spans="3:3">
      <c r="C720" s="34"/>
    </row>
    <row r="721" spans="3:3">
      <c r="C721" s="34"/>
    </row>
    <row r="722" spans="3:3">
      <c r="C722" s="34"/>
    </row>
    <row r="723" spans="3:3">
      <c r="C723" s="34"/>
    </row>
    <row r="724" spans="3:3">
      <c r="C724" s="34"/>
    </row>
    <row r="725" spans="3:3">
      <c r="C725" s="34"/>
    </row>
    <row r="726" spans="3:3">
      <c r="C726" s="34"/>
    </row>
    <row r="727" spans="3:3">
      <c r="C727" s="34"/>
    </row>
    <row r="728" spans="3:3">
      <c r="C728" s="34"/>
    </row>
    <row r="729" spans="3:3">
      <c r="C729" s="34"/>
    </row>
    <row r="730" spans="3:3">
      <c r="C730" s="34"/>
    </row>
    <row r="731" spans="3:3">
      <c r="C731" s="34"/>
    </row>
    <row r="732" spans="3:3">
      <c r="C732" s="34"/>
    </row>
    <row r="733" spans="3:3">
      <c r="C733" s="34"/>
    </row>
    <row r="734" spans="3:3">
      <c r="C734" s="34"/>
    </row>
    <row r="735" spans="3:3">
      <c r="C735" s="34"/>
    </row>
    <row r="736" spans="3:3">
      <c r="C736" s="34"/>
    </row>
    <row r="737" spans="3:3">
      <c r="C737" s="34"/>
    </row>
    <row r="738" spans="3:3">
      <c r="C738" s="34"/>
    </row>
    <row r="739" spans="3:3">
      <c r="C739" s="34"/>
    </row>
    <row r="740" spans="3:3">
      <c r="C740" s="34"/>
    </row>
    <row r="741" spans="3:3">
      <c r="C741" s="34"/>
    </row>
    <row r="742" spans="3:3">
      <c r="C742" s="34"/>
    </row>
    <row r="743" spans="3:3">
      <c r="C743" s="34"/>
    </row>
    <row r="744" spans="3:3">
      <c r="C744" s="34"/>
    </row>
    <row r="745" spans="3:3">
      <c r="C745" s="34"/>
    </row>
    <row r="746" spans="3:3">
      <c r="C746" s="34"/>
    </row>
    <row r="747" spans="3:3">
      <c r="C747" s="34"/>
    </row>
    <row r="748" spans="3:3">
      <c r="C748" s="34"/>
    </row>
    <row r="749" spans="3:3">
      <c r="C749" s="34"/>
    </row>
    <row r="750" spans="3:3">
      <c r="C750" s="34"/>
    </row>
    <row r="751" spans="3:3">
      <c r="C751" s="34"/>
    </row>
    <row r="752" spans="3:3">
      <c r="C752" s="34"/>
    </row>
    <row r="753" spans="3:3">
      <c r="C753" s="34"/>
    </row>
    <row r="754" spans="3:3">
      <c r="C754" s="34"/>
    </row>
    <row r="755" spans="3:3">
      <c r="C755" s="34"/>
    </row>
    <row r="756" spans="3:3">
      <c r="C756" s="34"/>
    </row>
    <row r="757" spans="3:3">
      <c r="C757" s="34"/>
    </row>
    <row r="758" spans="3:3">
      <c r="C758" s="34"/>
    </row>
    <row r="759" spans="3:3">
      <c r="C759" s="34"/>
    </row>
    <row r="760" spans="3:3">
      <c r="C760" s="34"/>
    </row>
    <row r="761" spans="3:3">
      <c r="C761" s="34"/>
    </row>
    <row r="762" spans="3:3">
      <c r="C762" s="34"/>
    </row>
    <row r="763" spans="3:3">
      <c r="C763" s="34"/>
    </row>
    <row r="764" spans="3:3">
      <c r="C764" s="34"/>
    </row>
    <row r="765" spans="3:3">
      <c r="C765" s="34"/>
    </row>
    <row r="766" spans="3:3">
      <c r="C766" s="34"/>
    </row>
    <row r="767" spans="3:3">
      <c r="C767" s="34"/>
    </row>
    <row r="768" spans="3:3">
      <c r="C768" s="34"/>
    </row>
    <row r="769" spans="3:3">
      <c r="C769" s="34"/>
    </row>
    <row r="770" spans="3:3">
      <c r="C770" s="34"/>
    </row>
    <row r="771" spans="3:3">
      <c r="C771" s="34"/>
    </row>
    <row r="772" spans="3:3">
      <c r="C772" s="34"/>
    </row>
    <row r="773" spans="3:3">
      <c r="C773" s="34"/>
    </row>
    <row r="774" spans="3:3">
      <c r="C774" s="34"/>
    </row>
    <row r="775" spans="3:3">
      <c r="C775" s="34"/>
    </row>
    <row r="776" spans="3:3">
      <c r="C776" s="34"/>
    </row>
    <row r="777" spans="3:3">
      <c r="C777" s="34"/>
    </row>
    <row r="778" spans="3:3">
      <c r="C778" s="34"/>
    </row>
    <row r="779" spans="3:3">
      <c r="C779" s="34"/>
    </row>
    <row r="780" spans="3:3">
      <c r="C780" s="34"/>
    </row>
    <row r="781" spans="3:3">
      <c r="C781" s="34"/>
    </row>
    <row r="782" spans="3:3">
      <c r="C782" s="34"/>
    </row>
    <row r="783" spans="3:3">
      <c r="C783" s="34"/>
    </row>
    <row r="784" spans="3:3">
      <c r="C784" s="34"/>
    </row>
    <row r="785" spans="3:3">
      <c r="C785" s="34"/>
    </row>
    <row r="786" spans="3:3">
      <c r="C786" s="34"/>
    </row>
    <row r="787" spans="3:3">
      <c r="C787" s="34"/>
    </row>
    <row r="788" spans="3:3">
      <c r="C788" s="34"/>
    </row>
    <row r="789" spans="3:3">
      <c r="C789" s="34"/>
    </row>
    <row r="790" spans="3:3">
      <c r="C790" s="34"/>
    </row>
    <row r="791" spans="3:3">
      <c r="C791" s="34"/>
    </row>
    <row r="792" spans="3:3">
      <c r="C792" s="34"/>
    </row>
    <row r="793" spans="3:3">
      <c r="C793" s="34"/>
    </row>
    <row r="794" spans="3:3">
      <c r="C794" s="34"/>
    </row>
    <row r="795" spans="3:3">
      <c r="C795" s="34"/>
    </row>
    <row r="796" spans="3:3">
      <c r="C796" s="34"/>
    </row>
    <row r="797" spans="3:3">
      <c r="C797" s="34"/>
    </row>
    <row r="798" spans="3:3">
      <c r="C798" s="34"/>
    </row>
    <row r="799" spans="3:3">
      <c r="C799" s="34"/>
    </row>
    <row r="800" spans="3:3">
      <c r="C800" s="34"/>
    </row>
    <row r="801" spans="3:3">
      <c r="C801" s="34"/>
    </row>
    <row r="802" spans="3:3">
      <c r="C802" s="34"/>
    </row>
    <row r="803" spans="3:3">
      <c r="C803" s="34"/>
    </row>
    <row r="804" spans="3:3">
      <c r="C804" s="34"/>
    </row>
    <row r="805" spans="3:3">
      <c r="C805" s="34"/>
    </row>
    <row r="806" spans="3:3">
      <c r="C806" s="34"/>
    </row>
    <row r="807" spans="3:3">
      <c r="C807" s="34"/>
    </row>
    <row r="808" spans="3:3">
      <c r="C808" s="34"/>
    </row>
    <row r="809" spans="3:3">
      <c r="C809" s="34"/>
    </row>
    <row r="810" spans="3:3">
      <c r="C810" s="34"/>
    </row>
    <row r="811" spans="3:3">
      <c r="C811" s="34"/>
    </row>
    <row r="812" spans="3:3">
      <c r="C812" s="34"/>
    </row>
    <row r="813" spans="3:3">
      <c r="C813" s="34"/>
    </row>
    <row r="814" spans="3:3">
      <c r="C814" s="34"/>
    </row>
    <row r="815" spans="3:3">
      <c r="C815" s="34"/>
    </row>
    <row r="816" spans="3:3">
      <c r="C816" s="34"/>
    </row>
    <row r="817" spans="3:3">
      <c r="C817" s="34"/>
    </row>
    <row r="818" spans="3:3">
      <c r="C818" s="34"/>
    </row>
    <row r="819" spans="3:3">
      <c r="C819" s="34"/>
    </row>
    <row r="820" spans="3:3">
      <c r="C820" s="34"/>
    </row>
    <row r="821" spans="3:3">
      <c r="C821" s="34"/>
    </row>
    <row r="822" spans="3:3">
      <c r="C822" s="34"/>
    </row>
    <row r="823" spans="3:3">
      <c r="C823" s="34"/>
    </row>
    <row r="824" spans="3:3">
      <c r="C824" s="34"/>
    </row>
    <row r="825" spans="3:3">
      <c r="C825" s="34"/>
    </row>
    <row r="826" spans="3:3">
      <c r="C826" s="34"/>
    </row>
    <row r="827" spans="3:3">
      <c r="C827" s="34"/>
    </row>
    <row r="828" spans="3:3">
      <c r="C828" s="34"/>
    </row>
    <row r="829" spans="3:3">
      <c r="C829" s="34"/>
    </row>
    <row r="830" spans="3:3">
      <c r="C830" s="34"/>
    </row>
    <row r="831" spans="3:3">
      <c r="C831" s="34"/>
    </row>
    <row r="832" spans="3:3">
      <c r="C832" s="34"/>
    </row>
    <row r="833" spans="3:3">
      <c r="C833" s="34"/>
    </row>
    <row r="834" spans="3:3">
      <c r="C834" s="34"/>
    </row>
    <row r="835" spans="3:3">
      <c r="C835" s="34"/>
    </row>
    <row r="836" spans="3:3">
      <c r="C836" s="34"/>
    </row>
    <row r="837" spans="3:3">
      <c r="C837" s="34"/>
    </row>
    <row r="838" spans="3:3">
      <c r="C838" s="34"/>
    </row>
    <row r="839" spans="3:3">
      <c r="C839" s="34"/>
    </row>
    <row r="840" spans="3:3">
      <c r="C840" s="34"/>
    </row>
    <row r="841" spans="3:3">
      <c r="C841" s="34"/>
    </row>
    <row r="842" spans="3:3">
      <c r="C842" s="34"/>
    </row>
    <row r="843" spans="3:3">
      <c r="C843" s="34"/>
    </row>
    <row r="844" spans="3:3">
      <c r="C844" s="34"/>
    </row>
    <row r="845" spans="3:3">
      <c r="C845" s="34"/>
    </row>
    <row r="846" spans="3:3">
      <c r="C846" s="34"/>
    </row>
    <row r="847" spans="3:3">
      <c r="C847" s="34"/>
    </row>
    <row r="848" spans="3:3">
      <c r="C848" s="34"/>
    </row>
    <row r="849" spans="3:3">
      <c r="C849" s="34"/>
    </row>
    <row r="850" spans="3:3">
      <c r="C850" s="34"/>
    </row>
    <row r="851" spans="3:3">
      <c r="C851" s="34"/>
    </row>
    <row r="852" spans="3:3">
      <c r="C852" s="34"/>
    </row>
    <row r="853" spans="3:3">
      <c r="C853" s="34"/>
    </row>
    <row r="854" spans="3:3">
      <c r="C854" s="34"/>
    </row>
    <row r="855" spans="3:3">
      <c r="C855" s="34"/>
    </row>
    <row r="856" spans="3:3">
      <c r="C856" s="34"/>
    </row>
    <row r="857" spans="3:3">
      <c r="C857" s="34"/>
    </row>
    <row r="858" spans="3:3">
      <c r="C858" s="34"/>
    </row>
    <row r="859" spans="3:3">
      <c r="C859" s="34"/>
    </row>
    <row r="860" spans="3:3">
      <c r="C860" s="34"/>
    </row>
    <row r="861" spans="3:3">
      <c r="C861" s="34"/>
    </row>
    <row r="862" spans="3:3">
      <c r="C862" s="34"/>
    </row>
    <row r="863" spans="3:3">
      <c r="C863" s="34"/>
    </row>
    <row r="864" spans="3:3">
      <c r="C864" s="34"/>
    </row>
    <row r="865" spans="3:3">
      <c r="C865" s="34"/>
    </row>
    <row r="866" spans="3:3">
      <c r="C866" s="34"/>
    </row>
    <row r="867" spans="3:3">
      <c r="C867" s="34"/>
    </row>
    <row r="868" spans="3:3">
      <c r="C868" s="34"/>
    </row>
    <row r="869" spans="3:3">
      <c r="C869" s="34"/>
    </row>
    <row r="870" spans="3:3">
      <c r="C870" s="34"/>
    </row>
    <row r="871" spans="3:3">
      <c r="C871" s="34"/>
    </row>
    <row r="872" spans="3:3">
      <c r="C872" s="34"/>
    </row>
    <row r="873" spans="3:3">
      <c r="C873" s="34"/>
    </row>
    <row r="874" spans="3:3">
      <c r="C874" s="34"/>
    </row>
    <row r="875" spans="3:3">
      <c r="C875" s="34"/>
    </row>
    <row r="876" spans="3:3">
      <c r="C876" s="34"/>
    </row>
    <row r="877" spans="3:3">
      <c r="C877" s="34"/>
    </row>
    <row r="878" spans="3:3">
      <c r="C878" s="34"/>
    </row>
    <row r="879" spans="3:3">
      <c r="C879" s="34"/>
    </row>
    <row r="880" spans="3:3">
      <c r="C880" s="34"/>
    </row>
    <row r="881" spans="3:3">
      <c r="C881" s="34"/>
    </row>
    <row r="882" spans="3:3">
      <c r="C882" s="34"/>
    </row>
    <row r="883" spans="3:3">
      <c r="C883" s="34"/>
    </row>
    <row r="884" spans="3:3">
      <c r="C884" s="34"/>
    </row>
    <row r="885" spans="3:3">
      <c r="C885" s="34"/>
    </row>
    <row r="886" spans="3:3">
      <c r="C886" s="34"/>
    </row>
    <row r="887" spans="3:3">
      <c r="C887" s="34"/>
    </row>
    <row r="888" spans="3:3">
      <c r="C888" s="34"/>
    </row>
    <row r="889" spans="3:3">
      <c r="C889" s="34"/>
    </row>
    <row r="890" spans="3:3">
      <c r="C890" s="34"/>
    </row>
    <row r="891" spans="3:3">
      <c r="C891" s="34"/>
    </row>
    <row r="892" spans="3:3">
      <c r="C892" s="34"/>
    </row>
    <row r="893" spans="3:3">
      <c r="C893" s="34"/>
    </row>
    <row r="894" spans="3:3">
      <c r="C894" s="34"/>
    </row>
    <row r="895" spans="3:3">
      <c r="C895" s="34"/>
    </row>
    <row r="896" spans="3:3">
      <c r="C896" s="34"/>
    </row>
    <row r="897" spans="3:3">
      <c r="C897" s="34"/>
    </row>
    <row r="898" spans="3:3">
      <c r="C898" s="34"/>
    </row>
    <row r="899" spans="3:3">
      <c r="C899" s="34"/>
    </row>
    <row r="900" spans="3:3">
      <c r="C900" s="34"/>
    </row>
    <row r="901" spans="3:3">
      <c r="C901" s="34"/>
    </row>
    <row r="902" spans="3:3">
      <c r="C902" s="34"/>
    </row>
    <row r="903" spans="3:3">
      <c r="C903" s="34"/>
    </row>
    <row r="904" spans="3:3">
      <c r="C904" s="34"/>
    </row>
    <row r="905" spans="3:3">
      <c r="C905" s="34"/>
    </row>
    <row r="906" spans="3:3">
      <c r="C906" s="34"/>
    </row>
    <row r="907" spans="3:3">
      <c r="C907" s="34"/>
    </row>
    <row r="908" spans="3:3">
      <c r="C908" s="34"/>
    </row>
    <row r="909" spans="3:3">
      <c r="C909" s="34"/>
    </row>
    <row r="910" spans="3:3">
      <c r="C910" s="34"/>
    </row>
    <row r="911" spans="3:3">
      <c r="C911" s="34"/>
    </row>
    <row r="912" spans="3:3">
      <c r="C912" s="34"/>
    </row>
    <row r="913" spans="3:3">
      <c r="C913" s="34"/>
    </row>
    <row r="914" spans="3:3">
      <c r="C914" s="34"/>
    </row>
    <row r="915" spans="3:3">
      <c r="C915" s="34"/>
    </row>
    <row r="916" spans="3:3">
      <c r="C916" s="34"/>
    </row>
    <row r="917" spans="3:3">
      <c r="C917" s="34"/>
    </row>
    <row r="918" spans="3:3">
      <c r="C918" s="34"/>
    </row>
    <row r="919" spans="3:3">
      <c r="C919" s="34"/>
    </row>
    <row r="920" spans="3:3">
      <c r="C920" s="34"/>
    </row>
    <row r="921" spans="3:3">
      <c r="C921" s="34"/>
    </row>
    <row r="922" spans="3:3">
      <c r="C922" s="34"/>
    </row>
    <row r="923" spans="3:3">
      <c r="C923" s="34"/>
    </row>
    <row r="924" spans="3:3">
      <c r="C924" s="34"/>
    </row>
    <row r="925" spans="3:3">
      <c r="C925" s="34"/>
    </row>
    <row r="926" spans="3:3">
      <c r="C926" s="34"/>
    </row>
    <row r="927" spans="3:3">
      <c r="C927" s="34"/>
    </row>
    <row r="928" spans="3:3">
      <c r="C928" s="34"/>
    </row>
    <row r="929" spans="3:3">
      <c r="C929" s="34"/>
    </row>
    <row r="930" spans="3:3">
      <c r="C930" s="34"/>
    </row>
    <row r="931" spans="3:3">
      <c r="C931" s="34"/>
    </row>
    <row r="932" spans="3:3">
      <c r="C932" s="34"/>
    </row>
    <row r="933" spans="3:3">
      <c r="C933" s="34"/>
    </row>
    <row r="934" spans="3:3">
      <c r="C934" s="34"/>
    </row>
    <row r="935" spans="3:3">
      <c r="C935" s="34"/>
    </row>
    <row r="936" spans="3:3">
      <c r="C936" s="34"/>
    </row>
    <row r="937" spans="3:3">
      <c r="C937" s="34"/>
    </row>
    <row r="938" spans="3:3">
      <c r="C938" s="34"/>
    </row>
    <row r="939" spans="3:3">
      <c r="C939" s="34"/>
    </row>
    <row r="940" spans="3:3">
      <c r="C940" s="34"/>
    </row>
    <row r="941" spans="3:3">
      <c r="C941" s="34"/>
    </row>
    <row r="942" spans="3:3">
      <c r="C942" s="34"/>
    </row>
    <row r="943" spans="3:3">
      <c r="C943" s="34"/>
    </row>
    <row r="944" spans="3:3">
      <c r="C944" s="34"/>
    </row>
    <row r="945" spans="3:3">
      <c r="C945" s="34"/>
    </row>
    <row r="946" spans="3:3">
      <c r="C946" s="34"/>
    </row>
    <row r="947" spans="3:3">
      <c r="C947" s="34"/>
    </row>
    <row r="948" spans="3:3">
      <c r="C948" s="34"/>
    </row>
    <row r="949" spans="3:3">
      <c r="C949" s="34"/>
    </row>
    <row r="950" spans="3:3">
      <c r="C950" s="34"/>
    </row>
    <row r="951" spans="3:3">
      <c r="C951" s="34"/>
    </row>
    <row r="952" spans="3:3">
      <c r="C952" s="34"/>
    </row>
    <row r="953" spans="3:3">
      <c r="C953" s="34"/>
    </row>
    <row r="954" spans="3:3">
      <c r="C954" s="34"/>
    </row>
    <row r="955" spans="3:3">
      <c r="C955" s="34"/>
    </row>
    <row r="956" spans="3:3">
      <c r="C956" s="34"/>
    </row>
    <row r="957" spans="3:3">
      <c r="C957" s="34"/>
    </row>
    <row r="958" spans="3:3">
      <c r="C958" s="34"/>
    </row>
    <row r="959" spans="3:3">
      <c r="C959" s="34"/>
    </row>
    <row r="960" spans="3:3">
      <c r="C960" s="34"/>
    </row>
    <row r="961" spans="3:3">
      <c r="C961" s="34"/>
    </row>
    <row r="962" spans="3:3">
      <c r="C962" s="34"/>
    </row>
    <row r="963" spans="3:3">
      <c r="C963" s="34"/>
    </row>
    <row r="964" spans="3:3">
      <c r="C964" s="34"/>
    </row>
    <row r="965" spans="3:3">
      <c r="C965" s="34"/>
    </row>
    <row r="966" spans="3:3">
      <c r="C966" s="34"/>
    </row>
    <row r="967" spans="3:3">
      <c r="C967" s="34"/>
    </row>
    <row r="968" spans="3:3">
      <c r="C968" s="34"/>
    </row>
    <row r="969" spans="3:3">
      <c r="C969" s="34"/>
    </row>
    <row r="970" spans="3:3">
      <c r="C970" s="34"/>
    </row>
    <row r="971" spans="3:3">
      <c r="C971" s="34"/>
    </row>
    <row r="972" spans="3:3">
      <c r="C972" s="34"/>
    </row>
    <row r="973" spans="3:3">
      <c r="C973" s="34"/>
    </row>
    <row r="974" spans="3:3">
      <c r="C974" s="34"/>
    </row>
    <row r="975" spans="3:3">
      <c r="C975" s="34"/>
    </row>
    <row r="976" spans="3:3">
      <c r="C976" s="34"/>
    </row>
    <row r="977" spans="3:3">
      <c r="C977" s="34"/>
    </row>
    <row r="978" spans="3:3">
      <c r="C978" s="34"/>
    </row>
    <row r="979" spans="3:3">
      <c r="C979" s="34"/>
    </row>
    <row r="980" spans="3:3">
      <c r="C980" s="34"/>
    </row>
    <row r="981" spans="3:3">
      <c r="C981" s="34"/>
    </row>
    <row r="982" spans="3:3">
      <c r="C982" s="34"/>
    </row>
    <row r="983" spans="3:3">
      <c r="C983" s="34"/>
    </row>
    <row r="984" spans="3:3">
      <c r="C984" s="34"/>
    </row>
    <row r="985" spans="3:3">
      <c r="C985" s="34"/>
    </row>
    <row r="986" spans="3:3">
      <c r="C986" s="34"/>
    </row>
    <row r="987" spans="3:3">
      <c r="C987" s="34"/>
    </row>
    <row r="988" spans="3:3">
      <c r="C988" s="34"/>
    </row>
    <row r="989" spans="3:3">
      <c r="C989" s="34"/>
    </row>
    <row r="990" spans="3:3">
      <c r="C990" s="34"/>
    </row>
    <row r="991" spans="3:3">
      <c r="C991" s="34"/>
    </row>
    <row r="992" spans="3:3">
      <c r="C992" s="34"/>
    </row>
    <row r="993" spans="3:3">
      <c r="C993" s="34"/>
    </row>
    <row r="994" spans="3:3">
      <c r="C994" s="34"/>
    </row>
    <row r="995" spans="3:3">
      <c r="C995" s="34"/>
    </row>
    <row r="996" spans="3:3">
      <c r="C996" s="34"/>
    </row>
    <row r="997" spans="3:3">
      <c r="C997" s="34"/>
    </row>
    <row r="998" spans="3:3">
      <c r="C998" s="34"/>
    </row>
    <row r="999" spans="3:3">
      <c r="C999" s="34"/>
    </row>
    <row r="1000" spans="3:3">
      <c r="C1000" s="34"/>
    </row>
  </sheetData>
  <dataValidations count="5">
    <dataValidation type="list" allowBlank="1" showErrorMessage="1" sqref="E2" xr:uid="{00000000-0002-0000-0600-000000000000}">
      <formula1>"Bounceback,Defect,None"</formula1>
    </dataValidation>
    <dataValidation type="list" allowBlank="1" showErrorMessage="1" sqref="I2:I13" xr:uid="{00000000-0002-0000-0600-000002000000}">
      <formula1>"Open,Inprogress,Closed"</formula1>
    </dataValidation>
    <dataValidation type="list" allowBlank="1" showErrorMessage="1" sqref="H2:H13" xr:uid="{00000000-0002-0000-0600-000003000000}">
      <formula1>"Internal,External"</formula1>
    </dataValidation>
    <dataValidation type="list" allowBlank="1" showErrorMessage="1" sqref="G2:G13" xr:uid="{00000000-0002-0000-0600-000004000000}">
      <formula1>"Minor,Significant,Major"</formula1>
    </dataValidation>
    <dataValidation type="list" allowBlank="1" showErrorMessage="1" sqref="E3:E13" xr:uid="{00000000-0002-0000-0600-000005000000}">
      <formula1>"Bounceback,Defect,None,Regression"</formula1>
    </dataValidation>
  </dataValidations>
  <hyperlinks>
    <hyperlink ref="F5" r:id="rId1" xr:uid="{00000000-0004-0000-0600-000000000000}"/>
    <hyperlink ref="F6" r:id="rId2" xr:uid="{00000000-0004-0000-0600-000001000000}"/>
    <hyperlink ref="F7" r:id="rId3" xr:uid="{00000000-0004-0000-0600-000002000000}"/>
    <hyperlink ref="F8" r:id="rId4" xr:uid="{00000000-0004-0000-0600-000003000000}"/>
    <hyperlink ref="F9" r:id="rId5" xr:uid="{00000000-0004-0000-0600-000004000000}"/>
    <hyperlink ref="F10" r:id="rId6" xr:uid="{00000000-0004-0000-0600-000005000000}"/>
    <hyperlink ref="F11" r:id="rId7" xr:uid="{00000000-0004-0000-0600-000006000000}"/>
    <hyperlink ref="F12" r:id="rId8" xr:uid="{00000000-0004-0000-0600-000007000000}"/>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Details!$A$2:$A$10</xm:f>
          </x14:formula1>
          <xm:sqref>J2:J13</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K10"/>
  <sheetViews>
    <sheetView showGridLines="0" workbookViewId="0"/>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521" t="s">
        <v>1484</v>
      </c>
      <c r="C2" s="522"/>
      <c r="D2" s="522"/>
      <c r="E2" s="522"/>
      <c r="F2" s="522"/>
      <c r="G2" s="522"/>
      <c r="I2" s="38" t="s">
        <v>1485</v>
      </c>
      <c r="J2" s="38" t="s">
        <v>1486</v>
      </c>
      <c r="K2" s="38" t="s">
        <v>248</v>
      </c>
    </row>
    <row r="3" spans="2:11">
      <c r="B3" s="2">
        <v>1</v>
      </c>
      <c r="C3" s="520" t="s">
        <v>1487</v>
      </c>
      <c r="D3" s="523"/>
      <c r="E3" s="523"/>
      <c r="F3" s="523"/>
      <c r="G3" s="524"/>
      <c r="I3" s="2">
        <v>1</v>
      </c>
      <c r="J3" s="2" t="s">
        <v>1488</v>
      </c>
      <c r="K3" s="2" t="b">
        <v>0</v>
      </c>
    </row>
    <row r="4" spans="2:11">
      <c r="B4" s="2">
        <v>2</v>
      </c>
      <c r="C4" s="520" t="s">
        <v>1489</v>
      </c>
      <c r="D4" s="523"/>
      <c r="E4" s="523"/>
      <c r="F4" s="523"/>
      <c r="G4" s="524"/>
      <c r="I4" s="2">
        <v>2</v>
      </c>
      <c r="J4" s="2" t="s">
        <v>1490</v>
      </c>
      <c r="K4" s="2" t="b">
        <v>0</v>
      </c>
    </row>
    <row r="5" spans="2:11">
      <c r="B5" s="2">
        <v>3</v>
      </c>
      <c r="C5" s="520" t="s">
        <v>1491</v>
      </c>
      <c r="D5" s="523"/>
      <c r="E5" s="523"/>
      <c r="F5" s="523"/>
      <c r="G5" s="524"/>
      <c r="I5" s="2">
        <v>3</v>
      </c>
      <c r="J5" s="2" t="s">
        <v>1492</v>
      </c>
      <c r="K5" s="2" t="b">
        <v>0</v>
      </c>
    </row>
    <row r="6" spans="2:11">
      <c r="B6" s="2">
        <v>4</v>
      </c>
      <c r="C6" s="520" t="s">
        <v>1493</v>
      </c>
      <c r="D6" s="523"/>
      <c r="E6" s="523"/>
      <c r="F6" s="523"/>
      <c r="G6" s="524"/>
      <c r="I6" s="2">
        <v>4</v>
      </c>
      <c r="J6" s="2" t="s">
        <v>1494</v>
      </c>
      <c r="K6" s="2" t="b">
        <v>0</v>
      </c>
    </row>
    <row r="7" spans="2:11">
      <c r="D7" s="39"/>
      <c r="I7" s="2">
        <v>5</v>
      </c>
      <c r="J7" s="2" t="s">
        <v>1495</v>
      </c>
      <c r="K7" s="2" t="b">
        <v>0</v>
      </c>
    </row>
    <row r="8" spans="2:11">
      <c r="D8" s="39"/>
      <c r="I8" s="2">
        <v>6</v>
      </c>
      <c r="J8" s="2" t="s">
        <v>1496</v>
      </c>
      <c r="K8" s="2" t="b">
        <v>0</v>
      </c>
    </row>
    <row r="9" spans="2:11">
      <c r="D9" s="39"/>
      <c r="I9" s="2">
        <v>7</v>
      </c>
      <c r="J9" s="2" t="s">
        <v>1497</v>
      </c>
      <c r="K9" s="2" t="b">
        <v>0</v>
      </c>
    </row>
    <row r="10" spans="2:11">
      <c r="D10" s="39"/>
      <c r="I10" s="2">
        <v>8</v>
      </c>
      <c r="J10" s="2" t="s">
        <v>1498</v>
      </c>
      <c r="K10" s="2" t="b">
        <v>0</v>
      </c>
    </row>
  </sheetData>
  <mergeCells count="5">
    <mergeCell ref="B2:G2"/>
    <mergeCell ref="C3:G3"/>
    <mergeCell ref="C4:G4"/>
    <mergeCell ref="C5:G5"/>
    <mergeCell ref="C6:G6"/>
  </mergeCells>
  <pageMargins left="0" right="0" top="0" bottom="0" header="0" footer="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
  <sheetViews>
    <sheetView workbookViewId="0">
      <selection activeCell="K20" sqref="K20"/>
    </sheetView>
  </sheetViews>
  <sheetFormatPr defaultColWidth="12.5703125" defaultRowHeight="15.75" customHeight="1"/>
  <cols>
    <col min="1" max="1" width="16.5703125" customWidth="1"/>
  </cols>
  <sheetData>
    <row r="1" spans="1:1">
      <c r="A1" s="40" t="s">
        <v>930</v>
      </c>
    </row>
    <row r="2" spans="1:1">
      <c r="A2" s="41" t="s">
        <v>931</v>
      </c>
    </row>
    <row r="3" spans="1:1">
      <c r="A3" s="41" t="s">
        <v>859</v>
      </c>
    </row>
    <row r="4" spans="1:1">
      <c r="A4" s="41" t="s">
        <v>932</v>
      </c>
    </row>
    <row r="5" spans="1:1">
      <c r="A5" s="41" t="s">
        <v>933</v>
      </c>
    </row>
    <row r="6" spans="1:1">
      <c r="A6" s="41" t="s">
        <v>902</v>
      </c>
    </row>
    <row r="7" spans="1:1">
      <c r="A7" s="41" t="s">
        <v>934</v>
      </c>
    </row>
    <row r="8" spans="1:1">
      <c r="A8" s="41" t="s">
        <v>935</v>
      </c>
    </row>
    <row r="9" spans="1:1">
      <c r="A9" s="41" t="s">
        <v>936</v>
      </c>
    </row>
    <row r="10" spans="1:1">
      <c r="A10" s="41" t="s">
        <v>937</v>
      </c>
    </row>
  </sheetData>
  <pageMargins left="0" right="0" top="0" bottom="0" header="0" footer="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C7A31-851B-42B7-B771-9CA8D357CA73}">
  <dimension ref="C3:C20"/>
  <sheetViews>
    <sheetView workbookViewId="0">
      <selection activeCell="O15" sqref="O15"/>
    </sheetView>
  </sheetViews>
  <sheetFormatPr defaultRowHeight="12.75"/>
  <cols>
    <col min="3" max="3" width="13.42578125" customWidth="1"/>
  </cols>
  <sheetData>
    <row r="3" spans="3:3">
      <c r="C3" t="s">
        <v>280</v>
      </c>
    </row>
    <row r="4" spans="3:3">
      <c r="C4" t="s">
        <v>381</v>
      </c>
    </row>
    <row r="5" spans="3:3">
      <c r="C5" t="s">
        <v>506</v>
      </c>
    </row>
    <row r="6" spans="3:3">
      <c r="C6" t="s">
        <v>428</v>
      </c>
    </row>
    <row r="7" spans="3:3">
      <c r="C7" t="s">
        <v>1499</v>
      </c>
    </row>
    <row r="8" spans="3:3">
      <c r="C8" t="s">
        <v>274</v>
      </c>
    </row>
    <row r="9" spans="3:3">
      <c r="C9" t="s">
        <v>640</v>
      </c>
    </row>
    <row r="10" spans="3:3">
      <c r="C10" t="s">
        <v>1500</v>
      </c>
    </row>
    <row r="11" spans="3:3">
      <c r="C11" t="s">
        <v>1501</v>
      </c>
    </row>
    <row r="12" spans="3:3">
      <c r="C12" t="s">
        <v>694</v>
      </c>
    </row>
    <row r="13" spans="3:3">
      <c r="C13" t="s">
        <v>619</v>
      </c>
    </row>
    <row r="14" spans="3:3">
      <c r="C14" t="s">
        <v>1499</v>
      </c>
    </row>
    <row r="15" spans="3:3">
      <c r="C15" t="s">
        <v>1006</v>
      </c>
    </row>
    <row r="16" spans="3:3">
      <c r="C16" t="s">
        <v>1014</v>
      </c>
    </row>
    <row r="17" spans="3:3">
      <c r="C17" t="s">
        <v>295</v>
      </c>
    </row>
    <row r="18" spans="3:3">
      <c r="C18" t="s">
        <v>1502</v>
      </c>
    </row>
    <row r="19" spans="3:3">
      <c r="C19" t="s">
        <v>1503</v>
      </c>
    </row>
    <row r="20" spans="3:3">
      <c r="C20" t="s">
        <v>1504</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77787-BA19-4805-A689-0D105A54C4CD}">
  <dimension ref="A1:AB205"/>
  <sheetViews>
    <sheetView workbookViewId="0"/>
  </sheetViews>
  <sheetFormatPr defaultRowHeight="12.75"/>
  <sheetData>
    <row r="1" spans="1:28">
      <c r="A1">
        <v>1</v>
      </c>
      <c r="B1" t="s">
        <v>476</v>
      </c>
      <c r="C1">
        <v>46059</v>
      </c>
      <c r="D1">
        <v>46072</v>
      </c>
      <c r="E1" t="s">
        <v>86</v>
      </c>
      <c r="F1" t="s">
        <v>275</v>
      </c>
      <c r="G1">
        <v>46521</v>
      </c>
      <c r="H1" t="s">
        <v>970</v>
      </c>
      <c r="I1" t="s">
        <v>13</v>
      </c>
      <c r="J1">
        <v>8</v>
      </c>
      <c r="K1">
        <v>8</v>
      </c>
      <c r="P1" t="s">
        <v>287</v>
      </c>
      <c r="R1" t="s">
        <v>971</v>
      </c>
      <c r="S1">
        <v>45717</v>
      </c>
      <c r="U1" t="s">
        <v>287</v>
      </c>
      <c r="W1" t="s">
        <v>441</v>
      </c>
      <c r="X1">
        <v>45660</v>
      </c>
    </row>
    <row r="2" spans="1:28">
      <c r="A2">
        <v>2</v>
      </c>
      <c r="B2" t="s">
        <v>476</v>
      </c>
      <c r="C2">
        <v>46059</v>
      </c>
      <c r="D2">
        <v>46072</v>
      </c>
      <c r="E2" t="s">
        <v>86</v>
      </c>
      <c r="F2" t="s">
        <v>972</v>
      </c>
      <c r="G2">
        <v>44110</v>
      </c>
      <c r="H2" t="s">
        <v>973</v>
      </c>
      <c r="I2" t="s">
        <v>13</v>
      </c>
      <c r="J2">
        <v>4</v>
      </c>
      <c r="K2">
        <v>4</v>
      </c>
      <c r="M2" t="s">
        <v>634</v>
      </c>
      <c r="N2" t="s">
        <v>634</v>
      </c>
      <c r="P2" t="s">
        <v>441</v>
      </c>
      <c r="R2" t="s">
        <v>974</v>
      </c>
      <c r="S2" t="s">
        <v>975</v>
      </c>
      <c r="T2" t="s">
        <v>975</v>
      </c>
      <c r="U2" t="s">
        <v>441</v>
      </c>
      <c r="W2" t="s">
        <v>441</v>
      </c>
    </row>
    <row r="3" spans="1:28">
      <c r="A3">
        <v>3</v>
      </c>
      <c r="B3" t="s">
        <v>476</v>
      </c>
      <c r="C3">
        <v>46059</v>
      </c>
      <c r="D3">
        <v>46072</v>
      </c>
      <c r="E3" t="s">
        <v>86</v>
      </c>
      <c r="F3" t="s">
        <v>287</v>
      </c>
      <c r="G3">
        <v>46705</v>
      </c>
      <c r="H3" t="s">
        <v>976</v>
      </c>
      <c r="I3" t="s">
        <v>13</v>
      </c>
      <c r="J3">
        <v>3</v>
      </c>
      <c r="K3">
        <v>3</v>
      </c>
      <c r="R3" t="s">
        <v>971</v>
      </c>
      <c r="S3">
        <v>45717</v>
      </c>
      <c r="T3">
        <v>45717</v>
      </c>
      <c r="U3" t="s">
        <v>287</v>
      </c>
      <c r="W3" t="s">
        <v>441</v>
      </c>
      <c r="X3">
        <v>45660</v>
      </c>
    </row>
    <row r="4" spans="1:28">
      <c r="A4">
        <v>4</v>
      </c>
      <c r="B4" t="s">
        <v>476</v>
      </c>
      <c r="C4">
        <v>46059</v>
      </c>
      <c r="D4">
        <v>46072</v>
      </c>
      <c r="E4" t="s">
        <v>86</v>
      </c>
      <c r="F4" t="s">
        <v>275</v>
      </c>
      <c r="G4">
        <v>46713</v>
      </c>
      <c r="H4" t="s">
        <v>977</v>
      </c>
      <c r="I4" t="s">
        <v>933</v>
      </c>
      <c r="J4">
        <v>8</v>
      </c>
      <c r="K4">
        <v>8</v>
      </c>
      <c r="P4" t="s">
        <v>287</v>
      </c>
      <c r="R4" t="s">
        <v>971</v>
      </c>
      <c r="S4">
        <v>45717</v>
      </c>
      <c r="T4">
        <v>45717</v>
      </c>
      <c r="U4" t="s">
        <v>287</v>
      </c>
      <c r="W4" t="s">
        <v>441</v>
      </c>
      <c r="X4">
        <v>45660</v>
      </c>
      <c r="AA4" t="s">
        <v>978</v>
      </c>
      <c r="AB4" t="s">
        <v>979</v>
      </c>
    </row>
    <row r="5" spans="1:28">
      <c r="A5">
        <v>5</v>
      </c>
      <c r="B5" t="s">
        <v>476</v>
      </c>
      <c r="C5">
        <v>46059</v>
      </c>
      <c r="D5">
        <v>46072</v>
      </c>
      <c r="E5" t="s">
        <v>86</v>
      </c>
      <c r="F5" t="s">
        <v>275</v>
      </c>
      <c r="G5" t="s">
        <v>980</v>
      </c>
      <c r="H5" t="s">
        <v>981</v>
      </c>
      <c r="I5" t="s">
        <v>13</v>
      </c>
      <c r="J5">
        <v>5</v>
      </c>
      <c r="K5">
        <v>5</v>
      </c>
      <c r="P5" t="s">
        <v>287</v>
      </c>
      <c r="R5" t="s">
        <v>971</v>
      </c>
      <c r="S5">
        <v>45717</v>
      </c>
      <c r="T5">
        <v>45717</v>
      </c>
      <c r="U5" t="s">
        <v>287</v>
      </c>
      <c r="W5" t="s">
        <v>441</v>
      </c>
      <c r="X5">
        <v>45660</v>
      </c>
    </row>
    <row r="6" spans="1:28">
      <c r="A6">
        <v>6</v>
      </c>
      <c r="B6" t="s">
        <v>476</v>
      </c>
      <c r="C6">
        <v>46059</v>
      </c>
      <c r="D6">
        <v>46072</v>
      </c>
      <c r="E6" t="s">
        <v>86</v>
      </c>
      <c r="F6" t="s">
        <v>287</v>
      </c>
      <c r="G6">
        <v>46714</v>
      </c>
      <c r="H6" t="s">
        <v>982</v>
      </c>
      <c r="I6" t="s">
        <v>933</v>
      </c>
      <c r="J6">
        <v>8</v>
      </c>
      <c r="K6">
        <v>8</v>
      </c>
      <c r="R6" t="s">
        <v>971</v>
      </c>
      <c r="S6">
        <v>45717</v>
      </c>
      <c r="T6">
        <v>45717</v>
      </c>
      <c r="U6" t="s">
        <v>287</v>
      </c>
      <c r="W6" t="s">
        <v>441</v>
      </c>
      <c r="X6">
        <v>45660</v>
      </c>
      <c r="AB6" t="s">
        <v>979</v>
      </c>
    </row>
    <row r="7" spans="1:28">
      <c r="A7">
        <v>7</v>
      </c>
      <c r="B7" t="s">
        <v>476</v>
      </c>
      <c r="C7">
        <v>46059</v>
      </c>
      <c r="D7">
        <v>46072</v>
      </c>
      <c r="E7" t="s">
        <v>983</v>
      </c>
      <c r="F7" t="s">
        <v>984</v>
      </c>
      <c r="G7">
        <v>24397</v>
      </c>
      <c r="H7" t="s">
        <v>985</v>
      </c>
      <c r="I7" t="s">
        <v>13</v>
      </c>
      <c r="J7">
        <v>2</v>
      </c>
      <c r="K7">
        <v>2</v>
      </c>
      <c r="M7" t="s">
        <v>417</v>
      </c>
      <c r="N7" t="s">
        <v>287</v>
      </c>
      <c r="P7" t="s">
        <v>275</v>
      </c>
      <c r="R7" t="s">
        <v>986</v>
      </c>
      <c r="S7">
        <v>45646</v>
      </c>
      <c r="T7">
        <v>45660</v>
      </c>
      <c r="U7" t="s">
        <v>287</v>
      </c>
      <c r="W7" t="s">
        <v>441</v>
      </c>
      <c r="X7">
        <v>45660</v>
      </c>
    </row>
    <row r="8" spans="1:28">
      <c r="A8">
        <v>8</v>
      </c>
      <c r="B8" t="s">
        <v>476</v>
      </c>
      <c r="C8">
        <v>46059</v>
      </c>
      <c r="D8">
        <v>46072</v>
      </c>
      <c r="E8" t="s">
        <v>987</v>
      </c>
      <c r="F8" t="s">
        <v>984</v>
      </c>
      <c r="G8">
        <v>23861</v>
      </c>
      <c r="H8" s="43" t="s">
        <v>988</v>
      </c>
      <c r="I8" t="s">
        <v>13</v>
      </c>
      <c r="J8">
        <v>3</v>
      </c>
      <c r="K8">
        <v>3</v>
      </c>
      <c r="M8" t="s">
        <v>417</v>
      </c>
      <c r="N8" t="s">
        <v>287</v>
      </c>
      <c r="P8" t="s">
        <v>275</v>
      </c>
      <c r="R8" t="s">
        <v>989</v>
      </c>
      <c r="S8">
        <v>45646</v>
      </c>
      <c r="T8">
        <v>45660</v>
      </c>
      <c r="U8" t="s">
        <v>287</v>
      </c>
      <c r="W8" t="s">
        <v>441</v>
      </c>
      <c r="X8">
        <v>45660</v>
      </c>
    </row>
    <row r="9" spans="1:28">
      <c r="A9">
        <v>9</v>
      </c>
      <c r="B9" t="s">
        <v>476</v>
      </c>
      <c r="C9">
        <v>46059</v>
      </c>
      <c r="D9">
        <v>46072</v>
      </c>
      <c r="E9" t="s">
        <v>983</v>
      </c>
      <c r="F9" t="s">
        <v>417</v>
      </c>
      <c r="G9">
        <v>23746</v>
      </c>
      <c r="H9" t="s">
        <v>945</v>
      </c>
      <c r="I9" t="s">
        <v>428</v>
      </c>
      <c r="J9">
        <v>3</v>
      </c>
      <c r="K9">
        <v>3</v>
      </c>
      <c r="M9" t="s">
        <v>417</v>
      </c>
      <c r="N9" t="s">
        <v>287</v>
      </c>
      <c r="P9" t="s">
        <v>275</v>
      </c>
      <c r="R9" t="s">
        <v>990</v>
      </c>
      <c r="S9">
        <v>45666</v>
      </c>
      <c r="U9" t="s">
        <v>287</v>
      </c>
      <c r="W9" t="s">
        <v>441</v>
      </c>
    </row>
    <row r="10" spans="1:28">
      <c r="A10">
        <v>10</v>
      </c>
      <c r="B10" t="s">
        <v>476</v>
      </c>
      <c r="C10">
        <v>46059</v>
      </c>
      <c r="D10">
        <v>46072</v>
      </c>
      <c r="E10" t="s">
        <v>983</v>
      </c>
      <c r="F10" t="s">
        <v>417</v>
      </c>
      <c r="G10">
        <v>24468</v>
      </c>
      <c r="H10" t="s">
        <v>953</v>
      </c>
      <c r="I10" t="s">
        <v>428</v>
      </c>
      <c r="J10">
        <v>2</v>
      </c>
      <c r="K10">
        <v>2</v>
      </c>
      <c r="M10" t="s">
        <v>417</v>
      </c>
      <c r="N10" t="s">
        <v>287</v>
      </c>
      <c r="P10" t="s">
        <v>275</v>
      </c>
      <c r="R10" t="s">
        <v>991</v>
      </c>
      <c r="S10">
        <v>45665</v>
      </c>
      <c r="U10" t="s">
        <v>287</v>
      </c>
      <c r="W10" t="s">
        <v>441</v>
      </c>
    </row>
    <row r="11" spans="1:28">
      <c r="A11">
        <v>11</v>
      </c>
      <c r="B11" t="s">
        <v>476</v>
      </c>
      <c r="C11">
        <v>46059</v>
      </c>
      <c r="D11">
        <v>46072</v>
      </c>
      <c r="E11" t="s">
        <v>987</v>
      </c>
      <c r="F11" t="s">
        <v>972</v>
      </c>
      <c r="G11">
        <v>24395</v>
      </c>
      <c r="H11" t="s">
        <v>992</v>
      </c>
      <c r="I11" t="s">
        <v>13</v>
      </c>
      <c r="J11">
        <v>1</v>
      </c>
      <c r="K11">
        <v>1</v>
      </c>
    </row>
    <row r="12" spans="1:28">
      <c r="A12">
        <v>12</v>
      </c>
      <c r="B12" t="s">
        <v>476</v>
      </c>
      <c r="C12">
        <v>46059</v>
      </c>
      <c r="D12">
        <v>46072</v>
      </c>
      <c r="E12" t="s">
        <v>987</v>
      </c>
      <c r="F12" t="s">
        <v>272</v>
      </c>
      <c r="G12">
        <v>85707</v>
      </c>
      <c r="H12" t="s">
        <v>993</v>
      </c>
      <c r="I12" t="s">
        <v>13</v>
      </c>
      <c r="J12">
        <v>1</v>
      </c>
      <c r="K12">
        <v>1</v>
      </c>
    </row>
    <row r="13" spans="1:28">
      <c r="A13">
        <v>1</v>
      </c>
      <c r="B13" t="s">
        <v>476</v>
      </c>
      <c r="C13">
        <v>46059</v>
      </c>
      <c r="D13">
        <v>46072</v>
      </c>
      <c r="E13" t="s">
        <v>89</v>
      </c>
      <c r="F13" t="s">
        <v>275</v>
      </c>
      <c r="G13">
        <v>46713</v>
      </c>
      <c r="H13" t="s">
        <v>977</v>
      </c>
      <c r="I13" t="s">
        <v>280</v>
      </c>
      <c r="J13">
        <v>8</v>
      </c>
      <c r="K13">
        <v>8</v>
      </c>
      <c r="P13" t="s">
        <v>287</v>
      </c>
      <c r="R13" t="s">
        <v>971</v>
      </c>
      <c r="S13">
        <v>45717</v>
      </c>
      <c r="T13">
        <v>45717</v>
      </c>
      <c r="U13" t="s">
        <v>287</v>
      </c>
      <c r="W13" t="s">
        <v>441</v>
      </c>
      <c r="X13">
        <v>45660</v>
      </c>
    </row>
    <row r="14" spans="1:28">
      <c r="A14">
        <v>2</v>
      </c>
      <c r="B14" t="s">
        <v>476</v>
      </c>
      <c r="C14">
        <v>46059</v>
      </c>
      <c r="D14">
        <v>46072</v>
      </c>
      <c r="E14" t="s">
        <v>89</v>
      </c>
      <c r="F14" t="s">
        <v>287</v>
      </c>
      <c r="G14">
        <v>46714</v>
      </c>
      <c r="H14" t="s">
        <v>982</v>
      </c>
      <c r="I14" t="s">
        <v>280</v>
      </c>
      <c r="J14">
        <v>8</v>
      </c>
      <c r="K14">
        <v>8</v>
      </c>
      <c r="R14" t="s">
        <v>971</v>
      </c>
      <c r="S14">
        <v>45717</v>
      </c>
      <c r="T14">
        <v>45717</v>
      </c>
      <c r="U14" t="s">
        <v>287</v>
      </c>
      <c r="W14" t="s">
        <v>441</v>
      </c>
      <c r="X14">
        <v>45660</v>
      </c>
    </row>
    <row r="15" spans="1:28">
      <c r="A15">
        <v>3</v>
      </c>
      <c r="B15" t="s">
        <v>476</v>
      </c>
      <c r="C15">
        <v>46059</v>
      </c>
      <c r="D15">
        <v>46072</v>
      </c>
      <c r="E15" t="s">
        <v>89</v>
      </c>
      <c r="F15" t="s">
        <v>948</v>
      </c>
      <c r="G15">
        <v>24480</v>
      </c>
      <c r="H15" t="s">
        <v>949</v>
      </c>
      <c r="I15" t="s">
        <v>295</v>
      </c>
      <c r="J15">
        <v>5</v>
      </c>
      <c r="K15">
        <v>5</v>
      </c>
      <c r="P15" t="s">
        <v>287</v>
      </c>
      <c r="R15" t="s">
        <v>1004</v>
      </c>
      <c r="S15">
        <v>45670</v>
      </c>
      <c r="T15">
        <v>45670</v>
      </c>
      <c r="U15" t="s">
        <v>287</v>
      </c>
      <c r="W15" t="s">
        <v>441</v>
      </c>
      <c r="X15">
        <v>45670</v>
      </c>
    </row>
    <row r="16" spans="1:28">
      <c r="A16">
        <v>4</v>
      </c>
      <c r="B16" t="s">
        <v>476</v>
      </c>
      <c r="C16">
        <v>46059</v>
      </c>
      <c r="D16">
        <v>46072</v>
      </c>
      <c r="E16" t="s">
        <v>89</v>
      </c>
      <c r="F16" t="s">
        <v>275</v>
      </c>
      <c r="G16">
        <v>24500</v>
      </c>
      <c r="H16" t="s">
        <v>950</v>
      </c>
      <c r="I16" t="s">
        <v>295</v>
      </c>
      <c r="J16">
        <v>1</v>
      </c>
      <c r="K16">
        <v>1</v>
      </c>
      <c r="R16" t="s">
        <v>1005</v>
      </c>
      <c r="S16">
        <v>45672</v>
      </c>
      <c r="T16">
        <v>45672</v>
      </c>
      <c r="U16" t="s">
        <v>287</v>
      </c>
      <c r="W16" t="s">
        <v>441</v>
      </c>
      <c r="X16">
        <v>45672</v>
      </c>
    </row>
    <row r="17" spans="1:28">
      <c r="A17">
        <v>5</v>
      </c>
      <c r="B17" t="s">
        <v>476</v>
      </c>
      <c r="C17">
        <v>46059</v>
      </c>
      <c r="D17">
        <v>46072</v>
      </c>
      <c r="E17" t="s">
        <v>89</v>
      </c>
      <c r="F17" t="s">
        <v>417</v>
      </c>
      <c r="G17">
        <v>23746</v>
      </c>
      <c r="H17" t="s">
        <v>945</v>
      </c>
      <c r="I17" t="s">
        <v>295</v>
      </c>
      <c r="J17">
        <v>2</v>
      </c>
      <c r="K17">
        <v>2</v>
      </c>
      <c r="M17" t="s">
        <v>417</v>
      </c>
      <c r="N17" t="s">
        <v>287</v>
      </c>
      <c r="P17" t="s">
        <v>275</v>
      </c>
      <c r="R17" t="s">
        <v>990</v>
      </c>
      <c r="S17">
        <v>45666</v>
      </c>
      <c r="T17">
        <v>45673</v>
      </c>
      <c r="U17" t="s">
        <v>287</v>
      </c>
      <c r="W17" t="s">
        <v>441</v>
      </c>
      <c r="X17">
        <v>45673</v>
      </c>
    </row>
    <row r="18" spans="1:28">
      <c r="A18">
        <v>6</v>
      </c>
      <c r="B18" t="s">
        <v>476</v>
      </c>
      <c r="C18">
        <v>46059</v>
      </c>
      <c r="D18">
        <v>46072</v>
      </c>
      <c r="E18" t="s">
        <v>89</v>
      </c>
      <c r="F18" t="s">
        <v>275</v>
      </c>
      <c r="G18">
        <v>24468</v>
      </c>
      <c r="H18" t="s">
        <v>953</v>
      </c>
      <c r="I18" t="s">
        <v>1006</v>
      </c>
      <c r="J18">
        <v>2</v>
      </c>
      <c r="M18" t="s">
        <v>417</v>
      </c>
      <c r="N18" t="s">
        <v>287</v>
      </c>
      <c r="P18" t="s">
        <v>275</v>
      </c>
      <c r="R18" t="s">
        <v>1007</v>
      </c>
      <c r="S18">
        <v>45678</v>
      </c>
      <c r="T18">
        <v>45678</v>
      </c>
      <c r="U18" t="s">
        <v>287</v>
      </c>
      <c r="W18" t="s">
        <v>441</v>
      </c>
      <c r="X18">
        <v>45678</v>
      </c>
    </row>
    <row r="19" spans="1:28">
      <c r="A19">
        <v>7</v>
      </c>
      <c r="B19" t="s">
        <v>476</v>
      </c>
      <c r="C19">
        <v>46059</v>
      </c>
      <c r="D19">
        <v>46072</v>
      </c>
      <c r="E19" t="s">
        <v>89</v>
      </c>
      <c r="F19" t="s">
        <v>275</v>
      </c>
      <c r="G19">
        <v>24517</v>
      </c>
      <c r="H19" t="s">
        <v>951</v>
      </c>
      <c r="I19" t="s">
        <v>295</v>
      </c>
      <c r="J19">
        <v>1</v>
      </c>
      <c r="K19">
        <v>1</v>
      </c>
      <c r="P19" t="s">
        <v>287</v>
      </c>
      <c r="R19" t="s">
        <v>1008</v>
      </c>
      <c r="S19">
        <v>45675</v>
      </c>
      <c r="T19">
        <v>45678</v>
      </c>
      <c r="U19" t="s">
        <v>287</v>
      </c>
      <c r="W19" t="s">
        <v>441</v>
      </c>
      <c r="X19">
        <v>45678</v>
      </c>
    </row>
    <row r="20" spans="1:28">
      <c r="A20">
        <v>8</v>
      </c>
      <c r="B20" t="s">
        <v>476</v>
      </c>
      <c r="C20">
        <v>46059</v>
      </c>
      <c r="D20">
        <v>46072</v>
      </c>
      <c r="E20" t="s">
        <v>89</v>
      </c>
      <c r="F20" t="s">
        <v>417</v>
      </c>
      <c r="G20">
        <v>24523</v>
      </c>
      <c r="H20" s="43" t="s">
        <v>955</v>
      </c>
      <c r="I20" t="s">
        <v>295</v>
      </c>
      <c r="J20">
        <v>2</v>
      </c>
      <c r="K20">
        <v>2</v>
      </c>
      <c r="M20" t="s">
        <v>417</v>
      </c>
      <c r="N20" t="s">
        <v>287</v>
      </c>
      <c r="P20" t="s">
        <v>275</v>
      </c>
      <c r="R20" t="s">
        <v>1009</v>
      </c>
      <c r="S20">
        <v>45675</v>
      </c>
      <c r="T20">
        <v>45678</v>
      </c>
      <c r="U20" t="s">
        <v>287</v>
      </c>
      <c r="W20" t="s">
        <v>441</v>
      </c>
      <c r="X20">
        <v>45678</v>
      </c>
    </row>
    <row r="21" spans="1:28">
      <c r="A21">
        <v>9</v>
      </c>
      <c r="B21" t="s">
        <v>476</v>
      </c>
      <c r="C21">
        <v>46059</v>
      </c>
      <c r="D21">
        <v>46072</v>
      </c>
      <c r="E21" t="s">
        <v>89</v>
      </c>
      <c r="F21" t="s">
        <v>272</v>
      </c>
      <c r="G21">
        <v>46888</v>
      </c>
      <c r="H21" t="s">
        <v>1010</v>
      </c>
      <c r="I21" t="s">
        <v>280</v>
      </c>
      <c r="J21">
        <v>3</v>
      </c>
      <c r="K21">
        <v>3</v>
      </c>
    </row>
    <row r="22" spans="1:28">
      <c r="A22">
        <v>10</v>
      </c>
      <c r="B22" t="s">
        <v>476</v>
      </c>
      <c r="C22">
        <v>46059</v>
      </c>
      <c r="D22">
        <v>46072</v>
      </c>
      <c r="E22" t="s">
        <v>89</v>
      </c>
      <c r="F22" t="s">
        <v>272</v>
      </c>
      <c r="G22">
        <v>46889</v>
      </c>
      <c r="H22" t="s">
        <v>1011</v>
      </c>
      <c r="I22" t="s">
        <v>280</v>
      </c>
      <c r="J22">
        <v>3</v>
      </c>
      <c r="K22">
        <v>3</v>
      </c>
    </row>
    <row r="23" spans="1:28">
      <c r="A23">
        <v>11</v>
      </c>
      <c r="B23" t="s">
        <v>476</v>
      </c>
      <c r="C23">
        <v>46059</v>
      </c>
      <c r="D23">
        <v>46072</v>
      </c>
      <c r="E23" t="s">
        <v>89</v>
      </c>
      <c r="F23" t="s">
        <v>1012</v>
      </c>
      <c r="G23">
        <v>46887</v>
      </c>
      <c r="H23" t="s">
        <v>904</v>
      </c>
      <c r="I23" t="s">
        <v>274</v>
      </c>
      <c r="J23">
        <v>5</v>
      </c>
      <c r="AB23" s="43" t="s">
        <v>1013</v>
      </c>
    </row>
    <row r="24" spans="1:28">
      <c r="A24">
        <v>11</v>
      </c>
      <c r="B24" t="s">
        <v>476</v>
      </c>
      <c r="C24">
        <v>46059</v>
      </c>
      <c r="D24">
        <v>46072</v>
      </c>
      <c r="E24" t="s">
        <v>89</v>
      </c>
      <c r="F24" t="s">
        <v>275</v>
      </c>
      <c r="G24">
        <v>24526</v>
      </c>
      <c r="H24" t="s">
        <v>907</v>
      </c>
      <c r="I24" t="s">
        <v>1014</v>
      </c>
      <c r="J24">
        <v>1</v>
      </c>
      <c r="P24" t="s">
        <v>287</v>
      </c>
      <c r="R24" t="s">
        <v>908</v>
      </c>
      <c r="S24">
        <v>45678</v>
      </c>
      <c r="T24">
        <v>45678</v>
      </c>
      <c r="U24" t="s">
        <v>287</v>
      </c>
      <c r="W24" t="s">
        <v>441</v>
      </c>
      <c r="X24">
        <v>45678</v>
      </c>
    </row>
    <row r="25" spans="1:28">
      <c r="A25">
        <v>12</v>
      </c>
      <c r="B25" t="s">
        <v>476</v>
      </c>
      <c r="C25">
        <v>46059</v>
      </c>
      <c r="D25">
        <v>46072</v>
      </c>
      <c r="E25" t="s">
        <v>89</v>
      </c>
      <c r="F25" t="s">
        <v>730</v>
      </c>
      <c r="G25">
        <v>48890</v>
      </c>
      <c r="H25" t="s">
        <v>906</v>
      </c>
      <c r="I25" t="s">
        <v>274</v>
      </c>
      <c r="J25">
        <v>8</v>
      </c>
      <c r="K25">
        <v>8</v>
      </c>
      <c r="AB25" t="s">
        <v>1015</v>
      </c>
    </row>
    <row r="26" spans="1:28">
      <c r="A26">
        <v>13</v>
      </c>
      <c r="B26" t="s">
        <v>476</v>
      </c>
      <c r="C26">
        <v>46059</v>
      </c>
      <c r="D26">
        <v>46072</v>
      </c>
      <c r="E26" t="s">
        <v>89</v>
      </c>
      <c r="F26" t="s">
        <v>275</v>
      </c>
      <c r="G26">
        <v>24502</v>
      </c>
      <c r="H26" t="s">
        <v>957</v>
      </c>
      <c r="I26" t="s">
        <v>295</v>
      </c>
      <c r="J26">
        <v>1</v>
      </c>
      <c r="K26">
        <v>1</v>
      </c>
      <c r="R26" t="s">
        <v>1016</v>
      </c>
      <c r="S26">
        <v>45678</v>
      </c>
      <c r="T26">
        <v>45678</v>
      </c>
      <c r="U26" t="s">
        <v>287</v>
      </c>
      <c r="W26" t="s">
        <v>441</v>
      </c>
      <c r="X26">
        <v>45678</v>
      </c>
    </row>
    <row r="27" spans="1:28">
      <c r="A27">
        <v>14</v>
      </c>
      <c r="B27" t="s">
        <v>476</v>
      </c>
      <c r="C27">
        <v>46059</v>
      </c>
      <c r="D27">
        <v>46072</v>
      </c>
      <c r="E27" t="s">
        <v>89</v>
      </c>
      <c r="F27" t="s">
        <v>287</v>
      </c>
      <c r="G27">
        <v>24514</v>
      </c>
      <c r="H27" t="s">
        <v>959</v>
      </c>
      <c r="I27" t="s">
        <v>295</v>
      </c>
    </row>
    <row r="28" spans="1:28">
      <c r="A28">
        <v>15</v>
      </c>
      <c r="B28" t="s">
        <v>476</v>
      </c>
      <c r="C28">
        <v>46059</v>
      </c>
      <c r="D28">
        <v>46072</v>
      </c>
      <c r="E28" t="s">
        <v>89</v>
      </c>
      <c r="F28" t="s">
        <v>287</v>
      </c>
      <c r="G28">
        <v>24528</v>
      </c>
      <c r="H28" t="s">
        <v>961</v>
      </c>
      <c r="I28" t="s">
        <v>295</v>
      </c>
      <c r="J28">
        <v>1</v>
      </c>
      <c r="K28">
        <v>1</v>
      </c>
      <c r="R28" t="s">
        <v>1017</v>
      </c>
      <c r="S28">
        <v>45678</v>
      </c>
      <c r="T28">
        <v>45678</v>
      </c>
      <c r="U28" t="s">
        <v>287</v>
      </c>
      <c r="W28" t="s">
        <v>441</v>
      </c>
      <c r="X28">
        <v>45678</v>
      </c>
    </row>
    <row r="29" spans="1:28">
      <c r="A29">
        <v>16</v>
      </c>
      <c r="B29" t="s">
        <v>476</v>
      </c>
      <c r="C29">
        <v>46059</v>
      </c>
      <c r="D29">
        <v>46072</v>
      </c>
      <c r="E29" t="s">
        <v>944</v>
      </c>
      <c r="F29" t="s">
        <v>275</v>
      </c>
      <c r="G29">
        <v>24527</v>
      </c>
      <c r="H29" s="43" t="s">
        <v>962</v>
      </c>
      <c r="I29" t="s">
        <v>694</v>
      </c>
      <c r="J29">
        <v>2</v>
      </c>
    </row>
    <row r="30" spans="1:28">
      <c r="A30">
        <v>17</v>
      </c>
      <c r="B30" t="s">
        <v>476</v>
      </c>
      <c r="C30">
        <v>46059</v>
      </c>
      <c r="D30">
        <v>46072</v>
      </c>
      <c r="E30" t="s">
        <v>944</v>
      </c>
      <c r="F30" t="s">
        <v>287</v>
      </c>
      <c r="G30">
        <v>24531</v>
      </c>
      <c r="H30" t="s">
        <v>963</v>
      </c>
      <c r="I30" t="s">
        <v>295</v>
      </c>
      <c r="R30" t="s">
        <v>1018</v>
      </c>
      <c r="S30">
        <v>45679</v>
      </c>
      <c r="T30">
        <v>45679</v>
      </c>
      <c r="U30" t="s">
        <v>287</v>
      </c>
      <c r="W30" t="s">
        <v>441</v>
      </c>
      <c r="X30">
        <v>45679</v>
      </c>
    </row>
    <row r="31" spans="1:28">
      <c r="A31">
        <v>1</v>
      </c>
      <c r="B31" t="s">
        <v>476</v>
      </c>
      <c r="C31">
        <v>46059</v>
      </c>
      <c r="D31">
        <v>46072</v>
      </c>
      <c r="E31" t="s">
        <v>93</v>
      </c>
      <c r="F31" t="s">
        <v>595</v>
      </c>
      <c r="G31">
        <v>46887</v>
      </c>
      <c r="H31" t="s">
        <v>904</v>
      </c>
      <c r="I31" t="s">
        <v>905</v>
      </c>
      <c r="J31">
        <v>5</v>
      </c>
      <c r="K31">
        <v>5</v>
      </c>
      <c r="L31">
        <v>11</v>
      </c>
    </row>
    <row r="32" spans="1:28">
      <c r="A32">
        <v>2</v>
      </c>
      <c r="B32" t="s">
        <v>476</v>
      </c>
      <c r="C32">
        <v>46059</v>
      </c>
      <c r="D32">
        <v>46072</v>
      </c>
      <c r="E32" t="s">
        <v>93</v>
      </c>
      <c r="F32" t="s">
        <v>595</v>
      </c>
      <c r="G32">
        <v>46890</v>
      </c>
      <c r="H32" t="s">
        <v>906</v>
      </c>
      <c r="I32" t="s">
        <v>905</v>
      </c>
      <c r="J32">
        <v>8</v>
      </c>
      <c r="K32">
        <v>8</v>
      </c>
      <c r="L32">
        <v>20</v>
      </c>
    </row>
    <row r="33" spans="1:28">
      <c r="A33">
        <v>3</v>
      </c>
      <c r="B33" t="s">
        <v>476</v>
      </c>
      <c r="C33">
        <v>46059</v>
      </c>
      <c r="D33">
        <v>46072</v>
      </c>
      <c r="E33" t="s">
        <v>93</v>
      </c>
      <c r="F33" t="s">
        <v>275</v>
      </c>
      <c r="G33">
        <v>24526</v>
      </c>
      <c r="H33" t="s">
        <v>907</v>
      </c>
      <c r="I33" t="s">
        <v>295</v>
      </c>
      <c r="J33">
        <v>1</v>
      </c>
      <c r="K33">
        <v>1</v>
      </c>
      <c r="L33">
        <v>3</v>
      </c>
      <c r="P33" t="s">
        <v>287</v>
      </c>
      <c r="R33" t="s">
        <v>908</v>
      </c>
      <c r="S33">
        <v>45678</v>
      </c>
      <c r="T33">
        <v>45678</v>
      </c>
      <c r="U33" t="s">
        <v>287</v>
      </c>
      <c r="W33" t="s">
        <v>441</v>
      </c>
      <c r="X33">
        <v>45678</v>
      </c>
    </row>
    <row r="34" spans="1:28">
      <c r="A34">
        <v>4</v>
      </c>
      <c r="B34" t="s">
        <v>476</v>
      </c>
      <c r="C34">
        <v>46059</v>
      </c>
      <c r="D34">
        <v>46072</v>
      </c>
      <c r="E34" t="s">
        <v>93</v>
      </c>
      <c r="F34" t="s">
        <v>275</v>
      </c>
      <c r="G34">
        <v>24527</v>
      </c>
      <c r="H34" t="s">
        <v>909</v>
      </c>
      <c r="I34" t="s">
        <v>295</v>
      </c>
      <c r="J34">
        <v>2</v>
      </c>
      <c r="K34">
        <v>2</v>
      </c>
      <c r="L34">
        <v>1</v>
      </c>
      <c r="R34" t="s">
        <v>910</v>
      </c>
      <c r="S34">
        <v>45684</v>
      </c>
      <c r="U34" t="s">
        <v>287</v>
      </c>
    </row>
    <row r="35" spans="1:28">
      <c r="A35">
        <v>5</v>
      </c>
      <c r="B35" t="s">
        <v>476</v>
      </c>
      <c r="C35">
        <v>46059</v>
      </c>
      <c r="D35">
        <v>46072</v>
      </c>
      <c r="E35" t="s">
        <v>93</v>
      </c>
      <c r="F35" t="s">
        <v>275</v>
      </c>
      <c r="G35">
        <v>24543</v>
      </c>
      <c r="H35" t="s">
        <v>911</v>
      </c>
      <c r="I35" t="s">
        <v>295</v>
      </c>
      <c r="J35">
        <v>1</v>
      </c>
      <c r="K35">
        <v>1</v>
      </c>
      <c r="L35">
        <v>3</v>
      </c>
      <c r="M35" t="s">
        <v>13</v>
      </c>
      <c r="P35" t="s">
        <v>287</v>
      </c>
      <c r="R35" t="s">
        <v>912</v>
      </c>
      <c r="S35">
        <v>45681</v>
      </c>
      <c r="T35">
        <v>45681</v>
      </c>
      <c r="U35" t="s">
        <v>287</v>
      </c>
      <c r="W35" t="s">
        <v>441</v>
      </c>
      <c r="X35">
        <v>45681</v>
      </c>
    </row>
    <row r="36" spans="1:28">
      <c r="A36">
        <v>6</v>
      </c>
      <c r="B36" t="s">
        <v>476</v>
      </c>
      <c r="C36">
        <v>46059</v>
      </c>
      <c r="D36">
        <v>46072</v>
      </c>
      <c r="E36" t="s">
        <v>93</v>
      </c>
      <c r="F36" t="s">
        <v>287</v>
      </c>
      <c r="G36">
        <v>24573</v>
      </c>
      <c r="H36" t="s">
        <v>913</v>
      </c>
      <c r="I36" t="s">
        <v>295</v>
      </c>
      <c r="J36">
        <v>3</v>
      </c>
      <c r="K36">
        <v>3</v>
      </c>
      <c r="L36">
        <v>6</v>
      </c>
      <c r="AB36" s="43" t="s">
        <v>914</v>
      </c>
    </row>
    <row r="37" spans="1:28">
      <c r="A37">
        <v>7</v>
      </c>
      <c r="B37" t="s">
        <v>476</v>
      </c>
      <c r="C37">
        <v>46059</v>
      </c>
      <c r="D37">
        <v>46072</v>
      </c>
      <c r="E37" t="s">
        <v>915</v>
      </c>
      <c r="F37" t="s">
        <v>417</v>
      </c>
      <c r="G37">
        <v>30125</v>
      </c>
      <c r="H37" t="s">
        <v>916</v>
      </c>
      <c r="I37" t="s">
        <v>274</v>
      </c>
      <c r="J37">
        <v>13</v>
      </c>
      <c r="L37">
        <v>20</v>
      </c>
      <c r="AB37" t="s">
        <v>917</v>
      </c>
    </row>
    <row r="38" spans="1:28">
      <c r="A38">
        <v>8</v>
      </c>
      <c r="B38" t="s">
        <v>476</v>
      </c>
      <c r="C38">
        <v>46059</v>
      </c>
      <c r="D38">
        <v>46072</v>
      </c>
      <c r="E38" t="s">
        <v>915</v>
      </c>
      <c r="F38" t="s">
        <v>272</v>
      </c>
      <c r="G38">
        <v>47106</v>
      </c>
      <c r="H38" t="s">
        <v>918</v>
      </c>
      <c r="I38" t="s">
        <v>905</v>
      </c>
      <c r="J38">
        <v>3</v>
      </c>
      <c r="K38">
        <v>3</v>
      </c>
      <c r="L38">
        <v>14</v>
      </c>
    </row>
    <row r="39" spans="1:28">
      <c r="A39">
        <v>9</v>
      </c>
      <c r="B39" t="s">
        <v>476</v>
      </c>
      <c r="C39">
        <v>46059</v>
      </c>
      <c r="D39">
        <v>45694</v>
      </c>
      <c r="E39" t="s">
        <v>915</v>
      </c>
      <c r="F39" t="s">
        <v>275</v>
      </c>
      <c r="G39">
        <v>46454</v>
      </c>
      <c r="H39" t="s">
        <v>919</v>
      </c>
      <c r="I39" t="s">
        <v>905</v>
      </c>
      <c r="J39">
        <v>2</v>
      </c>
      <c r="K39">
        <v>2</v>
      </c>
      <c r="L39">
        <v>9</v>
      </c>
      <c r="M39" t="s">
        <v>448</v>
      </c>
      <c r="P39" t="s">
        <v>448</v>
      </c>
      <c r="AB39" t="s">
        <v>920</v>
      </c>
    </row>
    <row r="40" spans="1:28">
      <c r="A40">
        <v>10</v>
      </c>
      <c r="B40" t="s">
        <v>476</v>
      </c>
      <c r="C40">
        <v>46059</v>
      </c>
      <c r="D40">
        <v>45694</v>
      </c>
      <c r="E40" t="s">
        <v>915</v>
      </c>
      <c r="F40" t="s">
        <v>275</v>
      </c>
      <c r="G40">
        <v>47110</v>
      </c>
      <c r="H40" t="s">
        <v>886</v>
      </c>
      <c r="I40" t="s">
        <v>428</v>
      </c>
      <c r="J40">
        <v>5</v>
      </c>
      <c r="K40">
        <v>5</v>
      </c>
      <c r="L40">
        <v>5</v>
      </c>
      <c r="M40" t="s">
        <v>690</v>
      </c>
      <c r="P40" t="s">
        <v>287</v>
      </c>
      <c r="R40" t="s">
        <v>921</v>
      </c>
      <c r="S40">
        <v>45701</v>
      </c>
      <c r="U40" t="s">
        <v>287</v>
      </c>
      <c r="W40" t="s">
        <v>441</v>
      </c>
    </row>
    <row r="41" spans="1:28">
      <c r="A41">
        <v>11</v>
      </c>
      <c r="B41" t="s">
        <v>476</v>
      </c>
      <c r="C41">
        <v>46059</v>
      </c>
      <c r="D41">
        <v>46072</v>
      </c>
      <c r="E41" t="s">
        <v>915</v>
      </c>
      <c r="F41" t="s">
        <v>287</v>
      </c>
      <c r="G41">
        <v>47004</v>
      </c>
      <c r="H41" t="s">
        <v>922</v>
      </c>
      <c r="I41" t="s">
        <v>905</v>
      </c>
      <c r="J41">
        <v>2</v>
      </c>
      <c r="K41">
        <v>2</v>
      </c>
      <c r="L41">
        <v>8</v>
      </c>
    </row>
    <row r="42" spans="1:28">
      <c r="A42">
        <v>12</v>
      </c>
      <c r="B42" t="s">
        <v>476</v>
      </c>
      <c r="C42">
        <v>45681</v>
      </c>
      <c r="D42">
        <v>45694</v>
      </c>
      <c r="E42" t="s">
        <v>915</v>
      </c>
      <c r="F42" t="s">
        <v>417</v>
      </c>
      <c r="G42">
        <v>24571</v>
      </c>
      <c r="H42" t="s">
        <v>895</v>
      </c>
      <c r="I42" t="s">
        <v>274</v>
      </c>
      <c r="J42">
        <v>3</v>
      </c>
      <c r="L42">
        <v>7</v>
      </c>
    </row>
    <row r="43" spans="1:28">
      <c r="A43">
        <v>1</v>
      </c>
      <c r="B43" t="s">
        <v>476</v>
      </c>
      <c r="C43">
        <v>46059</v>
      </c>
      <c r="D43">
        <v>46072</v>
      </c>
      <c r="E43" t="s">
        <v>97</v>
      </c>
      <c r="F43" t="s">
        <v>275</v>
      </c>
      <c r="G43">
        <v>47110</v>
      </c>
      <c r="H43" t="s">
        <v>886</v>
      </c>
      <c r="I43" t="s">
        <v>280</v>
      </c>
      <c r="J43">
        <v>5</v>
      </c>
      <c r="K43">
        <v>5</v>
      </c>
      <c r="L43">
        <v>24</v>
      </c>
      <c r="M43" t="s">
        <v>13</v>
      </c>
      <c r="P43" t="s">
        <v>287</v>
      </c>
      <c r="R43" t="s">
        <v>887</v>
      </c>
      <c r="S43">
        <v>45702</v>
      </c>
      <c r="T43">
        <v>45702</v>
      </c>
      <c r="U43" t="s">
        <v>287</v>
      </c>
      <c r="W43" t="s">
        <v>441</v>
      </c>
      <c r="X43">
        <v>45702</v>
      </c>
      <c r="AB43" t="s">
        <v>888</v>
      </c>
    </row>
    <row r="44" spans="1:28">
      <c r="A44">
        <v>2</v>
      </c>
      <c r="B44" t="s">
        <v>476</v>
      </c>
      <c r="C44">
        <v>46059</v>
      </c>
      <c r="D44">
        <v>46072</v>
      </c>
      <c r="E44" t="s">
        <v>889</v>
      </c>
      <c r="F44" t="s">
        <v>287</v>
      </c>
      <c r="G44">
        <v>46209</v>
      </c>
      <c r="H44" t="s">
        <v>890</v>
      </c>
      <c r="I44" t="s">
        <v>280</v>
      </c>
      <c r="J44">
        <v>13</v>
      </c>
      <c r="K44">
        <v>13</v>
      </c>
      <c r="L44">
        <v>50</v>
      </c>
      <c r="M44" t="s">
        <v>13</v>
      </c>
      <c r="P44" t="s">
        <v>441</v>
      </c>
      <c r="R44" t="s">
        <v>891</v>
      </c>
      <c r="S44">
        <v>45707</v>
      </c>
      <c r="T44">
        <v>45707</v>
      </c>
      <c r="U44" t="s">
        <v>287</v>
      </c>
      <c r="W44" t="s">
        <v>441</v>
      </c>
      <c r="X44">
        <v>45707</v>
      </c>
    </row>
    <row r="45" spans="1:28">
      <c r="A45">
        <v>3</v>
      </c>
      <c r="B45" t="s">
        <v>476</v>
      </c>
      <c r="C45">
        <v>46059</v>
      </c>
      <c r="D45">
        <v>46072</v>
      </c>
      <c r="E45" t="s">
        <v>889</v>
      </c>
      <c r="F45" t="s">
        <v>272</v>
      </c>
      <c r="G45">
        <v>47151</v>
      </c>
      <c r="H45" t="s">
        <v>802</v>
      </c>
      <c r="I45" t="s">
        <v>274</v>
      </c>
      <c r="J45">
        <v>13</v>
      </c>
      <c r="K45">
        <v>4.75</v>
      </c>
      <c r="L45">
        <v>19</v>
      </c>
      <c r="AB45" t="s">
        <v>892</v>
      </c>
    </row>
    <row r="46" spans="1:28">
      <c r="A46">
        <v>4</v>
      </c>
      <c r="B46" t="s">
        <v>476</v>
      </c>
      <c r="C46">
        <v>46059</v>
      </c>
      <c r="D46">
        <v>46072</v>
      </c>
      <c r="E46" t="s">
        <v>889</v>
      </c>
      <c r="F46" t="s">
        <v>417</v>
      </c>
      <c r="G46">
        <v>30125</v>
      </c>
      <c r="H46" t="s">
        <v>893</v>
      </c>
      <c r="I46" t="s">
        <v>274</v>
      </c>
      <c r="J46">
        <v>13</v>
      </c>
      <c r="L46">
        <v>64</v>
      </c>
    </row>
    <row r="47" spans="1:28">
      <c r="A47">
        <v>5</v>
      </c>
      <c r="B47" t="s">
        <v>476</v>
      </c>
      <c r="C47">
        <v>46059</v>
      </c>
      <c r="D47">
        <v>46072</v>
      </c>
      <c r="E47" t="s">
        <v>97</v>
      </c>
      <c r="F47" t="s">
        <v>894</v>
      </c>
      <c r="G47">
        <v>24571</v>
      </c>
      <c r="H47" t="s">
        <v>895</v>
      </c>
      <c r="I47" t="s">
        <v>295</v>
      </c>
      <c r="J47">
        <v>2</v>
      </c>
      <c r="K47">
        <v>2</v>
      </c>
      <c r="L47">
        <v>13</v>
      </c>
      <c r="M47" t="s">
        <v>13</v>
      </c>
      <c r="P47" t="s">
        <v>441</v>
      </c>
      <c r="R47" t="s">
        <v>896</v>
      </c>
      <c r="S47">
        <v>45707</v>
      </c>
      <c r="T47">
        <v>45707</v>
      </c>
      <c r="U47" t="s">
        <v>287</v>
      </c>
      <c r="W47" t="s">
        <v>441</v>
      </c>
      <c r="X47">
        <v>45707</v>
      </c>
    </row>
    <row r="48" spans="1:28">
      <c r="A48">
        <v>6</v>
      </c>
      <c r="B48" t="s">
        <v>476</v>
      </c>
      <c r="C48">
        <v>46059</v>
      </c>
      <c r="D48">
        <v>46072</v>
      </c>
      <c r="E48" t="s">
        <v>889</v>
      </c>
      <c r="F48" t="s">
        <v>897</v>
      </c>
      <c r="G48">
        <v>47192</v>
      </c>
      <c r="H48" t="s">
        <v>898</v>
      </c>
      <c r="I48" t="s">
        <v>280</v>
      </c>
      <c r="J48">
        <v>1</v>
      </c>
      <c r="K48">
        <v>1</v>
      </c>
      <c r="L48">
        <v>6</v>
      </c>
      <c r="M48" t="s">
        <v>13</v>
      </c>
      <c r="P48" t="s">
        <v>441</v>
      </c>
      <c r="R48" t="s">
        <v>891</v>
      </c>
      <c r="S48">
        <v>45707</v>
      </c>
      <c r="T48">
        <v>45707</v>
      </c>
      <c r="U48" t="s">
        <v>287</v>
      </c>
      <c r="W48" t="s">
        <v>441</v>
      </c>
      <c r="X48">
        <v>45707</v>
      </c>
    </row>
    <row r="49" spans="1:28">
      <c r="A49">
        <v>1</v>
      </c>
      <c r="B49" t="s">
        <v>379</v>
      </c>
      <c r="C49">
        <v>46059</v>
      </c>
      <c r="D49">
        <v>46072</v>
      </c>
      <c r="E49" t="s">
        <v>865</v>
      </c>
      <c r="F49" t="s">
        <v>272</v>
      </c>
      <c r="G49">
        <v>47151</v>
      </c>
      <c r="H49" t="s">
        <v>802</v>
      </c>
      <c r="I49" t="s">
        <v>274</v>
      </c>
      <c r="J49">
        <v>13</v>
      </c>
      <c r="K49">
        <v>7.5</v>
      </c>
      <c r="L49">
        <v>30</v>
      </c>
      <c r="AB49" s="43" t="s">
        <v>866</v>
      </c>
    </row>
    <row r="50" spans="1:28">
      <c r="A50">
        <v>2</v>
      </c>
      <c r="B50" t="s">
        <v>379</v>
      </c>
      <c r="C50">
        <v>46059</v>
      </c>
      <c r="D50">
        <v>46072</v>
      </c>
      <c r="E50" t="s">
        <v>101</v>
      </c>
      <c r="F50" t="s">
        <v>657</v>
      </c>
      <c r="G50">
        <v>30125</v>
      </c>
      <c r="H50" s="43" t="s">
        <v>867</v>
      </c>
      <c r="I50" t="s">
        <v>280</v>
      </c>
      <c r="J50">
        <v>5</v>
      </c>
      <c r="K50">
        <v>5</v>
      </c>
      <c r="L50">
        <v>20</v>
      </c>
      <c r="M50" t="s">
        <v>13</v>
      </c>
      <c r="R50" t="s">
        <v>868</v>
      </c>
      <c r="S50">
        <v>45716</v>
      </c>
      <c r="T50">
        <v>45716</v>
      </c>
      <c r="U50" t="s">
        <v>287</v>
      </c>
      <c r="W50" t="s">
        <v>441</v>
      </c>
      <c r="X50">
        <v>45716</v>
      </c>
      <c r="AB50" t="s">
        <v>869</v>
      </c>
    </row>
    <row r="51" spans="1:28">
      <c r="A51">
        <v>3</v>
      </c>
      <c r="B51" t="s">
        <v>379</v>
      </c>
      <c r="C51">
        <v>46059</v>
      </c>
      <c r="D51">
        <v>46072</v>
      </c>
      <c r="E51" t="s">
        <v>101</v>
      </c>
      <c r="F51" t="s">
        <v>275</v>
      </c>
      <c r="G51">
        <v>47108</v>
      </c>
      <c r="H51" t="s">
        <v>870</v>
      </c>
      <c r="I51" t="s">
        <v>280</v>
      </c>
      <c r="J51">
        <v>5</v>
      </c>
      <c r="K51">
        <v>3</v>
      </c>
      <c r="L51">
        <v>10</v>
      </c>
      <c r="M51" t="s">
        <v>13</v>
      </c>
      <c r="R51" t="s">
        <v>871</v>
      </c>
      <c r="S51">
        <v>45713</v>
      </c>
      <c r="T51">
        <v>45713</v>
      </c>
      <c r="U51" t="s">
        <v>287</v>
      </c>
      <c r="W51" t="s">
        <v>441</v>
      </c>
      <c r="X51">
        <v>45713</v>
      </c>
      <c r="AB51" t="s">
        <v>872</v>
      </c>
    </row>
    <row r="52" spans="1:28">
      <c r="A52">
        <v>4</v>
      </c>
      <c r="B52" t="s">
        <v>379</v>
      </c>
      <c r="C52">
        <v>46059</v>
      </c>
      <c r="D52">
        <v>46072</v>
      </c>
      <c r="E52" t="s">
        <v>865</v>
      </c>
      <c r="F52" t="s">
        <v>275</v>
      </c>
      <c r="G52">
        <v>46826</v>
      </c>
      <c r="H52" t="s">
        <v>834</v>
      </c>
      <c r="I52" t="s">
        <v>274</v>
      </c>
      <c r="J52">
        <v>13</v>
      </c>
      <c r="K52">
        <v>8</v>
      </c>
      <c r="L52">
        <v>30</v>
      </c>
    </row>
    <row r="53" spans="1:28">
      <c r="A53">
        <v>5</v>
      </c>
      <c r="B53" t="s">
        <v>379</v>
      </c>
      <c r="C53">
        <v>46059</v>
      </c>
      <c r="D53">
        <v>46072</v>
      </c>
      <c r="E53" t="s">
        <v>865</v>
      </c>
      <c r="F53" t="s">
        <v>275</v>
      </c>
      <c r="G53">
        <v>24720</v>
      </c>
      <c r="H53" t="s">
        <v>873</v>
      </c>
      <c r="I53" t="s">
        <v>295</v>
      </c>
      <c r="J53">
        <v>3</v>
      </c>
      <c r="K53">
        <v>3</v>
      </c>
      <c r="L53">
        <v>5</v>
      </c>
      <c r="M53" t="s">
        <v>13</v>
      </c>
      <c r="R53" t="s">
        <v>874</v>
      </c>
      <c r="S53">
        <v>45716</v>
      </c>
      <c r="T53">
        <v>45716</v>
      </c>
      <c r="U53" t="s">
        <v>287</v>
      </c>
      <c r="W53" t="s">
        <v>441</v>
      </c>
      <c r="X53">
        <v>45716</v>
      </c>
    </row>
    <row r="54" spans="1:28">
      <c r="A54">
        <v>6</v>
      </c>
      <c r="B54" t="s">
        <v>379</v>
      </c>
      <c r="C54">
        <v>46059</v>
      </c>
      <c r="D54">
        <v>46072</v>
      </c>
      <c r="E54" t="s">
        <v>865</v>
      </c>
      <c r="F54" t="s">
        <v>657</v>
      </c>
      <c r="G54">
        <v>24524</v>
      </c>
      <c r="H54" s="43" t="s">
        <v>875</v>
      </c>
      <c r="I54" t="s">
        <v>280</v>
      </c>
      <c r="J54">
        <v>3</v>
      </c>
      <c r="K54">
        <v>3</v>
      </c>
      <c r="L54">
        <v>9</v>
      </c>
      <c r="R54" t="s">
        <v>876</v>
      </c>
      <c r="S54">
        <v>45719</v>
      </c>
      <c r="T54">
        <v>45719</v>
      </c>
      <c r="U54" t="s">
        <v>287</v>
      </c>
      <c r="W54" t="s">
        <v>441</v>
      </c>
      <c r="X54">
        <v>45719</v>
      </c>
    </row>
    <row r="55" spans="1:28">
      <c r="A55">
        <v>7</v>
      </c>
      <c r="B55" t="s">
        <v>379</v>
      </c>
      <c r="C55">
        <v>46059</v>
      </c>
      <c r="D55">
        <v>46072</v>
      </c>
      <c r="E55" t="s">
        <v>101</v>
      </c>
      <c r="F55" t="s">
        <v>287</v>
      </c>
      <c r="G55">
        <v>46219</v>
      </c>
      <c r="H55" t="s">
        <v>877</v>
      </c>
      <c r="I55" t="s">
        <v>280</v>
      </c>
      <c r="J55">
        <v>8</v>
      </c>
      <c r="K55">
        <v>8</v>
      </c>
      <c r="L55">
        <v>22</v>
      </c>
      <c r="M55" t="s">
        <v>13</v>
      </c>
      <c r="R55" t="s">
        <v>878</v>
      </c>
      <c r="S55">
        <v>45716</v>
      </c>
      <c r="T55">
        <v>45716</v>
      </c>
      <c r="U55" t="s">
        <v>287</v>
      </c>
      <c r="W55" t="s">
        <v>441</v>
      </c>
      <c r="X55">
        <v>45716</v>
      </c>
    </row>
    <row r="56" spans="1:28">
      <c r="A56">
        <v>8</v>
      </c>
      <c r="B56" t="s">
        <v>379</v>
      </c>
      <c r="C56">
        <v>46059</v>
      </c>
      <c r="D56">
        <v>46072</v>
      </c>
      <c r="E56" t="s">
        <v>865</v>
      </c>
      <c r="F56" t="s">
        <v>287</v>
      </c>
      <c r="G56">
        <v>24743</v>
      </c>
      <c r="H56" t="s">
        <v>879</v>
      </c>
      <c r="I56" t="s">
        <v>295</v>
      </c>
      <c r="J56">
        <v>1</v>
      </c>
      <c r="K56">
        <v>1</v>
      </c>
      <c r="L56">
        <v>6</v>
      </c>
      <c r="M56" t="s">
        <v>13</v>
      </c>
      <c r="R56" t="s">
        <v>878</v>
      </c>
      <c r="S56">
        <v>45716</v>
      </c>
      <c r="T56">
        <v>45716</v>
      </c>
      <c r="U56" t="s">
        <v>287</v>
      </c>
      <c r="W56" t="s">
        <v>441</v>
      </c>
      <c r="X56">
        <v>45716</v>
      </c>
    </row>
    <row r="57" spans="1:28">
      <c r="A57">
        <v>9</v>
      </c>
      <c r="B57" t="s">
        <v>379</v>
      </c>
      <c r="C57">
        <v>46059</v>
      </c>
      <c r="D57">
        <v>46072</v>
      </c>
      <c r="E57" t="s">
        <v>865</v>
      </c>
      <c r="F57" t="s">
        <v>595</v>
      </c>
      <c r="G57">
        <v>47308</v>
      </c>
      <c r="H57" t="s">
        <v>837</v>
      </c>
      <c r="I57" t="s">
        <v>506</v>
      </c>
      <c r="J57">
        <v>5</v>
      </c>
      <c r="K57">
        <v>3</v>
      </c>
      <c r="L57">
        <v>12</v>
      </c>
      <c r="M57" t="s">
        <v>13</v>
      </c>
      <c r="R57" t="s">
        <v>880</v>
      </c>
      <c r="S57">
        <v>45719</v>
      </c>
      <c r="T57">
        <v>45719</v>
      </c>
      <c r="U57" t="s">
        <v>287</v>
      </c>
      <c r="W57" t="s">
        <v>441</v>
      </c>
      <c r="X57">
        <v>45719</v>
      </c>
    </row>
    <row r="58" spans="1:28">
      <c r="A58">
        <v>10</v>
      </c>
      <c r="B58" t="s">
        <v>379</v>
      </c>
      <c r="C58">
        <v>46059</v>
      </c>
      <c r="D58">
        <v>46072</v>
      </c>
      <c r="E58" t="s">
        <v>865</v>
      </c>
      <c r="F58" t="s">
        <v>657</v>
      </c>
      <c r="G58">
        <v>24717</v>
      </c>
      <c r="H58" t="s">
        <v>881</v>
      </c>
      <c r="I58" t="s">
        <v>274</v>
      </c>
      <c r="J58">
        <v>2</v>
      </c>
      <c r="K58">
        <v>2</v>
      </c>
      <c r="L58">
        <v>6</v>
      </c>
    </row>
    <row r="59" spans="1:28">
      <c r="A59">
        <v>11</v>
      </c>
      <c r="B59" t="s">
        <v>379</v>
      </c>
      <c r="C59">
        <v>45709</v>
      </c>
      <c r="D59">
        <v>45722</v>
      </c>
      <c r="E59" t="s">
        <v>865</v>
      </c>
      <c r="F59" t="s">
        <v>595</v>
      </c>
      <c r="G59">
        <v>24778</v>
      </c>
      <c r="H59" t="s">
        <v>882</v>
      </c>
      <c r="I59" t="s">
        <v>295</v>
      </c>
      <c r="J59">
        <v>2</v>
      </c>
      <c r="K59">
        <v>2</v>
      </c>
      <c r="L59">
        <v>8</v>
      </c>
      <c r="M59" t="s">
        <v>13</v>
      </c>
      <c r="R59" t="s">
        <v>883</v>
      </c>
      <c r="S59">
        <v>45721</v>
      </c>
      <c r="T59">
        <v>45721</v>
      </c>
      <c r="U59" t="s">
        <v>287</v>
      </c>
      <c r="W59" t="s">
        <v>441</v>
      </c>
      <c r="X59">
        <v>45721</v>
      </c>
    </row>
    <row r="60" spans="1:28">
      <c r="A60">
        <v>12</v>
      </c>
      <c r="B60" t="s">
        <v>379</v>
      </c>
      <c r="C60">
        <v>45709</v>
      </c>
      <c r="D60">
        <v>45722</v>
      </c>
      <c r="E60" t="s">
        <v>865</v>
      </c>
      <c r="F60" t="s">
        <v>595</v>
      </c>
      <c r="G60">
        <v>24788</v>
      </c>
      <c r="H60" t="s">
        <v>884</v>
      </c>
      <c r="I60" t="s">
        <v>295</v>
      </c>
      <c r="J60">
        <v>2</v>
      </c>
      <c r="K60">
        <v>2</v>
      </c>
      <c r="L60">
        <v>8</v>
      </c>
      <c r="M60" t="s">
        <v>13</v>
      </c>
      <c r="R60" t="s">
        <v>885</v>
      </c>
      <c r="S60">
        <v>45721</v>
      </c>
      <c r="T60">
        <v>45721</v>
      </c>
      <c r="U60" t="s">
        <v>287</v>
      </c>
      <c r="W60" t="s">
        <v>441</v>
      </c>
      <c r="X60">
        <v>45721</v>
      </c>
    </row>
    <row r="61" spans="1:28">
      <c r="A61">
        <v>1</v>
      </c>
      <c r="B61" t="s">
        <v>379</v>
      </c>
      <c r="C61">
        <v>45723</v>
      </c>
      <c r="D61">
        <v>45736</v>
      </c>
      <c r="E61" t="s">
        <v>105</v>
      </c>
      <c r="F61" t="s">
        <v>275</v>
      </c>
      <c r="G61">
        <v>46826</v>
      </c>
      <c r="H61" t="s">
        <v>834</v>
      </c>
      <c r="I61" t="s">
        <v>280</v>
      </c>
      <c r="J61">
        <v>5</v>
      </c>
      <c r="K61">
        <v>5</v>
      </c>
      <c r="L61">
        <v>41</v>
      </c>
      <c r="M61" t="s">
        <v>13</v>
      </c>
      <c r="N61" t="s">
        <v>435</v>
      </c>
      <c r="R61" t="s">
        <v>835</v>
      </c>
      <c r="S61">
        <v>45728</v>
      </c>
      <c r="T61">
        <v>45728</v>
      </c>
      <c r="U61" t="s">
        <v>287</v>
      </c>
      <c r="W61" t="s">
        <v>441</v>
      </c>
      <c r="X61">
        <v>45728</v>
      </c>
      <c r="AA61" t="s">
        <v>836</v>
      </c>
      <c r="AB61" t="s">
        <v>836</v>
      </c>
    </row>
    <row r="62" spans="1:28">
      <c r="A62">
        <v>2</v>
      </c>
      <c r="B62" t="s">
        <v>379</v>
      </c>
      <c r="C62">
        <v>45723</v>
      </c>
      <c r="D62">
        <v>45736</v>
      </c>
      <c r="E62" t="s">
        <v>105</v>
      </c>
      <c r="F62" t="s">
        <v>272</v>
      </c>
      <c r="G62">
        <v>47308</v>
      </c>
      <c r="H62" t="s">
        <v>837</v>
      </c>
      <c r="I62" t="s">
        <v>280</v>
      </c>
      <c r="J62">
        <v>3</v>
      </c>
      <c r="K62">
        <v>5</v>
      </c>
      <c r="L62">
        <v>20</v>
      </c>
      <c r="M62" t="s">
        <v>13</v>
      </c>
      <c r="N62" t="s">
        <v>838</v>
      </c>
      <c r="R62" t="s">
        <v>839</v>
      </c>
      <c r="S62">
        <v>45733</v>
      </c>
      <c r="T62">
        <v>45733</v>
      </c>
      <c r="X62">
        <v>45733</v>
      </c>
      <c r="AB62" t="s">
        <v>840</v>
      </c>
    </row>
    <row r="63" spans="1:28">
      <c r="A63">
        <v>3</v>
      </c>
      <c r="B63" t="s">
        <v>379</v>
      </c>
      <c r="C63">
        <v>45723</v>
      </c>
      <c r="D63">
        <v>45736</v>
      </c>
      <c r="E63" t="s">
        <v>105</v>
      </c>
      <c r="F63" t="s">
        <v>417</v>
      </c>
      <c r="G63">
        <v>24717</v>
      </c>
      <c r="H63" s="43" t="s">
        <v>841</v>
      </c>
      <c r="I63" t="s">
        <v>280</v>
      </c>
      <c r="J63">
        <v>2</v>
      </c>
      <c r="K63">
        <v>2</v>
      </c>
      <c r="L63">
        <v>12.5</v>
      </c>
      <c r="M63" t="s">
        <v>13</v>
      </c>
      <c r="N63" t="s">
        <v>842</v>
      </c>
      <c r="P63" t="s">
        <v>287</v>
      </c>
      <c r="R63" t="s">
        <v>843</v>
      </c>
      <c r="S63">
        <v>45735</v>
      </c>
      <c r="T63">
        <v>45735</v>
      </c>
      <c r="U63" t="s">
        <v>287</v>
      </c>
      <c r="W63" t="s">
        <v>441</v>
      </c>
      <c r="X63">
        <v>45735</v>
      </c>
    </row>
    <row r="64" spans="1:28">
      <c r="A64">
        <v>4</v>
      </c>
      <c r="B64" t="s">
        <v>379</v>
      </c>
      <c r="C64">
        <v>45723</v>
      </c>
      <c r="D64">
        <v>45736</v>
      </c>
      <c r="E64" t="s">
        <v>105</v>
      </c>
      <c r="F64" t="s">
        <v>275</v>
      </c>
      <c r="G64">
        <v>47109</v>
      </c>
      <c r="H64" t="s">
        <v>798</v>
      </c>
      <c r="I64" t="s">
        <v>274</v>
      </c>
      <c r="J64">
        <v>8</v>
      </c>
      <c r="L64">
        <v>21</v>
      </c>
      <c r="AB64" t="s">
        <v>844</v>
      </c>
    </row>
    <row r="65" spans="1:28">
      <c r="A65">
        <v>5</v>
      </c>
      <c r="B65" t="s">
        <v>379</v>
      </c>
      <c r="C65">
        <v>45723</v>
      </c>
      <c r="D65">
        <v>45736</v>
      </c>
      <c r="E65" t="s">
        <v>845</v>
      </c>
      <c r="F65" t="s">
        <v>272</v>
      </c>
      <c r="G65">
        <v>47151</v>
      </c>
      <c r="H65" t="s">
        <v>802</v>
      </c>
      <c r="I65" t="s">
        <v>280</v>
      </c>
      <c r="J65">
        <v>13</v>
      </c>
      <c r="K65">
        <v>10</v>
      </c>
      <c r="L65">
        <v>35</v>
      </c>
      <c r="R65" t="s">
        <v>804</v>
      </c>
      <c r="S65">
        <v>45736</v>
      </c>
      <c r="W65" t="s">
        <v>846</v>
      </c>
      <c r="AB65" s="43" t="s">
        <v>847</v>
      </c>
    </row>
    <row r="66" spans="1:28">
      <c r="A66">
        <v>6</v>
      </c>
      <c r="B66" t="s">
        <v>379</v>
      </c>
      <c r="C66">
        <v>45723</v>
      </c>
      <c r="D66">
        <v>45736</v>
      </c>
      <c r="E66" t="s">
        <v>845</v>
      </c>
      <c r="F66" t="s">
        <v>657</v>
      </c>
      <c r="G66">
        <v>24831</v>
      </c>
      <c r="H66" t="s">
        <v>848</v>
      </c>
      <c r="I66" t="s">
        <v>280</v>
      </c>
      <c r="J66">
        <v>2</v>
      </c>
      <c r="K66">
        <v>2</v>
      </c>
      <c r="L66">
        <v>2</v>
      </c>
      <c r="M66" t="s">
        <v>13</v>
      </c>
      <c r="N66" t="s">
        <v>275</v>
      </c>
      <c r="P66" t="s">
        <v>287</v>
      </c>
      <c r="R66" t="s">
        <v>849</v>
      </c>
      <c r="S66">
        <v>45733</v>
      </c>
      <c r="T66">
        <v>45733</v>
      </c>
      <c r="U66" t="s">
        <v>287</v>
      </c>
      <c r="W66" t="s">
        <v>441</v>
      </c>
      <c r="X66">
        <v>45733</v>
      </c>
    </row>
    <row r="67" spans="1:28">
      <c r="A67">
        <v>7</v>
      </c>
      <c r="B67" t="s">
        <v>379</v>
      </c>
      <c r="C67">
        <v>45723</v>
      </c>
      <c r="D67">
        <v>45736</v>
      </c>
      <c r="E67" t="s">
        <v>845</v>
      </c>
      <c r="F67" t="s">
        <v>417</v>
      </c>
      <c r="G67">
        <v>47158</v>
      </c>
      <c r="H67" t="s">
        <v>850</v>
      </c>
      <c r="I67" t="s">
        <v>280</v>
      </c>
      <c r="J67">
        <v>5</v>
      </c>
      <c r="K67">
        <v>5</v>
      </c>
      <c r="L67">
        <v>16</v>
      </c>
      <c r="M67" t="s">
        <v>13</v>
      </c>
      <c r="N67" t="s">
        <v>275</v>
      </c>
      <c r="P67" t="s">
        <v>287</v>
      </c>
      <c r="R67" t="s">
        <v>851</v>
      </c>
      <c r="S67">
        <v>45736</v>
      </c>
      <c r="T67">
        <v>45736</v>
      </c>
      <c r="U67" t="s">
        <v>287</v>
      </c>
      <c r="W67" t="s">
        <v>441</v>
      </c>
      <c r="X67">
        <v>45736</v>
      </c>
    </row>
    <row r="68" spans="1:28">
      <c r="A68">
        <v>8</v>
      </c>
      <c r="B68" t="s">
        <v>379</v>
      </c>
      <c r="C68">
        <v>45723</v>
      </c>
      <c r="D68">
        <v>45736</v>
      </c>
      <c r="E68" t="s">
        <v>845</v>
      </c>
      <c r="F68" t="s">
        <v>287</v>
      </c>
      <c r="G68">
        <v>24863</v>
      </c>
      <c r="H68" t="s">
        <v>852</v>
      </c>
      <c r="I68" t="s">
        <v>295</v>
      </c>
      <c r="J68">
        <v>2</v>
      </c>
      <c r="K68">
        <v>2</v>
      </c>
      <c r="L68">
        <v>8</v>
      </c>
      <c r="M68" t="s">
        <v>13</v>
      </c>
      <c r="R68" t="s">
        <v>853</v>
      </c>
      <c r="S68">
        <v>45735</v>
      </c>
      <c r="T68">
        <v>45735</v>
      </c>
      <c r="U68" t="s">
        <v>287</v>
      </c>
      <c r="W68" t="s">
        <v>441</v>
      </c>
      <c r="X68">
        <v>45735</v>
      </c>
    </row>
    <row r="69" spans="1:28">
      <c r="A69">
        <v>9</v>
      </c>
      <c r="B69" t="s">
        <v>379</v>
      </c>
      <c r="C69">
        <v>45723</v>
      </c>
      <c r="D69">
        <v>45736</v>
      </c>
      <c r="E69" t="s">
        <v>105</v>
      </c>
      <c r="F69" t="s">
        <v>287</v>
      </c>
      <c r="G69" t="s">
        <v>854</v>
      </c>
      <c r="H69" t="s">
        <v>855</v>
      </c>
      <c r="I69" t="s">
        <v>280</v>
      </c>
      <c r="J69">
        <v>3</v>
      </c>
      <c r="K69">
        <v>3</v>
      </c>
      <c r="L69">
        <v>12</v>
      </c>
      <c r="M69" t="s">
        <v>13</v>
      </c>
      <c r="N69" t="s">
        <v>275</v>
      </c>
      <c r="R69" t="s">
        <v>856</v>
      </c>
      <c r="S69">
        <v>45728</v>
      </c>
      <c r="T69">
        <v>45728</v>
      </c>
      <c r="U69" t="s">
        <v>287</v>
      </c>
      <c r="W69" t="s">
        <v>441</v>
      </c>
      <c r="X69">
        <v>45728</v>
      </c>
    </row>
    <row r="70" spans="1:28">
      <c r="A70">
        <v>1</v>
      </c>
      <c r="B70" t="s">
        <v>379</v>
      </c>
      <c r="C70">
        <v>45737</v>
      </c>
      <c r="D70">
        <v>45750</v>
      </c>
      <c r="E70" t="s">
        <v>109</v>
      </c>
      <c r="F70" t="s">
        <v>275</v>
      </c>
      <c r="G70">
        <v>47109</v>
      </c>
      <c r="H70" t="s">
        <v>798</v>
      </c>
      <c r="I70" t="s">
        <v>280</v>
      </c>
      <c r="J70">
        <v>5</v>
      </c>
      <c r="K70">
        <v>5</v>
      </c>
      <c r="L70">
        <v>38</v>
      </c>
      <c r="M70" t="s">
        <v>13</v>
      </c>
      <c r="R70" t="s">
        <v>799</v>
      </c>
      <c r="S70">
        <v>45744</v>
      </c>
      <c r="T70">
        <v>45744</v>
      </c>
      <c r="U70" t="s">
        <v>287</v>
      </c>
      <c r="W70" t="s">
        <v>441</v>
      </c>
      <c r="X70">
        <v>45744</v>
      </c>
      <c r="AA70" t="s">
        <v>800</v>
      </c>
      <c r="AB70" t="s">
        <v>801</v>
      </c>
    </row>
    <row r="71" spans="1:28">
      <c r="A71">
        <v>2</v>
      </c>
      <c r="B71" t="s">
        <v>379</v>
      </c>
      <c r="C71">
        <v>45737</v>
      </c>
      <c r="D71">
        <v>45750</v>
      </c>
      <c r="E71" t="s">
        <v>109</v>
      </c>
      <c r="F71" t="s">
        <v>272</v>
      </c>
      <c r="G71">
        <v>47151</v>
      </c>
      <c r="H71" t="s">
        <v>802</v>
      </c>
      <c r="I71" t="s">
        <v>280</v>
      </c>
      <c r="J71">
        <v>5</v>
      </c>
      <c r="K71">
        <v>5</v>
      </c>
      <c r="L71">
        <v>12</v>
      </c>
      <c r="N71" t="s">
        <v>634</v>
      </c>
      <c r="P71" t="s">
        <v>803</v>
      </c>
      <c r="Q71" t="s">
        <v>281</v>
      </c>
      <c r="R71" t="s">
        <v>804</v>
      </c>
      <c r="S71">
        <v>45736</v>
      </c>
      <c r="T71">
        <v>45741</v>
      </c>
      <c r="U71" t="s">
        <v>805</v>
      </c>
      <c r="V71" t="s">
        <v>281</v>
      </c>
      <c r="X71">
        <v>45741</v>
      </c>
    </row>
    <row r="72" spans="1:28">
      <c r="A72">
        <v>3</v>
      </c>
      <c r="B72" t="s">
        <v>379</v>
      </c>
      <c r="C72">
        <v>45737</v>
      </c>
      <c r="D72">
        <v>45750</v>
      </c>
      <c r="E72" t="s">
        <v>109</v>
      </c>
      <c r="F72" t="s">
        <v>417</v>
      </c>
      <c r="G72">
        <v>24927</v>
      </c>
      <c r="H72" s="43" t="s">
        <v>806</v>
      </c>
      <c r="I72" t="s">
        <v>295</v>
      </c>
      <c r="M72" t="s">
        <v>13</v>
      </c>
      <c r="N72" t="s">
        <v>275</v>
      </c>
      <c r="P72" t="s">
        <v>287</v>
      </c>
      <c r="R72" t="s">
        <v>807</v>
      </c>
      <c r="S72">
        <v>45747</v>
      </c>
      <c r="T72">
        <v>45748</v>
      </c>
      <c r="U72" t="s">
        <v>287</v>
      </c>
      <c r="W72" t="s">
        <v>441</v>
      </c>
      <c r="X72">
        <v>45748</v>
      </c>
    </row>
    <row r="73" spans="1:28">
      <c r="A73">
        <v>4</v>
      </c>
      <c r="B73" t="s">
        <v>379</v>
      </c>
      <c r="C73">
        <v>45737</v>
      </c>
      <c r="D73">
        <v>45750</v>
      </c>
      <c r="E73" t="s">
        <v>109</v>
      </c>
      <c r="F73" t="s">
        <v>272</v>
      </c>
      <c r="G73">
        <v>47656</v>
      </c>
      <c r="H73" t="s">
        <v>808</v>
      </c>
      <c r="I73" t="s">
        <v>280</v>
      </c>
      <c r="J73">
        <v>5</v>
      </c>
      <c r="K73">
        <v>5</v>
      </c>
      <c r="L73">
        <v>22</v>
      </c>
    </row>
    <row r="74" spans="1:28">
      <c r="A74">
        <v>5</v>
      </c>
      <c r="B74" t="s">
        <v>379</v>
      </c>
      <c r="C74">
        <v>45737</v>
      </c>
      <c r="D74">
        <v>45750</v>
      </c>
      <c r="E74" t="s">
        <v>109</v>
      </c>
      <c r="F74" t="s">
        <v>272</v>
      </c>
      <c r="G74">
        <v>47660</v>
      </c>
      <c r="H74" t="s">
        <v>809</v>
      </c>
      <c r="I74" t="s">
        <v>280</v>
      </c>
      <c r="J74">
        <v>8</v>
      </c>
      <c r="K74">
        <v>8</v>
      </c>
      <c r="L74">
        <v>60</v>
      </c>
    </row>
    <row r="75" spans="1:28">
      <c r="A75">
        <v>6</v>
      </c>
      <c r="B75" t="s">
        <v>379</v>
      </c>
      <c r="C75">
        <v>45737</v>
      </c>
      <c r="D75">
        <v>45750</v>
      </c>
      <c r="E75" t="s">
        <v>109</v>
      </c>
      <c r="F75" t="s">
        <v>417</v>
      </c>
      <c r="G75">
        <v>24933</v>
      </c>
      <c r="H75" s="43" t="s">
        <v>810</v>
      </c>
      <c r="I75" t="s">
        <v>295</v>
      </c>
      <c r="M75" t="s">
        <v>13</v>
      </c>
      <c r="N75" t="s">
        <v>275</v>
      </c>
      <c r="P75" t="s">
        <v>287</v>
      </c>
      <c r="R75" t="s">
        <v>807</v>
      </c>
      <c r="S75">
        <v>45747</v>
      </c>
      <c r="T75">
        <v>45748</v>
      </c>
      <c r="U75" t="s">
        <v>287</v>
      </c>
      <c r="W75" t="s">
        <v>441</v>
      </c>
      <c r="X75">
        <v>45748</v>
      </c>
    </row>
    <row r="76" spans="1:28">
      <c r="A76">
        <v>7</v>
      </c>
      <c r="B76" t="s">
        <v>379</v>
      </c>
      <c r="C76">
        <v>45737</v>
      </c>
      <c r="D76">
        <v>45750</v>
      </c>
      <c r="E76" t="s">
        <v>109</v>
      </c>
      <c r="F76" t="s">
        <v>272</v>
      </c>
      <c r="G76">
        <v>47659</v>
      </c>
      <c r="H76" t="s">
        <v>811</v>
      </c>
      <c r="I76" t="s">
        <v>280</v>
      </c>
      <c r="J76">
        <v>4</v>
      </c>
      <c r="K76">
        <v>4</v>
      </c>
      <c r="L76">
        <v>18</v>
      </c>
    </row>
    <row r="77" spans="1:28">
      <c r="A77">
        <v>8</v>
      </c>
      <c r="B77" t="s">
        <v>379</v>
      </c>
      <c r="C77">
        <v>45737</v>
      </c>
      <c r="D77">
        <v>45750</v>
      </c>
      <c r="E77" t="s">
        <v>812</v>
      </c>
      <c r="F77" t="s">
        <v>417</v>
      </c>
      <c r="G77">
        <v>24915</v>
      </c>
      <c r="H77" s="43" t="s">
        <v>755</v>
      </c>
      <c r="I77" t="s">
        <v>694</v>
      </c>
      <c r="J77">
        <v>5</v>
      </c>
      <c r="K77">
        <v>5</v>
      </c>
      <c r="L77">
        <v>13</v>
      </c>
    </row>
    <row r="78" spans="1:28">
      <c r="A78">
        <v>9</v>
      </c>
      <c r="B78" t="s">
        <v>379</v>
      </c>
      <c r="C78">
        <v>45737</v>
      </c>
      <c r="D78">
        <v>45750</v>
      </c>
      <c r="E78" t="s">
        <v>109</v>
      </c>
      <c r="F78" t="s">
        <v>287</v>
      </c>
      <c r="G78">
        <v>24934</v>
      </c>
      <c r="H78" t="s">
        <v>813</v>
      </c>
      <c r="I78" t="s">
        <v>295</v>
      </c>
      <c r="N78" t="s">
        <v>623</v>
      </c>
      <c r="P78" t="s">
        <v>287</v>
      </c>
      <c r="R78" t="s">
        <v>814</v>
      </c>
      <c r="S78">
        <v>45748</v>
      </c>
      <c r="T78">
        <v>45748</v>
      </c>
      <c r="U78" t="s">
        <v>287</v>
      </c>
      <c r="W78" t="s">
        <v>441</v>
      </c>
      <c r="X78">
        <v>45748</v>
      </c>
    </row>
    <row r="79" spans="1:28">
      <c r="A79">
        <v>10</v>
      </c>
      <c r="B79" t="s">
        <v>379</v>
      </c>
      <c r="C79">
        <v>45737</v>
      </c>
      <c r="D79">
        <v>45750</v>
      </c>
      <c r="E79" t="s">
        <v>109</v>
      </c>
      <c r="F79" t="s">
        <v>287</v>
      </c>
      <c r="G79">
        <v>24904</v>
      </c>
      <c r="H79" t="s">
        <v>815</v>
      </c>
      <c r="I79" t="s">
        <v>295</v>
      </c>
      <c r="R79" t="s">
        <v>816</v>
      </c>
      <c r="S79">
        <v>45744</v>
      </c>
      <c r="T79">
        <v>45744</v>
      </c>
      <c r="U79" t="s">
        <v>287</v>
      </c>
      <c r="W79" t="s">
        <v>441</v>
      </c>
      <c r="X79">
        <v>45744</v>
      </c>
    </row>
    <row r="80" spans="1:28">
      <c r="A80">
        <v>11</v>
      </c>
      <c r="B80" t="s">
        <v>379</v>
      </c>
      <c r="C80">
        <v>45737</v>
      </c>
      <c r="D80">
        <v>45750</v>
      </c>
      <c r="E80" t="s">
        <v>812</v>
      </c>
      <c r="F80" t="s">
        <v>287</v>
      </c>
      <c r="G80">
        <v>24947</v>
      </c>
      <c r="H80" t="s">
        <v>817</v>
      </c>
      <c r="I80" t="s">
        <v>295</v>
      </c>
      <c r="R80" t="s">
        <v>818</v>
      </c>
      <c r="S80">
        <v>45748</v>
      </c>
      <c r="T80">
        <v>45748</v>
      </c>
      <c r="U80" t="s">
        <v>287</v>
      </c>
      <c r="W80" t="s">
        <v>441</v>
      </c>
      <c r="X80">
        <v>45748</v>
      </c>
    </row>
    <row r="81" spans="1:28">
      <c r="A81">
        <v>1</v>
      </c>
      <c r="B81" t="s">
        <v>379</v>
      </c>
      <c r="C81">
        <v>45751</v>
      </c>
      <c r="D81">
        <v>45764</v>
      </c>
      <c r="E81" t="s">
        <v>113</v>
      </c>
      <c r="F81" t="s">
        <v>275</v>
      </c>
      <c r="G81">
        <v>24915</v>
      </c>
      <c r="H81" s="43" t="s">
        <v>755</v>
      </c>
      <c r="I81" t="s">
        <v>295</v>
      </c>
      <c r="J81">
        <v>5</v>
      </c>
      <c r="K81">
        <v>5</v>
      </c>
      <c r="L81">
        <v>24</v>
      </c>
      <c r="N81" t="s">
        <v>623</v>
      </c>
      <c r="R81" t="s">
        <v>756</v>
      </c>
      <c r="S81">
        <v>45756</v>
      </c>
      <c r="T81">
        <v>45756</v>
      </c>
      <c r="U81" t="s">
        <v>287</v>
      </c>
      <c r="W81" t="s">
        <v>441</v>
      </c>
      <c r="X81">
        <v>45756</v>
      </c>
    </row>
    <row r="82" spans="1:28">
      <c r="A82">
        <v>2</v>
      </c>
      <c r="B82" t="s">
        <v>379</v>
      </c>
      <c r="C82">
        <v>45751</v>
      </c>
      <c r="D82">
        <v>45764</v>
      </c>
      <c r="E82" t="s">
        <v>757</v>
      </c>
      <c r="F82" t="s">
        <v>272</v>
      </c>
      <c r="G82">
        <v>47805</v>
      </c>
      <c r="H82" t="s">
        <v>738</v>
      </c>
      <c r="I82" t="s">
        <v>274</v>
      </c>
      <c r="J82">
        <v>13</v>
      </c>
      <c r="K82">
        <v>6</v>
      </c>
      <c r="L82">
        <v>23</v>
      </c>
      <c r="AB82" s="43" t="s">
        <v>1505</v>
      </c>
    </row>
    <row r="83" spans="1:28">
      <c r="A83">
        <v>3</v>
      </c>
      <c r="B83" t="s">
        <v>379</v>
      </c>
      <c r="C83">
        <v>45751</v>
      </c>
      <c r="D83">
        <v>45764</v>
      </c>
      <c r="E83" t="s">
        <v>113</v>
      </c>
      <c r="F83" t="s">
        <v>417</v>
      </c>
      <c r="G83">
        <v>24882</v>
      </c>
      <c r="H83" s="43" t="s">
        <v>759</v>
      </c>
      <c r="I83" t="s">
        <v>295</v>
      </c>
      <c r="J83">
        <v>5</v>
      </c>
      <c r="K83">
        <v>5</v>
      </c>
      <c r="L83">
        <v>29</v>
      </c>
      <c r="N83" t="s">
        <v>272</v>
      </c>
      <c r="R83" t="s">
        <v>760</v>
      </c>
      <c r="S83">
        <v>45756</v>
      </c>
      <c r="T83">
        <v>45756</v>
      </c>
      <c r="U83" t="s">
        <v>287</v>
      </c>
      <c r="W83" t="s">
        <v>441</v>
      </c>
      <c r="X83">
        <v>45756</v>
      </c>
    </row>
    <row r="84" spans="1:28">
      <c r="A84">
        <v>4</v>
      </c>
      <c r="B84" t="s">
        <v>379</v>
      </c>
      <c r="C84">
        <v>45751</v>
      </c>
      <c r="D84">
        <v>45764</v>
      </c>
      <c r="E84" t="s">
        <v>757</v>
      </c>
      <c r="F84" t="s">
        <v>275</v>
      </c>
      <c r="G84">
        <v>38108</v>
      </c>
      <c r="H84" t="s">
        <v>761</v>
      </c>
      <c r="I84" t="s">
        <v>280</v>
      </c>
      <c r="J84">
        <v>3</v>
      </c>
      <c r="K84">
        <v>1</v>
      </c>
      <c r="L84">
        <v>5</v>
      </c>
      <c r="R84" t="s">
        <v>762</v>
      </c>
      <c r="AB84" t="s">
        <v>763</v>
      </c>
    </row>
    <row r="85" spans="1:28">
      <c r="A85">
        <v>5</v>
      </c>
      <c r="B85" t="s">
        <v>379</v>
      </c>
      <c r="C85">
        <v>45751</v>
      </c>
      <c r="D85">
        <v>45764</v>
      </c>
      <c r="E85" t="s">
        <v>757</v>
      </c>
      <c r="F85" t="s">
        <v>417</v>
      </c>
      <c r="G85">
        <v>24951</v>
      </c>
      <c r="H85" s="43" t="s">
        <v>764</v>
      </c>
      <c r="I85" t="s">
        <v>295</v>
      </c>
      <c r="J85">
        <v>1</v>
      </c>
      <c r="K85">
        <v>1</v>
      </c>
      <c r="L85">
        <v>4</v>
      </c>
      <c r="N85" t="s">
        <v>272</v>
      </c>
      <c r="P85" t="s">
        <v>287</v>
      </c>
      <c r="R85" t="s">
        <v>765</v>
      </c>
      <c r="S85">
        <v>45761</v>
      </c>
      <c r="T85">
        <v>45761</v>
      </c>
      <c r="U85" t="s">
        <v>287</v>
      </c>
      <c r="W85" t="s">
        <v>441</v>
      </c>
      <c r="X85">
        <v>45761</v>
      </c>
    </row>
    <row r="86" spans="1:28">
      <c r="A86">
        <v>6</v>
      </c>
      <c r="B86" t="s">
        <v>379</v>
      </c>
      <c r="C86">
        <v>45751</v>
      </c>
      <c r="D86">
        <v>45764</v>
      </c>
      <c r="E86" t="s">
        <v>757</v>
      </c>
      <c r="F86" t="s">
        <v>417</v>
      </c>
      <c r="G86">
        <v>24953</v>
      </c>
      <c r="H86" s="43" t="s">
        <v>766</v>
      </c>
      <c r="I86" t="s">
        <v>295</v>
      </c>
      <c r="J86">
        <v>2</v>
      </c>
      <c r="K86">
        <v>2</v>
      </c>
      <c r="L86">
        <v>7</v>
      </c>
      <c r="N86" t="s">
        <v>272</v>
      </c>
      <c r="P86" t="s">
        <v>287</v>
      </c>
      <c r="R86" t="s">
        <v>767</v>
      </c>
      <c r="S86">
        <v>45761</v>
      </c>
      <c r="T86">
        <v>45761</v>
      </c>
      <c r="U86" t="s">
        <v>287</v>
      </c>
      <c r="W86" t="s">
        <v>441</v>
      </c>
      <c r="X86">
        <v>45761</v>
      </c>
    </row>
    <row r="87" spans="1:28">
      <c r="A87">
        <v>7</v>
      </c>
      <c r="B87" t="s">
        <v>379</v>
      </c>
      <c r="C87">
        <v>45751</v>
      </c>
      <c r="D87">
        <v>45764</v>
      </c>
      <c r="E87" t="s">
        <v>113</v>
      </c>
      <c r="F87" t="s">
        <v>417</v>
      </c>
      <c r="G87">
        <v>24997</v>
      </c>
      <c r="H87" t="s">
        <v>769</v>
      </c>
      <c r="I87" t="s">
        <v>295</v>
      </c>
      <c r="J87">
        <v>2</v>
      </c>
      <c r="K87">
        <v>2</v>
      </c>
      <c r="L87">
        <v>8</v>
      </c>
      <c r="N87" t="s">
        <v>272</v>
      </c>
      <c r="P87" t="s">
        <v>287</v>
      </c>
      <c r="R87" t="s">
        <v>770</v>
      </c>
      <c r="S87">
        <v>45761</v>
      </c>
      <c r="T87">
        <v>45761</v>
      </c>
      <c r="U87" t="s">
        <v>287</v>
      </c>
      <c r="W87" t="s">
        <v>441</v>
      </c>
      <c r="X87">
        <v>45761</v>
      </c>
    </row>
    <row r="88" spans="1:28">
      <c r="A88">
        <v>8</v>
      </c>
      <c r="B88" t="s">
        <v>379</v>
      </c>
      <c r="C88">
        <v>45751</v>
      </c>
      <c r="D88">
        <v>45764</v>
      </c>
      <c r="E88" t="s">
        <v>757</v>
      </c>
      <c r="F88" t="s">
        <v>417</v>
      </c>
      <c r="G88">
        <v>25022</v>
      </c>
      <c r="H88" s="43" t="s">
        <v>771</v>
      </c>
      <c r="I88" t="s">
        <v>295</v>
      </c>
      <c r="J88">
        <v>2</v>
      </c>
      <c r="K88">
        <v>2</v>
      </c>
      <c r="L88">
        <v>8</v>
      </c>
      <c r="N88" t="s">
        <v>272</v>
      </c>
      <c r="P88" t="s">
        <v>287</v>
      </c>
      <c r="R88" t="s">
        <v>772</v>
      </c>
      <c r="S88">
        <v>45763</v>
      </c>
      <c r="T88">
        <v>45763</v>
      </c>
      <c r="U88" t="s">
        <v>287</v>
      </c>
      <c r="W88" t="s">
        <v>441</v>
      </c>
      <c r="X88">
        <v>45763</v>
      </c>
    </row>
    <row r="89" spans="1:28">
      <c r="A89">
        <v>9</v>
      </c>
      <c r="B89" t="s">
        <v>379</v>
      </c>
      <c r="C89">
        <v>45751</v>
      </c>
      <c r="D89">
        <v>45764</v>
      </c>
      <c r="E89" t="s">
        <v>757</v>
      </c>
      <c r="F89" t="s">
        <v>275</v>
      </c>
      <c r="G89">
        <v>24217</v>
      </c>
      <c r="H89" t="s">
        <v>773</v>
      </c>
      <c r="I89" t="s">
        <v>295</v>
      </c>
      <c r="J89">
        <v>3</v>
      </c>
      <c r="K89">
        <v>3</v>
      </c>
      <c r="L89">
        <v>10</v>
      </c>
      <c r="N89" t="s">
        <v>272</v>
      </c>
      <c r="P89" t="s">
        <v>287</v>
      </c>
      <c r="R89" t="s">
        <v>774</v>
      </c>
      <c r="S89">
        <v>45763</v>
      </c>
      <c r="U89" t="s">
        <v>287</v>
      </c>
      <c r="W89" t="s">
        <v>441</v>
      </c>
    </row>
    <row r="90" spans="1:28">
      <c r="A90">
        <v>10</v>
      </c>
      <c r="B90" t="s">
        <v>379</v>
      </c>
      <c r="C90">
        <v>45751</v>
      </c>
      <c r="D90">
        <v>45764</v>
      </c>
      <c r="E90" t="s">
        <v>113</v>
      </c>
      <c r="F90" t="s">
        <v>287</v>
      </c>
      <c r="G90">
        <v>34180</v>
      </c>
      <c r="H90" t="s">
        <v>775</v>
      </c>
      <c r="I90" t="s">
        <v>280</v>
      </c>
      <c r="J90">
        <v>3</v>
      </c>
      <c r="K90">
        <v>3</v>
      </c>
      <c r="L90">
        <v>5</v>
      </c>
      <c r="R90" t="s">
        <v>762</v>
      </c>
      <c r="AB90" t="s">
        <v>763</v>
      </c>
    </row>
    <row r="91" spans="1:28">
      <c r="A91">
        <v>11</v>
      </c>
      <c r="B91" t="s">
        <v>379</v>
      </c>
      <c r="C91">
        <v>45751</v>
      </c>
      <c r="D91">
        <v>45764</v>
      </c>
      <c r="E91" t="s">
        <v>113</v>
      </c>
      <c r="F91" t="s">
        <v>287</v>
      </c>
      <c r="G91">
        <v>47832</v>
      </c>
      <c r="H91" t="s">
        <v>776</v>
      </c>
      <c r="I91" t="s">
        <v>280</v>
      </c>
      <c r="J91">
        <v>8</v>
      </c>
      <c r="K91">
        <v>8</v>
      </c>
      <c r="L91">
        <v>35</v>
      </c>
      <c r="R91" t="s">
        <v>777</v>
      </c>
      <c r="S91">
        <v>45762</v>
      </c>
      <c r="T91">
        <v>45762</v>
      </c>
      <c r="U91" t="s">
        <v>287</v>
      </c>
      <c r="W91" t="s">
        <v>441</v>
      </c>
      <c r="X91">
        <v>45762</v>
      </c>
    </row>
    <row r="92" spans="1:28">
      <c r="A92">
        <v>1</v>
      </c>
      <c r="B92" t="s">
        <v>379</v>
      </c>
      <c r="C92">
        <v>45765</v>
      </c>
      <c r="D92">
        <v>45778</v>
      </c>
      <c r="E92" t="s">
        <v>116</v>
      </c>
      <c r="F92" t="s">
        <v>275</v>
      </c>
      <c r="G92">
        <v>22944</v>
      </c>
      <c r="H92" t="s">
        <v>736</v>
      </c>
      <c r="I92" t="s">
        <v>295</v>
      </c>
      <c r="J92">
        <v>3</v>
      </c>
      <c r="K92">
        <v>3</v>
      </c>
      <c r="L92">
        <v>16</v>
      </c>
      <c r="N92" t="s">
        <v>272</v>
      </c>
      <c r="R92" t="s">
        <v>737</v>
      </c>
      <c r="S92">
        <v>45776</v>
      </c>
      <c r="T92">
        <v>45776</v>
      </c>
      <c r="U92" t="s">
        <v>441</v>
      </c>
      <c r="W92" t="s">
        <v>441</v>
      </c>
      <c r="X92">
        <v>45776</v>
      </c>
    </row>
    <row r="93" spans="1:28">
      <c r="A93">
        <v>2</v>
      </c>
      <c r="B93" t="s">
        <v>379</v>
      </c>
      <c r="C93">
        <v>45765</v>
      </c>
      <c r="D93">
        <v>45778</v>
      </c>
      <c r="E93" t="s">
        <v>116</v>
      </c>
      <c r="F93" t="s">
        <v>272</v>
      </c>
      <c r="G93">
        <v>47805</v>
      </c>
      <c r="H93" t="s">
        <v>738</v>
      </c>
      <c r="I93" t="s">
        <v>280</v>
      </c>
      <c r="J93">
        <v>8</v>
      </c>
      <c r="K93">
        <v>8</v>
      </c>
      <c r="L93">
        <v>32</v>
      </c>
      <c r="N93" t="s">
        <v>739</v>
      </c>
      <c r="P93" t="s">
        <v>739</v>
      </c>
      <c r="R93" t="s">
        <v>740</v>
      </c>
      <c r="S93">
        <v>45772</v>
      </c>
      <c r="T93">
        <v>45776</v>
      </c>
      <c r="U93" t="s">
        <v>409</v>
      </c>
      <c r="X93">
        <v>45776</v>
      </c>
    </row>
    <row r="94" spans="1:28">
      <c r="A94">
        <v>3</v>
      </c>
      <c r="B94" t="s">
        <v>379</v>
      </c>
      <c r="C94">
        <v>45765</v>
      </c>
      <c r="D94">
        <v>45778</v>
      </c>
      <c r="E94" t="s">
        <v>116</v>
      </c>
      <c r="F94" t="s">
        <v>417</v>
      </c>
      <c r="G94">
        <v>24944</v>
      </c>
      <c r="H94" t="s">
        <v>741</v>
      </c>
      <c r="I94" t="s">
        <v>295</v>
      </c>
      <c r="J94">
        <v>2</v>
      </c>
      <c r="K94">
        <v>2</v>
      </c>
      <c r="L94">
        <v>15</v>
      </c>
      <c r="N94" t="s">
        <v>272</v>
      </c>
      <c r="P94" t="s">
        <v>287</v>
      </c>
      <c r="R94" t="s">
        <v>742</v>
      </c>
      <c r="S94">
        <v>45769</v>
      </c>
      <c r="T94">
        <v>45769</v>
      </c>
      <c r="U94" t="s">
        <v>275</v>
      </c>
      <c r="W94" t="s">
        <v>441</v>
      </c>
      <c r="X94">
        <v>45769</v>
      </c>
    </row>
    <row r="95" spans="1:28">
      <c r="A95">
        <v>4</v>
      </c>
      <c r="B95" t="s">
        <v>379</v>
      </c>
      <c r="C95">
        <v>45765</v>
      </c>
      <c r="D95">
        <v>45778</v>
      </c>
      <c r="E95" t="s">
        <v>116</v>
      </c>
      <c r="F95" t="s">
        <v>743</v>
      </c>
      <c r="G95">
        <v>47964</v>
      </c>
      <c r="H95" t="s">
        <v>744</v>
      </c>
      <c r="I95" t="s">
        <v>280</v>
      </c>
      <c r="J95">
        <v>5</v>
      </c>
      <c r="K95">
        <v>5</v>
      </c>
      <c r="L95">
        <v>40</v>
      </c>
      <c r="N95" t="s">
        <v>272</v>
      </c>
      <c r="R95" t="s">
        <v>745</v>
      </c>
      <c r="S95">
        <v>45771</v>
      </c>
      <c r="T95">
        <v>45771</v>
      </c>
      <c r="U95" t="s">
        <v>287</v>
      </c>
      <c r="W95" t="s">
        <v>441</v>
      </c>
      <c r="X95">
        <v>45771</v>
      </c>
    </row>
    <row r="96" spans="1:28">
      <c r="A96">
        <v>5</v>
      </c>
      <c r="B96" t="s">
        <v>379</v>
      </c>
      <c r="C96">
        <v>45765</v>
      </c>
      <c r="D96">
        <v>45778</v>
      </c>
      <c r="E96" t="s">
        <v>116</v>
      </c>
      <c r="F96" t="s">
        <v>746</v>
      </c>
      <c r="G96">
        <v>47988</v>
      </c>
      <c r="H96" s="43" t="s">
        <v>747</v>
      </c>
      <c r="I96" t="s">
        <v>280</v>
      </c>
      <c r="J96">
        <v>8</v>
      </c>
      <c r="K96">
        <v>8</v>
      </c>
      <c r="L96">
        <v>27</v>
      </c>
      <c r="R96" t="s">
        <v>748</v>
      </c>
      <c r="S96">
        <v>45777</v>
      </c>
      <c r="U96" t="s">
        <v>275</v>
      </c>
      <c r="W96" t="s">
        <v>441</v>
      </c>
    </row>
    <row r="97" spans="1:28">
      <c r="A97">
        <v>1</v>
      </c>
      <c r="B97" t="s">
        <v>379</v>
      </c>
      <c r="C97">
        <v>45779</v>
      </c>
      <c r="D97">
        <v>45792</v>
      </c>
      <c r="E97" t="s">
        <v>120</v>
      </c>
      <c r="F97" t="s">
        <v>275</v>
      </c>
      <c r="G97">
        <v>48127</v>
      </c>
      <c r="H97" s="43" t="s">
        <v>723</v>
      </c>
      <c r="I97" t="s">
        <v>280</v>
      </c>
      <c r="J97">
        <v>3</v>
      </c>
      <c r="K97">
        <v>3</v>
      </c>
      <c r="L97">
        <v>14</v>
      </c>
      <c r="R97" t="s">
        <v>724</v>
      </c>
      <c r="AB97" t="s">
        <v>725</v>
      </c>
    </row>
    <row r="98" spans="1:28">
      <c r="A98">
        <v>2</v>
      </c>
      <c r="B98" t="s">
        <v>379</v>
      </c>
      <c r="C98">
        <v>45779</v>
      </c>
      <c r="D98">
        <v>45792</v>
      </c>
      <c r="E98" t="s">
        <v>120</v>
      </c>
      <c r="F98" t="s">
        <v>417</v>
      </c>
      <c r="G98">
        <v>48070</v>
      </c>
      <c r="H98" s="43" t="s">
        <v>727</v>
      </c>
      <c r="I98" t="s">
        <v>280</v>
      </c>
      <c r="J98">
        <v>5</v>
      </c>
      <c r="K98">
        <v>5</v>
      </c>
      <c r="L98">
        <v>23</v>
      </c>
      <c r="N98" t="s">
        <v>325</v>
      </c>
      <c r="P98" t="s">
        <v>287</v>
      </c>
      <c r="R98" t="s">
        <v>728</v>
      </c>
      <c r="S98">
        <v>45785</v>
      </c>
      <c r="T98">
        <v>45786</v>
      </c>
      <c r="U98" t="s">
        <v>287</v>
      </c>
      <c r="W98" t="s">
        <v>441</v>
      </c>
      <c r="X98">
        <v>45786</v>
      </c>
    </row>
    <row r="99" spans="1:28">
      <c r="A99">
        <v>3</v>
      </c>
      <c r="B99" t="s">
        <v>379</v>
      </c>
      <c r="C99">
        <v>45779</v>
      </c>
      <c r="D99">
        <v>45792</v>
      </c>
      <c r="E99" t="s">
        <v>729</v>
      </c>
      <c r="F99" t="s">
        <v>272</v>
      </c>
      <c r="G99">
        <v>48235</v>
      </c>
      <c r="H99" t="s">
        <v>704</v>
      </c>
      <c r="I99" t="s">
        <v>274</v>
      </c>
      <c r="J99">
        <v>5</v>
      </c>
      <c r="K99">
        <v>5</v>
      </c>
      <c r="L99">
        <v>20</v>
      </c>
    </row>
    <row r="100" spans="1:28">
      <c r="A100">
        <v>4</v>
      </c>
      <c r="B100" t="s">
        <v>379</v>
      </c>
      <c r="C100">
        <v>45779</v>
      </c>
      <c r="D100">
        <v>45792</v>
      </c>
      <c r="E100" t="s">
        <v>120</v>
      </c>
      <c r="F100" t="s">
        <v>730</v>
      </c>
      <c r="G100">
        <v>47562</v>
      </c>
      <c r="H100" t="s">
        <v>702</v>
      </c>
      <c r="I100" t="s">
        <v>274</v>
      </c>
      <c r="J100">
        <v>8</v>
      </c>
      <c r="K100">
        <v>8</v>
      </c>
      <c r="L100">
        <v>34</v>
      </c>
      <c r="AB100" t="s">
        <v>731</v>
      </c>
    </row>
    <row r="101" spans="1:28">
      <c r="A101">
        <v>5</v>
      </c>
      <c r="B101" t="s">
        <v>379</v>
      </c>
      <c r="C101">
        <v>45779</v>
      </c>
      <c r="D101">
        <v>45792</v>
      </c>
      <c r="E101" t="s">
        <v>729</v>
      </c>
      <c r="F101" t="s">
        <v>730</v>
      </c>
      <c r="G101">
        <v>25206</v>
      </c>
      <c r="H101" t="s">
        <v>732</v>
      </c>
      <c r="I101" t="s">
        <v>280</v>
      </c>
      <c r="J101">
        <v>2</v>
      </c>
      <c r="K101">
        <v>2</v>
      </c>
      <c r="L101">
        <v>6</v>
      </c>
      <c r="R101" t="s">
        <v>733</v>
      </c>
      <c r="S101">
        <v>45790</v>
      </c>
      <c r="T101">
        <v>45790</v>
      </c>
      <c r="U101" t="s">
        <v>287</v>
      </c>
      <c r="W101" t="s">
        <v>441</v>
      </c>
      <c r="X101">
        <v>45790</v>
      </c>
    </row>
    <row r="102" spans="1:28">
      <c r="A102">
        <v>1</v>
      </c>
      <c r="B102" t="s">
        <v>379</v>
      </c>
      <c r="C102">
        <v>45793</v>
      </c>
      <c r="D102">
        <v>45806</v>
      </c>
      <c r="E102" t="s">
        <v>125</v>
      </c>
      <c r="F102" t="s">
        <v>701</v>
      </c>
      <c r="G102">
        <v>47562</v>
      </c>
      <c r="H102" t="s">
        <v>702</v>
      </c>
      <c r="I102" t="s">
        <v>280</v>
      </c>
      <c r="J102">
        <v>5</v>
      </c>
      <c r="K102">
        <v>5</v>
      </c>
      <c r="L102">
        <v>20</v>
      </c>
    </row>
    <row r="103" spans="1:28">
      <c r="A103">
        <v>2</v>
      </c>
      <c r="B103" t="s">
        <v>379</v>
      </c>
      <c r="C103">
        <v>45793</v>
      </c>
      <c r="D103">
        <v>45806</v>
      </c>
      <c r="E103" t="s">
        <v>703</v>
      </c>
      <c r="F103" t="s">
        <v>272</v>
      </c>
      <c r="G103">
        <v>48235</v>
      </c>
      <c r="H103" t="s">
        <v>704</v>
      </c>
      <c r="I103" t="s">
        <v>280</v>
      </c>
      <c r="J103">
        <v>3</v>
      </c>
      <c r="K103">
        <v>5</v>
      </c>
      <c r="L103">
        <v>29</v>
      </c>
      <c r="N103" t="s">
        <v>283</v>
      </c>
      <c r="P103" t="s">
        <v>283</v>
      </c>
      <c r="R103" t="s">
        <v>705</v>
      </c>
      <c r="S103">
        <v>45796</v>
      </c>
      <c r="T103">
        <v>45798</v>
      </c>
      <c r="W103" t="s">
        <v>283</v>
      </c>
      <c r="X103">
        <v>45798</v>
      </c>
      <c r="AB103" t="s">
        <v>706</v>
      </c>
    </row>
    <row r="104" spans="1:28">
      <c r="A104">
        <v>3</v>
      </c>
      <c r="B104" t="s">
        <v>379</v>
      </c>
      <c r="C104">
        <v>45793</v>
      </c>
      <c r="D104">
        <v>45806</v>
      </c>
      <c r="E104" t="s">
        <v>125</v>
      </c>
      <c r="F104" t="s">
        <v>272</v>
      </c>
      <c r="G104">
        <v>48347</v>
      </c>
      <c r="H104" t="s">
        <v>637</v>
      </c>
      <c r="I104" t="s">
        <v>280</v>
      </c>
      <c r="J104">
        <v>5</v>
      </c>
      <c r="K104">
        <v>5</v>
      </c>
      <c r="L104">
        <v>22</v>
      </c>
    </row>
    <row r="105" spans="1:28">
      <c r="A105">
        <v>4</v>
      </c>
      <c r="B105" t="s">
        <v>379</v>
      </c>
      <c r="C105">
        <v>45793</v>
      </c>
      <c r="D105">
        <v>45806</v>
      </c>
      <c r="E105" t="s">
        <v>125</v>
      </c>
      <c r="F105" t="s">
        <v>272</v>
      </c>
      <c r="G105">
        <v>48351</v>
      </c>
      <c r="H105" t="s">
        <v>707</v>
      </c>
      <c r="I105" t="s">
        <v>280</v>
      </c>
      <c r="J105">
        <v>8</v>
      </c>
      <c r="K105">
        <v>8</v>
      </c>
      <c r="L105">
        <v>32</v>
      </c>
    </row>
    <row r="106" spans="1:28">
      <c r="A106">
        <v>5</v>
      </c>
      <c r="B106" t="s">
        <v>379</v>
      </c>
      <c r="C106">
        <v>45793</v>
      </c>
      <c r="D106">
        <v>45806</v>
      </c>
      <c r="E106" t="s">
        <v>125</v>
      </c>
      <c r="F106" t="s">
        <v>275</v>
      </c>
      <c r="G106">
        <v>25162</v>
      </c>
      <c r="H106" t="s">
        <v>689</v>
      </c>
      <c r="I106" t="s">
        <v>694</v>
      </c>
      <c r="J106">
        <v>3</v>
      </c>
      <c r="K106">
        <v>8</v>
      </c>
      <c r="L106">
        <v>32</v>
      </c>
      <c r="AB106" t="s">
        <v>708</v>
      </c>
    </row>
    <row r="107" spans="1:28">
      <c r="A107">
        <v>6</v>
      </c>
      <c r="B107" t="s">
        <v>379</v>
      </c>
      <c r="C107">
        <v>45793</v>
      </c>
      <c r="D107">
        <v>45806</v>
      </c>
      <c r="E107" t="s">
        <v>125</v>
      </c>
      <c r="F107" t="s">
        <v>417</v>
      </c>
      <c r="G107">
        <v>25282</v>
      </c>
      <c r="H107" s="43" t="s">
        <v>716</v>
      </c>
      <c r="I107" t="s">
        <v>295</v>
      </c>
      <c r="N107" t="s">
        <v>272</v>
      </c>
      <c r="P107" t="s">
        <v>275</v>
      </c>
      <c r="R107" t="s">
        <v>710</v>
      </c>
      <c r="S107">
        <v>45804</v>
      </c>
      <c r="T107">
        <v>45804</v>
      </c>
      <c r="U107" t="s">
        <v>287</v>
      </c>
      <c r="W107" t="s">
        <v>441</v>
      </c>
      <c r="X107">
        <v>45805</v>
      </c>
    </row>
    <row r="108" spans="1:28">
      <c r="A108">
        <v>7</v>
      </c>
      <c r="B108" t="s">
        <v>379</v>
      </c>
      <c r="C108">
        <v>45793</v>
      </c>
      <c r="D108">
        <v>45806</v>
      </c>
      <c r="E108" t="s">
        <v>125</v>
      </c>
      <c r="F108" t="s">
        <v>417</v>
      </c>
      <c r="G108">
        <v>25302</v>
      </c>
      <c r="H108" s="43" t="s">
        <v>1506</v>
      </c>
      <c r="I108" t="s">
        <v>295</v>
      </c>
      <c r="N108" t="s">
        <v>272</v>
      </c>
      <c r="P108" t="s">
        <v>275</v>
      </c>
      <c r="R108" t="s">
        <v>712</v>
      </c>
      <c r="S108">
        <v>45804</v>
      </c>
      <c r="T108">
        <v>45804</v>
      </c>
      <c r="U108" t="s">
        <v>287</v>
      </c>
      <c r="W108" t="s">
        <v>441</v>
      </c>
      <c r="X108">
        <v>45805</v>
      </c>
    </row>
    <row r="109" spans="1:28">
      <c r="A109">
        <v>8</v>
      </c>
      <c r="B109" t="s">
        <v>379</v>
      </c>
      <c r="C109">
        <v>45793</v>
      </c>
      <c r="D109">
        <v>45806</v>
      </c>
      <c r="E109" t="s">
        <v>703</v>
      </c>
      <c r="F109" t="s">
        <v>595</v>
      </c>
      <c r="G109">
        <v>47610</v>
      </c>
      <c r="H109" t="s">
        <v>713</v>
      </c>
      <c r="I109" t="s">
        <v>280</v>
      </c>
      <c r="J109">
        <v>3</v>
      </c>
      <c r="K109">
        <v>3</v>
      </c>
      <c r="L109">
        <v>12</v>
      </c>
      <c r="P109" t="s">
        <v>287</v>
      </c>
      <c r="R109" t="s">
        <v>714</v>
      </c>
      <c r="S109">
        <v>45800</v>
      </c>
      <c r="T109">
        <v>45800</v>
      </c>
      <c r="U109" t="s">
        <v>287</v>
      </c>
      <c r="W109" t="s">
        <v>441</v>
      </c>
      <c r="X109">
        <v>45800</v>
      </c>
    </row>
    <row r="110" spans="1:28">
      <c r="A110">
        <v>1</v>
      </c>
      <c r="B110" t="s">
        <v>379</v>
      </c>
      <c r="C110">
        <v>45807</v>
      </c>
      <c r="D110">
        <v>45820</v>
      </c>
      <c r="E110" t="s">
        <v>130</v>
      </c>
      <c r="F110" t="s">
        <v>275</v>
      </c>
      <c r="G110">
        <v>25162</v>
      </c>
      <c r="H110" t="s">
        <v>689</v>
      </c>
      <c r="I110" t="s">
        <v>295</v>
      </c>
      <c r="J110">
        <v>3</v>
      </c>
      <c r="K110">
        <v>3</v>
      </c>
      <c r="L110">
        <v>12</v>
      </c>
      <c r="M110" t="s">
        <v>690</v>
      </c>
      <c r="N110" t="s">
        <v>287</v>
      </c>
      <c r="R110" t="s">
        <v>691</v>
      </c>
      <c r="S110">
        <v>45811</v>
      </c>
      <c r="T110">
        <v>45811</v>
      </c>
      <c r="U110" t="s">
        <v>287</v>
      </c>
      <c r="W110" t="s">
        <v>441</v>
      </c>
      <c r="X110">
        <v>45811</v>
      </c>
    </row>
    <row r="111" spans="1:28">
      <c r="A111">
        <v>2</v>
      </c>
      <c r="B111" t="s">
        <v>379</v>
      </c>
      <c r="C111">
        <v>45807</v>
      </c>
      <c r="D111">
        <v>45820</v>
      </c>
      <c r="E111" t="s">
        <v>130</v>
      </c>
      <c r="F111" t="s">
        <v>272</v>
      </c>
      <c r="G111">
        <v>48350</v>
      </c>
      <c r="H111" t="s">
        <v>692</v>
      </c>
      <c r="I111" t="s">
        <v>280</v>
      </c>
      <c r="J111">
        <v>2</v>
      </c>
      <c r="K111">
        <v>2</v>
      </c>
      <c r="L111">
        <v>10</v>
      </c>
    </row>
    <row r="112" spans="1:28">
      <c r="A112">
        <v>3</v>
      </c>
      <c r="B112" t="s">
        <v>379</v>
      </c>
      <c r="C112">
        <v>45807</v>
      </c>
      <c r="D112">
        <v>45820</v>
      </c>
      <c r="E112" t="s">
        <v>693</v>
      </c>
      <c r="F112" t="s">
        <v>417</v>
      </c>
      <c r="G112">
        <v>25295</v>
      </c>
      <c r="H112" s="43" t="s">
        <v>683</v>
      </c>
      <c r="I112" t="s">
        <v>694</v>
      </c>
      <c r="J112">
        <v>5</v>
      </c>
      <c r="K112">
        <v>2</v>
      </c>
      <c r="L112">
        <v>8</v>
      </c>
    </row>
    <row r="113" spans="1:28">
      <c r="A113">
        <v>4</v>
      </c>
      <c r="B113" t="s">
        <v>379</v>
      </c>
      <c r="C113">
        <v>45807</v>
      </c>
      <c r="D113">
        <v>45820</v>
      </c>
      <c r="E113" t="s">
        <v>130</v>
      </c>
      <c r="F113" t="s">
        <v>695</v>
      </c>
      <c r="G113">
        <v>48533</v>
      </c>
      <c r="H113" t="s">
        <v>696</v>
      </c>
      <c r="I113" t="s">
        <v>280</v>
      </c>
      <c r="J113">
        <v>13</v>
      </c>
      <c r="K113">
        <v>13</v>
      </c>
      <c r="L113">
        <v>46</v>
      </c>
      <c r="AB113" t="s">
        <v>697</v>
      </c>
    </row>
    <row r="114" spans="1:28">
      <c r="A114">
        <v>5</v>
      </c>
      <c r="B114" t="s">
        <v>379</v>
      </c>
      <c r="C114">
        <v>45807</v>
      </c>
      <c r="D114">
        <v>45820</v>
      </c>
      <c r="E114" t="s">
        <v>693</v>
      </c>
      <c r="F114" t="s">
        <v>287</v>
      </c>
      <c r="G114">
        <v>48145</v>
      </c>
      <c r="H114" t="s">
        <v>698</v>
      </c>
      <c r="I114" t="s">
        <v>274</v>
      </c>
      <c r="J114">
        <v>13</v>
      </c>
      <c r="K114">
        <v>7</v>
      </c>
      <c r="L114">
        <v>29</v>
      </c>
    </row>
    <row r="115" spans="1:28">
      <c r="A115">
        <v>1</v>
      </c>
      <c r="B115" t="s">
        <v>379</v>
      </c>
      <c r="C115">
        <v>45821</v>
      </c>
      <c r="D115">
        <v>45834</v>
      </c>
      <c r="E115" t="s">
        <v>132</v>
      </c>
      <c r="F115" t="s">
        <v>275</v>
      </c>
      <c r="G115">
        <v>48685</v>
      </c>
      <c r="H115" s="43" t="s">
        <v>676</v>
      </c>
      <c r="I115" t="s">
        <v>280</v>
      </c>
      <c r="J115">
        <v>2</v>
      </c>
      <c r="K115">
        <v>2</v>
      </c>
      <c r="L115">
        <v>7</v>
      </c>
      <c r="M115" t="s">
        <v>13</v>
      </c>
      <c r="N115" t="s">
        <v>272</v>
      </c>
      <c r="P115" t="s">
        <v>287</v>
      </c>
      <c r="R115" t="s">
        <v>677</v>
      </c>
      <c r="S115">
        <v>45824</v>
      </c>
      <c r="T115">
        <v>45825</v>
      </c>
      <c r="U115" t="s">
        <v>287</v>
      </c>
      <c r="W115" t="s">
        <v>441</v>
      </c>
      <c r="X115">
        <v>45825</v>
      </c>
    </row>
    <row r="116" spans="1:28">
      <c r="A116">
        <v>2</v>
      </c>
      <c r="B116" t="s">
        <v>379</v>
      </c>
      <c r="C116">
        <v>45821</v>
      </c>
      <c r="D116">
        <v>45834</v>
      </c>
      <c r="E116" t="s">
        <v>678</v>
      </c>
      <c r="F116" t="s">
        <v>272</v>
      </c>
      <c r="G116">
        <v>48735</v>
      </c>
      <c r="H116" t="s">
        <v>655</v>
      </c>
      <c r="I116" t="s">
        <v>274</v>
      </c>
      <c r="J116">
        <v>13</v>
      </c>
      <c r="K116">
        <v>5</v>
      </c>
      <c r="L116">
        <v>20</v>
      </c>
    </row>
    <row r="117" spans="1:28">
      <c r="A117">
        <v>3</v>
      </c>
      <c r="B117" t="s">
        <v>379</v>
      </c>
      <c r="C117">
        <v>45821</v>
      </c>
      <c r="D117">
        <v>45834</v>
      </c>
      <c r="E117" t="s">
        <v>132</v>
      </c>
      <c r="F117" t="s">
        <v>275</v>
      </c>
      <c r="G117" t="s">
        <v>679</v>
      </c>
      <c r="H117" t="s">
        <v>680</v>
      </c>
      <c r="I117" t="s">
        <v>280</v>
      </c>
      <c r="J117">
        <v>3</v>
      </c>
      <c r="K117">
        <v>3</v>
      </c>
      <c r="L117">
        <v>12</v>
      </c>
      <c r="M117" t="s">
        <v>13</v>
      </c>
      <c r="N117" t="s">
        <v>272</v>
      </c>
      <c r="P117" t="s">
        <v>287</v>
      </c>
      <c r="R117" t="s">
        <v>681</v>
      </c>
      <c r="S117">
        <v>45832</v>
      </c>
      <c r="T117">
        <v>45833</v>
      </c>
      <c r="U117" t="s">
        <v>287</v>
      </c>
      <c r="W117" t="s">
        <v>441</v>
      </c>
      <c r="X117">
        <v>45833</v>
      </c>
    </row>
    <row r="118" spans="1:28">
      <c r="A118">
        <v>4</v>
      </c>
      <c r="B118" t="s">
        <v>379</v>
      </c>
      <c r="C118">
        <v>45821</v>
      </c>
      <c r="D118">
        <v>45834</v>
      </c>
      <c r="E118" t="s">
        <v>132</v>
      </c>
      <c r="F118" t="s">
        <v>275</v>
      </c>
      <c r="G118" t="s">
        <v>650</v>
      </c>
      <c r="H118" t="s">
        <v>651</v>
      </c>
      <c r="I118" t="s">
        <v>428</v>
      </c>
      <c r="J118">
        <v>3</v>
      </c>
      <c r="K118">
        <v>3</v>
      </c>
      <c r="L118">
        <v>12</v>
      </c>
      <c r="M118" t="s">
        <v>13</v>
      </c>
      <c r="N118" t="s">
        <v>272</v>
      </c>
      <c r="P118" t="s">
        <v>287</v>
      </c>
      <c r="R118" t="s">
        <v>682</v>
      </c>
      <c r="S118">
        <v>45833</v>
      </c>
      <c r="U118" t="s">
        <v>287</v>
      </c>
      <c r="W118" t="s">
        <v>441</v>
      </c>
      <c r="AB118" t="s">
        <v>653</v>
      </c>
    </row>
    <row r="119" spans="1:28">
      <c r="A119">
        <v>5</v>
      </c>
      <c r="B119" t="s">
        <v>379</v>
      </c>
      <c r="C119">
        <v>45821</v>
      </c>
      <c r="D119">
        <v>45834</v>
      </c>
      <c r="E119" t="s">
        <v>132</v>
      </c>
      <c r="F119" t="s">
        <v>417</v>
      </c>
      <c r="G119">
        <v>25295</v>
      </c>
      <c r="H119" s="43" t="s">
        <v>683</v>
      </c>
      <c r="I119" t="s">
        <v>295</v>
      </c>
      <c r="J119">
        <v>3</v>
      </c>
      <c r="K119">
        <v>5</v>
      </c>
      <c r="L119">
        <v>21.5</v>
      </c>
      <c r="M119" t="s">
        <v>13</v>
      </c>
      <c r="N119" t="s">
        <v>287</v>
      </c>
      <c r="P119" t="s">
        <v>287</v>
      </c>
      <c r="Q119" t="s">
        <v>684</v>
      </c>
      <c r="R119" t="s">
        <v>685</v>
      </c>
      <c r="S119">
        <v>45831</v>
      </c>
      <c r="T119">
        <v>45831</v>
      </c>
      <c r="U119" t="s">
        <v>287</v>
      </c>
      <c r="W119" t="s">
        <v>441</v>
      </c>
      <c r="X119">
        <v>45831</v>
      </c>
    </row>
    <row r="120" spans="1:28">
      <c r="A120">
        <v>6</v>
      </c>
      <c r="B120" t="s">
        <v>379</v>
      </c>
      <c r="C120">
        <v>45821</v>
      </c>
      <c r="D120">
        <v>45834</v>
      </c>
      <c r="E120" t="s">
        <v>678</v>
      </c>
      <c r="F120" t="s">
        <v>686</v>
      </c>
      <c r="G120">
        <v>48145</v>
      </c>
      <c r="H120" t="s">
        <v>687</v>
      </c>
      <c r="I120" t="s">
        <v>280</v>
      </c>
      <c r="J120">
        <v>13</v>
      </c>
      <c r="K120">
        <v>17</v>
      </c>
      <c r="L120">
        <v>67</v>
      </c>
      <c r="M120" t="s">
        <v>13</v>
      </c>
      <c r="N120" t="s">
        <v>623</v>
      </c>
      <c r="P120" t="s">
        <v>275</v>
      </c>
      <c r="R120" t="s">
        <v>688</v>
      </c>
      <c r="S120">
        <v>45833</v>
      </c>
      <c r="T120">
        <v>45833</v>
      </c>
      <c r="U120" t="s">
        <v>287</v>
      </c>
      <c r="W120" t="s">
        <v>441</v>
      </c>
      <c r="X120">
        <v>45834</v>
      </c>
    </row>
    <row r="121" spans="1:28">
      <c r="A121">
        <v>1</v>
      </c>
      <c r="B121" t="s">
        <v>379</v>
      </c>
      <c r="C121">
        <v>45835</v>
      </c>
      <c r="D121">
        <v>45848</v>
      </c>
      <c r="E121" t="s">
        <v>135</v>
      </c>
      <c r="F121" t="s">
        <v>275</v>
      </c>
      <c r="G121" t="s">
        <v>650</v>
      </c>
      <c r="H121" t="s">
        <v>651</v>
      </c>
      <c r="I121" t="s">
        <v>280</v>
      </c>
      <c r="J121">
        <v>3</v>
      </c>
      <c r="K121">
        <v>3</v>
      </c>
      <c r="L121">
        <v>15</v>
      </c>
      <c r="M121" t="s">
        <v>13</v>
      </c>
      <c r="N121" t="s">
        <v>272</v>
      </c>
      <c r="P121" t="s">
        <v>287</v>
      </c>
      <c r="R121" t="s">
        <v>652</v>
      </c>
      <c r="S121">
        <v>45845</v>
      </c>
      <c r="T121">
        <v>45845</v>
      </c>
      <c r="U121" t="s">
        <v>287</v>
      </c>
      <c r="W121" t="s">
        <v>466</v>
      </c>
      <c r="X121">
        <v>45845</v>
      </c>
      <c r="AB121" t="s">
        <v>653</v>
      </c>
    </row>
    <row r="122" spans="1:28">
      <c r="A122">
        <v>2</v>
      </c>
      <c r="B122" t="s">
        <v>379</v>
      </c>
      <c r="C122">
        <v>45835</v>
      </c>
      <c r="D122">
        <v>45848</v>
      </c>
      <c r="E122" t="s">
        <v>654</v>
      </c>
      <c r="F122" t="s">
        <v>272</v>
      </c>
      <c r="G122">
        <v>48735</v>
      </c>
      <c r="H122" t="s">
        <v>655</v>
      </c>
      <c r="I122" t="s">
        <v>280</v>
      </c>
      <c r="J122">
        <v>8</v>
      </c>
      <c r="K122">
        <v>8</v>
      </c>
      <c r="L122">
        <v>30</v>
      </c>
      <c r="M122" t="s">
        <v>448</v>
      </c>
      <c r="N122" t="s">
        <v>272</v>
      </c>
      <c r="P122" t="s">
        <v>283</v>
      </c>
      <c r="R122" t="s">
        <v>656</v>
      </c>
      <c r="S122">
        <v>45845</v>
      </c>
      <c r="U122" t="s">
        <v>409</v>
      </c>
      <c r="W122" t="s">
        <v>283</v>
      </c>
    </row>
    <row r="123" spans="1:28">
      <c r="A123">
        <v>3</v>
      </c>
      <c r="B123" t="s">
        <v>379</v>
      </c>
      <c r="C123">
        <v>45835</v>
      </c>
      <c r="D123">
        <v>45848</v>
      </c>
      <c r="E123" t="s">
        <v>135</v>
      </c>
      <c r="F123" t="s">
        <v>657</v>
      </c>
      <c r="G123">
        <v>25483</v>
      </c>
      <c r="H123" t="s">
        <v>658</v>
      </c>
      <c r="I123" t="s">
        <v>295</v>
      </c>
      <c r="J123">
        <v>2</v>
      </c>
      <c r="K123">
        <v>3</v>
      </c>
      <c r="L123">
        <v>15</v>
      </c>
      <c r="M123" t="s">
        <v>13</v>
      </c>
      <c r="N123" t="s">
        <v>272</v>
      </c>
      <c r="P123" t="s">
        <v>287</v>
      </c>
      <c r="R123" t="s">
        <v>659</v>
      </c>
      <c r="S123">
        <v>45835</v>
      </c>
      <c r="T123">
        <v>45839</v>
      </c>
      <c r="U123" t="s">
        <v>287</v>
      </c>
      <c r="W123" t="s">
        <v>441</v>
      </c>
      <c r="X123">
        <v>45839</v>
      </c>
    </row>
    <row r="124" spans="1:28">
      <c r="A124">
        <v>4</v>
      </c>
      <c r="B124" t="s">
        <v>379</v>
      </c>
      <c r="C124">
        <v>45835</v>
      </c>
      <c r="D124">
        <v>45848</v>
      </c>
      <c r="E124" t="s">
        <v>135</v>
      </c>
      <c r="F124" t="s">
        <v>275</v>
      </c>
      <c r="G124">
        <v>48502</v>
      </c>
      <c r="H124" t="s">
        <v>660</v>
      </c>
      <c r="I124" t="s">
        <v>280</v>
      </c>
      <c r="J124">
        <v>5</v>
      </c>
      <c r="K124">
        <v>5</v>
      </c>
      <c r="L124">
        <v>19</v>
      </c>
      <c r="M124" t="s">
        <v>13</v>
      </c>
      <c r="N124" t="s">
        <v>272</v>
      </c>
      <c r="P124" t="s">
        <v>287</v>
      </c>
      <c r="R124" t="s">
        <v>661</v>
      </c>
      <c r="S124">
        <v>45845</v>
      </c>
      <c r="T124">
        <v>45845</v>
      </c>
      <c r="U124" t="s">
        <v>287</v>
      </c>
      <c r="W124" t="s">
        <v>288</v>
      </c>
      <c r="X124">
        <v>45845</v>
      </c>
    </row>
    <row r="125" spans="1:28">
      <c r="A125">
        <v>5</v>
      </c>
      <c r="B125" t="s">
        <v>379</v>
      </c>
      <c r="C125">
        <v>45835</v>
      </c>
      <c r="D125">
        <v>45848</v>
      </c>
      <c r="E125" t="s">
        <v>654</v>
      </c>
      <c r="F125" t="s">
        <v>657</v>
      </c>
      <c r="G125">
        <v>48383</v>
      </c>
      <c r="H125" t="s">
        <v>663</v>
      </c>
      <c r="I125" t="s">
        <v>280</v>
      </c>
      <c r="J125">
        <v>5</v>
      </c>
      <c r="K125">
        <v>7</v>
      </c>
      <c r="L125">
        <v>29</v>
      </c>
      <c r="M125" t="s">
        <v>13</v>
      </c>
      <c r="N125" t="s">
        <v>272</v>
      </c>
      <c r="P125" t="s">
        <v>287</v>
      </c>
      <c r="R125" t="s">
        <v>664</v>
      </c>
      <c r="S125">
        <v>45845</v>
      </c>
      <c r="T125">
        <v>45847</v>
      </c>
      <c r="U125" t="s">
        <v>287</v>
      </c>
      <c r="W125" t="s">
        <v>441</v>
      </c>
      <c r="X125">
        <v>45847</v>
      </c>
    </row>
    <row r="126" spans="1:28">
      <c r="A126">
        <v>1</v>
      </c>
      <c r="B126" t="s">
        <v>379</v>
      </c>
      <c r="C126">
        <v>45849</v>
      </c>
      <c r="D126">
        <v>45862</v>
      </c>
      <c r="E126" t="s">
        <v>139</v>
      </c>
      <c r="F126" t="s">
        <v>275</v>
      </c>
      <c r="G126">
        <v>48732</v>
      </c>
      <c r="H126" t="s">
        <v>622</v>
      </c>
      <c r="I126" t="s">
        <v>280</v>
      </c>
      <c r="J126">
        <v>3</v>
      </c>
      <c r="K126">
        <v>3</v>
      </c>
      <c r="L126">
        <v>10</v>
      </c>
      <c r="M126">
        <v>45855</v>
      </c>
      <c r="N126">
        <v>45859</v>
      </c>
      <c r="O126" t="s">
        <v>13</v>
      </c>
      <c r="P126" t="s">
        <v>634</v>
      </c>
      <c r="R126" t="s">
        <v>634</v>
      </c>
      <c r="T126" t="s">
        <v>635</v>
      </c>
      <c r="U126">
        <v>45859</v>
      </c>
      <c r="V126">
        <v>45860</v>
      </c>
      <c r="W126" t="s">
        <v>287</v>
      </c>
      <c r="Y126" t="s">
        <v>466</v>
      </c>
      <c r="Z126">
        <v>45860</v>
      </c>
    </row>
    <row r="127" spans="1:28">
      <c r="A127">
        <v>2</v>
      </c>
      <c r="B127" t="s">
        <v>379</v>
      </c>
      <c r="C127">
        <v>45849</v>
      </c>
      <c r="D127">
        <v>45862</v>
      </c>
      <c r="E127" t="s">
        <v>139</v>
      </c>
      <c r="F127" t="s">
        <v>272</v>
      </c>
      <c r="G127">
        <v>49162</v>
      </c>
      <c r="H127" t="s">
        <v>637</v>
      </c>
      <c r="I127" t="s">
        <v>280</v>
      </c>
      <c r="J127">
        <v>5</v>
      </c>
      <c r="K127">
        <v>5</v>
      </c>
      <c r="L127">
        <v>20</v>
      </c>
      <c r="M127" t="s">
        <v>448</v>
      </c>
      <c r="N127" t="s">
        <v>448</v>
      </c>
      <c r="O127" t="s">
        <v>448</v>
      </c>
    </row>
    <row r="128" spans="1:28">
      <c r="A128">
        <v>3</v>
      </c>
      <c r="B128" t="s">
        <v>379</v>
      </c>
      <c r="C128">
        <v>45849</v>
      </c>
      <c r="D128">
        <v>45862</v>
      </c>
      <c r="E128" t="s">
        <v>638</v>
      </c>
      <c r="F128" t="s">
        <v>417</v>
      </c>
      <c r="G128">
        <v>24962</v>
      </c>
      <c r="H128" s="43" t="s">
        <v>639</v>
      </c>
      <c r="I128" t="s">
        <v>640</v>
      </c>
      <c r="J128">
        <v>3</v>
      </c>
      <c r="M128" t="s">
        <v>448</v>
      </c>
      <c r="N128" t="s">
        <v>448</v>
      </c>
      <c r="O128" t="s">
        <v>448</v>
      </c>
    </row>
    <row r="129" spans="1:27">
      <c r="A129">
        <v>4</v>
      </c>
      <c r="B129" t="s">
        <v>379</v>
      </c>
      <c r="C129">
        <v>45849</v>
      </c>
      <c r="D129">
        <v>45862</v>
      </c>
      <c r="E129" t="s">
        <v>139</v>
      </c>
      <c r="F129" t="s">
        <v>417</v>
      </c>
      <c r="G129">
        <v>49166</v>
      </c>
      <c r="H129" s="43" t="s">
        <v>641</v>
      </c>
      <c r="I129" t="s">
        <v>280</v>
      </c>
      <c r="J129">
        <v>2</v>
      </c>
      <c r="K129">
        <v>3</v>
      </c>
      <c r="L129">
        <v>14</v>
      </c>
      <c r="M129" t="s">
        <v>448</v>
      </c>
      <c r="N129" t="s">
        <v>448</v>
      </c>
      <c r="O129" t="s">
        <v>448</v>
      </c>
    </row>
    <row r="130" spans="1:27">
      <c r="A130">
        <v>5</v>
      </c>
      <c r="B130" t="s">
        <v>379</v>
      </c>
      <c r="C130">
        <v>45849</v>
      </c>
      <c r="D130">
        <v>45862</v>
      </c>
      <c r="E130" t="s">
        <v>139</v>
      </c>
      <c r="F130" t="s">
        <v>272</v>
      </c>
      <c r="G130">
        <v>49165</v>
      </c>
      <c r="H130" s="43" t="s">
        <v>642</v>
      </c>
      <c r="I130" t="s">
        <v>280</v>
      </c>
      <c r="J130">
        <v>8</v>
      </c>
      <c r="K130">
        <v>10</v>
      </c>
      <c r="L130">
        <v>44</v>
      </c>
      <c r="M130" t="s">
        <v>448</v>
      </c>
      <c r="N130" t="s">
        <v>448</v>
      </c>
      <c r="O130" t="s">
        <v>448</v>
      </c>
    </row>
    <row r="131" spans="1:27">
      <c r="A131">
        <v>6</v>
      </c>
      <c r="B131" t="s">
        <v>379</v>
      </c>
      <c r="C131">
        <v>45849</v>
      </c>
      <c r="D131">
        <v>45862</v>
      </c>
      <c r="E131" t="s">
        <v>638</v>
      </c>
      <c r="F131" t="s">
        <v>417</v>
      </c>
      <c r="G131">
        <v>49146</v>
      </c>
      <c r="H131" s="43" t="s">
        <v>644</v>
      </c>
      <c r="I131" t="s">
        <v>428</v>
      </c>
      <c r="J131">
        <v>3</v>
      </c>
      <c r="K131">
        <v>6</v>
      </c>
      <c r="L131">
        <v>22</v>
      </c>
      <c r="M131">
        <v>45859</v>
      </c>
      <c r="N131">
        <v>45862</v>
      </c>
      <c r="O131" t="s">
        <v>13</v>
      </c>
      <c r="P131" t="s">
        <v>287</v>
      </c>
      <c r="R131" t="s">
        <v>275</v>
      </c>
      <c r="T131" t="s">
        <v>645</v>
      </c>
      <c r="U131">
        <v>45861</v>
      </c>
      <c r="V131">
        <v>45861</v>
      </c>
      <c r="W131" t="s">
        <v>287</v>
      </c>
      <c r="Y131" t="s">
        <v>466</v>
      </c>
      <c r="Z131">
        <v>45862</v>
      </c>
    </row>
    <row r="132" spans="1:27">
      <c r="A132">
        <v>1</v>
      </c>
      <c r="B132" t="s">
        <v>379</v>
      </c>
      <c r="C132">
        <v>45863</v>
      </c>
      <c r="D132">
        <v>45876</v>
      </c>
      <c r="E132" t="s">
        <v>143</v>
      </c>
      <c r="F132" t="s">
        <v>275</v>
      </c>
      <c r="G132" t="s">
        <v>621</v>
      </c>
      <c r="H132" t="s">
        <v>622</v>
      </c>
      <c r="I132" t="s">
        <v>381</v>
      </c>
      <c r="J132">
        <v>5</v>
      </c>
      <c r="K132">
        <v>5</v>
      </c>
      <c r="L132">
        <v>20</v>
      </c>
      <c r="M132">
        <v>45866</v>
      </c>
      <c r="N132">
        <v>45873</v>
      </c>
      <c r="O132" t="s">
        <v>13</v>
      </c>
      <c r="P132" t="s">
        <v>623</v>
      </c>
      <c r="T132" t="s">
        <v>624</v>
      </c>
      <c r="U132">
        <v>45875</v>
      </c>
      <c r="V132">
        <v>45875</v>
      </c>
      <c r="W132" t="s">
        <v>287</v>
      </c>
      <c r="Y132" t="s">
        <v>466</v>
      </c>
      <c r="Z132">
        <v>45875</v>
      </c>
    </row>
    <row r="133" spans="1:27">
      <c r="A133">
        <v>2</v>
      </c>
      <c r="B133" t="s">
        <v>379</v>
      </c>
      <c r="C133">
        <v>45863</v>
      </c>
      <c r="D133">
        <v>45876</v>
      </c>
      <c r="E133" t="s">
        <v>626</v>
      </c>
      <c r="F133" t="s">
        <v>272</v>
      </c>
      <c r="G133">
        <v>49360</v>
      </c>
      <c r="H133" t="s">
        <v>627</v>
      </c>
      <c r="I133" t="s">
        <v>274</v>
      </c>
      <c r="J133">
        <v>5</v>
      </c>
      <c r="K133">
        <v>8</v>
      </c>
      <c r="L133">
        <v>35</v>
      </c>
      <c r="M133">
        <v>45868</v>
      </c>
      <c r="O133" t="s">
        <v>628</v>
      </c>
    </row>
    <row r="134" spans="1:27">
      <c r="A134">
        <v>3</v>
      </c>
      <c r="B134" t="s">
        <v>379</v>
      </c>
      <c r="C134">
        <v>45863</v>
      </c>
      <c r="D134">
        <v>45876</v>
      </c>
      <c r="E134" t="s">
        <v>626</v>
      </c>
      <c r="F134" t="s">
        <v>417</v>
      </c>
      <c r="G134">
        <v>49143</v>
      </c>
      <c r="H134" t="s">
        <v>630</v>
      </c>
      <c r="I134" t="s">
        <v>381</v>
      </c>
      <c r="J134">
        <v>5</v>
      </c>
      <c r="K134">
        <v>9</v>
      </c>
      <c r="L134">
        <v>43</v>
      </c>
      <c r="M134">
        <v>45868</v>
      </c>
      <c r="N134">
        <v>45876</v>
      </c>
      <c r="O134" t="s">
        <v>13</v>
      </c>
      <c r="P134" t="s">
        <v>275</v>
      </c>
      <c r="R134" t="s">
        <v>275</v>
      </c>
      <c r="T134" t="s">
        <v>631</v>
      </c>
      <c r="U134">
        <v>45875</v>
      </c>
      <c r="V134">
        <v>45876</v>
      </c>
      <c r="W134" t="s">
        <v>287</v>
      </c>
      <c r="Y134" t="s">
        <v>466</v>
      </c>
      <c r="Z134">
        <v>45876</v>
      </c>
    </row>
    <row r="135" spans="1:27">
      <c r="A135">
        <v>1</v>
      </c>
      <c r="B135" t="s">
        <v>379</v>
      </c>
      <c r="C135">
        <v>45877</v>
      </c>
      <c r="D135">
        <v>45890</v>
      </c>
      <c r="E135" t="s">
        <v>147</v>
      </c>
      <c r="F135" t="s">
        <v>275</v>
      </c>
      <c r="G135">
        <v>49499</v>
      </c>
      <c r="H135" t="s">
        <v>605</v>
      </c>
      <c r="I135" t="s">
        <v>280</v>
      </c>
      <c r="J135">
        <v>8</v>
      </c>
      <c r="K135">
        <v>8</v>
      </c>
      <c r="L135">
        <v>24</v>
      </c>
      <c r="M135">
        <v>45877</v>
      </c>
      <c r="N135">
        <v>45883</v>
      </c>
      <c r="O135" t="s">
        <v>13</v>
      </c>
      <c r="P135" t="s">
        <v>272</v>
      </c>
      <c r="R135" t="s">
        <v>287</v>
      </c>
      <c r="T135" t="s">
        <v>606</v>
      </c>
      <c r="U135">
        <v>45883</v>
      </c>
      <c r="V135">
        <v>45883</v>
      </c>
      <c r="W135" t="s">
        <v>287</v>
      </c>
      <c r="Y135" t="s">
        <v>466</v>
      </c>
      <c r="Z135">
        <v>45883</v>
      </c>
    </row>
    <row r="136" spans="1:27">
      <c r="A136">
        <v>2</v>
      </c>
      <c r="B136" t="s">
        <v>379</v>
      </c>
      <c r="C136">
        <v>45877</v>
      </c>
      <c r="D136">
        <v>45890</v>
      </c>
      <c r="E136" t="s">
        <v>1507</v>
      </c>
      <c r="F136" t="s">
        <v>417</v>
      </c>
      <c r="G136">
        <v>49514</v>
      </c>
      <c r="H136" t="s">
        <v>591</v>
      </c>
      <c r="I136" t="s">
        <v>381</v>
      </c>
      <c r="J136">
        <v>8</v>
      </c>
      <c r="K136">
        <v>11</v>
      </c>
      <c r="L136">
        <v>43</v>
      </c>
      <c r="M136">
        <v>45877</v>
      </c>
      <c r="N136" t="s">
        <v>609</v>
      </c>
      <c r="O136" t="s">
        <v>13</v>
      </c>
      <c r="P136" t="s">
        <v>329</v>
      </c>
      <c r="R136" t="s">
        <v>275</v>
      </c>
      <c r="S136" s="43" t="s">
        <v>592</v>
      </c>
      <c r="T136" t="s">
        <v>593</v>
      </c>
      <c r="U136">
        <v>45887</v>
      </c>
      <c r="V136">
        <v>45888</v>
      </c>
      <c r="W136" t="s">
        <v>287</v>
      </c>
      <c r="Y136" t="s">
        <v>466</v>
      </c>
      <c r="Z136">
        <v>45888</v>
      </c>
    </row>
    <row r="137" spans="1:27">
      <c r="A137">
        <v>3</v>
      </c>
      <c r="B137" t="s">
        <v>379</v>
      </c>
      <c r="C137">
        <v>45877</v>
      </c>
      <c r="D137">
        <v>45890</v>
      </c>
      <c r="E137" t="s">
        <v>1507</v>
      </c>
      <c r="F137" t="s">
        <v>272</v>
      </c>
      <c r="G137">
        <v>49360</v>
      </c>
      <c r="H137" t="s">
        <v>611</v>
      </c>
      <c r="I137" t="s">
        <v>280</v>
      </c>
      <c r="J137">
        <v>3</v>
      </c>
      <c r="K137">
        <v>5</v>
      </c>
      <c r="L137">
        <v>19</v>
      </c>
      <c r="M137">
        <v>45877</v>
      </c>
      <c r="N137">
        <v>45887</v>
      </c>
      <c r="O137" t="s">
        <v>13</v>
      </c>
      <c r="P137" t="s">
        <v>283</v>
      </c>
      <c r="R137" t="s">
        <v>283</v>
      </c>
      <c r="T137" t="s">
        <v>612</v>
      </c>
      <c r="U137">
        <v>45887</v>
      </c>
      <c r="V137">
        <v>45889</v>
      </c>
      <c r="W137" t="s">
        <v>409</v>
      </c>
      <c r="Y137" t="s">
        <v>283</v>
      </c>
      <c r="Z137">
        <v>45889</v>
      </c>
    </row>
    <row r="138" spans="1:27">
      <c r="A138">
        <v>3</v>
      </c>
      <c r="B138" t="s">
        <v>379</v>
      </c>
      <c r="C138">
        <v>45877</v>
      </c>
      <c r="D138">
        <v>45890</v>
      </c>
      <c r="E138" t="s">
        <v>1507</v>
      </c>
      <c r="F138" t="s">
        <v>272</v>
      </c>
      <c r="G138">
        <v>49361</v>
      </c>
      <c r="H138" t="s">
        <v>569</v>
      </c>
      <c r="I138" t="s">
        <v>274</v>
      </c>
      <c r="J138">
        <v>13</v>
      </c>
      <c r="M138">
        <v>45888</v>
      </c>
    </row>
    <row r="139" spans="1:27">
      <c r="A139">
        <v>4</v>
      </c>
      <c r="B139" t="s">
        <v>379</v>
      </c>
      <c r="C139">
        <v>45877</v>
      </c>
      <c r="D139">
        <v>45890</v>
      </c>
      <c r="E139" t="s">
        <v>1507</v>
      </c>
      <c r="F139" t="s">
        <v>417</v>
      </c>
      <c r="G139">
        <v>49528</v>
      </c>
      <c r="H139" t="s">
        <v>589</v>
      </c>
      <c r="I139" t="s">
        <v>274</v>
      </c>
      <c r="J139">
        <v>13</v>
      </c>
      <c r="M139" t="s">
        <v>613</v>
      </c>
    </row>
    <row r="140" spans="1:27">
      <c r="A140">
        <v>1</v>
      </c>
      <c r="B140" t="s">
        <v>379</v>
      </c>
      <c r="C140">
        <v>45891</v>
      </c>
      <c r="D140">
        <v>45904</v>
      </c>
      <c r="E140" t="s">
        <v>1508</v>
      </c>
      <c r="F140" t="s">
        <v>272</v>
      </c>
      <c r="G140">
        <v>49361</v>
      </c>
      <c r="H140" t="s">
        <v>569</v>
      </c>
      <c r="I140" t="s">
        <v>274</v>
      </c>
      <c r="J140">
        <v>13</v>
      </c>
      <c r="L140">
        <v>42</v>
      </c>
      <c r="M140">
        <v>45891</v>
      </c>
    </row>
    <row r="141" spans="1:27">
      <c r="A141">
        <v>2</v>
      </c>
      <c r="B141" t="s">
        <v>379</v>
      </c>
      <c r="C141">
        <v>45891</v>
      </c>
      <c r="D141">
        <v>45904</v>
      </c>
      <c r="E141" t="s">
        <v>1508</v>
      </c>
      <c r="F141" t="s">
        <v>417</v>
      </c>
      <c r="G141">
        <v>49528</v>
      </c>
      <c r="H141" t="s">
        <v>589</v>
      </c>
      <c r="I141" t="s">
        <v>274</v>
      </c>
      <c r="J141">
        <v>13</v>
      </c>
      <c r="L141">
        <v>31</v>
      </c>
      <c r="M141">
        <v>45891</v>
      </c>
    </row>
    <row r="142" spans="1:27">
      <c r="A142">
        <v>3</v>
      </c>
      <c r="B142" t="s">
        <v>379</v>
      </c>
      <c r="C142">
        <v>45891</v>
      </c>
      <c r="D142">
        <v>45904</v>
      </c>
      <c r="E142" t="s">
        <v>153</v>
      </c>
      <c r="F142" t="s">
        <v>417</v>
      </c>
      <c r="G142">
        <v>49514</v>
      </c>
      <c r="H142" t="s">
        <v>591</v>
      </c>
      <c r="I142" t="s">
        <v>280</v>
      </c>
      <c r="J142">
        <v>3</v>
      </c>
      <c r="K142">
        <v>5</v>
      </c>
      <c r="L142">
        <v>20</v>
      </c>
      <c r="O142" t="s">
        <v>13</v>
      </c>
      <c r="P142" t="s">
        <v>329</v>
      </c>
      <c r="R142" t="s">
        <v>275</v>
      </c>
      <c r="S142" s="43" t="s">
        <v>592</v>
      </c>
      <c r="T142" t="s">
        <v>593</v>
      </c>
      <c r="U142">
        <v>45887</v>
      </c>
      <c r="V142">
        <v>45888</v>
      </c>
      <c r="W142" t="s">
        <v>287</v>
      </c>
      <c r="Y142" t="s">
        <v>466</v>
      </c>
      <c r="Z142">
        <v>45888</v>
      </c>
    </row>
    <row r="143" spans="1:27">
      <c r="A143">
        <v>4</v>
      </c>
      <c r="B143" t="s">
        <v>379</v>
      </c>
      <c r="C143">
        <v>45891</v>
      </c>
      <c r="D143">
        <v>45904</v>
      </c>
      <c r="E143" t="s">
        <v>1508</v>
      </c>
      <c r="F143" t="s">
        <v>275</v>
      </c>
      <c r="G143">
        <v>49688</v>
      </c>
      <c r="H143" t="s">
        <v>556</v>
      </c>
      <c r="I143" t="s">
        <v>274</v>
      </c>
      <c r="J143">
        <v>13</v>
      </c>
      <c r="L143">
        <v>26</v>
      </c>
      <c r="M143">
        <v>45891</v>
      </c>
    </row>
    <row r="144" spans="1:27">
      <c r="A144">
        <v>5</v>
      </c>
      <c r="B144" t="s">
        <v>379</v>
      </c>
      <c r="C144">
        <v>45891</v>
      </c>
      <c r="D144">
        <v>45904</v>
      </c>
      <c r="E144" t="s">
        <v>1508</v>
      </c>
      <c r="F144" t="s">
        <v>595</v>
      </c>
      <c r="G144">
        <v>49498</v>
      </c>
      <c r="H144" t="s">
        <v>596</v>
      </c>
      <c r="I144" t="s">
        <v>280</v>
      </c>
      <c r="J144">
        <v>5</v>
      </c>
      <c r="K144">
        <v>5</v>
      </c>
      <c r="L144">
        <v>20</v>
      </c>
      <c r="M144">
        <v>45891</v>
      </c>
      <c r="O144" t="s">
        <v>13</v>
      </c>
      <c r="P144" t="s">
        <v>272</v>
      </c>
      <c r="R144" t="s">
        <v>275</v>
      </c>
      <c r="T144" t="s">
        <v>597</v>
      </c>
      <c r="U144">
        <v>45891</v>
      </c>
      <c r="V144">
        <v>45898</v>
      </c>
      <c r="Y144" t="s">
        <v>598</v>
      </c>
      <c r="Z144">
        <v>45903</v>
      </c>
      <c r="AA144" t="s">
        <v>599</v>
      </c>
    </row>
    <row r="145" spans="1:26">
      <c r="A145">
        <v>1</v>
      </c>
      <c r="B145" t="s">
        <v>379</v>
      </c>
      <c r="C145">
        <v>45905</v>
      </c>
      <c r="D145">
        <v>45918</v>
      </c>
      <c r="E145" t="s">
        <v>158</v>
      </c>
      <c r="F145" t="s">
        <v>275</v>
      </c>
      <c r="G145">
        <v>49688</v>
      </c>
      <c r="H145" t="s">
        <v>556</v>
      </c>
      <c r="I145" t="s">
        <v>381</v>
      </c>
      <c r="J145">
        <v>8</v>
      </c>
      <c r="K145">
        <v>7</v>
      </c>
      <c r="L145">
        <v>26</v>
      </c>
      <c r="M145">
        <v>45905</v>
      </c>
      <c r="N145">
        <v>45915</v>
      </c>
      <c r="O145" t="s">
        <v>13</v>
      </c>
      <c r="R145" t="s">
        <v>287</v>
      </c>
      <c r="T145" t="s">
        <v>557</v>
      </c>
      <c r="U145">
        <v>45915</v>
      </c>
      <c r="V145">
        <v>45916</v>
      </c>
      <c r="W145" t="s">
        <v>287</v>
      </c>
      <c r="Y145" t="s">
        <v>466</v>
      </c>
      <c r="Z145">
        <v>45916</v>
      </c>
    </row>
    <row r="146" spans="1:26">
      <c r="A146">
        <v>2</v>
      </c>
      <c r="B146" t="s">
        <v>379</v>
      </c>
      <c r="C146">
        <v>45905</v>
      </c>
      <c r="D146">
        <v>45918</v>
      </c>
      <c r="E146" t="s">
        <v>158</v>
      </c>
      <c r="F146" t="s">
        <v>287</v>
      </c>
      <c r="G146">
        <v>25841</v>
      </c>
      <c r="H146" s="43" t="s">
        <v>560</v>
      </c>
      <c r="I146" t="s">
        <v>280</v>
      </c>
      <c r="J146">
        <v>2</v>
      </c>
      <c r="K146">
        <v>2</v>
      </c>
      <c r="L146">
        <v>10</v>
      </c>
      <c r="M146" t="s">
        <v>561</v>
      </c>
      <c r="N146" t="s">
        <v>562</v>
      </c>
      <c r="O146" t="s">
        <v>13</v>
      </c>
      <c r="P146" t="s">
        <v>272</v>
      </c>
      <c r="R146" t="s">
        <v>563</v>
      </c>
      <c r="T146" t="s">
        <v>564</v>
      </c>
      <c r="U146" t="s">
        <v>565</v>
      </c>
      <c r="V146" t="s">
        <v>566</v>
      </c>
      <c r="W146" t="s">
        <v>441</v>
      </c>
      <c r="Y146" t="s">
        <v>567</v>
      </c>
      <c r="Z146" t="s">
        <v>566</v>
      </c>
    </row>
    <row r="147" spans="1:26">
      <c r="A147">
        <v>3</v>
      </c>
      <c r="B147" t="s">
        <v>379</v>
      </c>
      <c r="C147">
        <v>45905</v>
      </c>
      <c r="D147">
        <v>45918</v>
      </c>
      <c r="E147" t="s">
        <v>1509</v>
      </c>
      <c r="F147" t="s">
        <v>272</v>
      </c>
      <c r="G147">
        <v>49361</v>
      </c>
      <c r="H147" t="s">
        <v>569</v>
      </c>
      <c r="I147" t="s">
        <v>280</v>
      </c>
      <c r="J147">
        <v>3</v>
      </c>
      <c r="K147">
        <v>3</v>
      </c>
      <c r="L147">
        <v>12</v>
      </c>
      <c r="M147">
        <v>45905</v>
      </c>
      <c r="N147">
        <v>45908</v>
      </c>
      <c r="O147" t="s">
        <v>13</v>
      </c>
      <c r="P147" t="s">
        <v>272</v>
      </c>
      <c r="R147" t="s">
        <v>283</v>
      </c>
      <c r="T147" t="s">
        <v>570</v>
      </c>
      <c r="U147">
        <v>45908</v>
      </c>
      <c r="V147">
        <v>45908</v>
      </c>
      <c r="W147" t="s">
        <v>283</v>
      </c>
      <c r="Y147" t="s">
        <v>283</v>
      </c>
      <c r="Z147" t="s">
        <v>571</v>
      </c>
    </row>
    <row r="148" spans="1:26">
      <c r="A148">
        <v>4</v>
      </c>
      <c r="B148" t="s">
        <v>379</v>
      </c>
      <c r="C148">
        <v>45905</v>
      </c>
      <c r="D148">
        <v>45918</v>
      </c>
      <c r="E148" t="s">
        <v>1509</v>
      </c>
      <c r="F148" t="s">
        <v>417</v>
      </c>
      <c r="G148">
        <v>25710</v>
      </c>
      <c r="H148" s="43" t="s">
        <v>572</v>
      </c>
      <c r="I148" t="s">
        <v>280</v>
      </c>
      <c r="J148">
        <v>2</v>
      </c>
      <c r="K148">
        <v>3</v>
      </c>
      <c r="L148">
        <v>12</v>
      </c>
      <c r="M148">
        <v>45905</v>
      </c>
      <c r="N148">
        <v>45908</v>
      </c>
      <c r="O148" t="s">
        <v>13</v>
      </c>
      <c r="P148" t="s">
        <v>272</v>
      </c>
      <c r="R148" t="s">
        <v>275</v>
      </c>
      <c r="T148" t="s">
        <v>573</v>
      </c>
      <c r="U148">
        <v>45908</v>
      </c>
      <c r="V148">
        <v>45908</v>
      </c>
      <c r="W148" t="s">
        <v>287</v>
      </c>
      <c r="Y148" t="s">
        <v>441</v>
      </c>
      <c r="Z148">
        <v>45908</v>
      </c>
    </row>
    <row r="149" spans="1:26">
      <c r="A149">
        <v>5</v>
      </c>
      <c r="B149" t="s">
        <v>379</v>
      </c>
      <c r="C149">
        <v>45905</v>
      </c>
      <c r="D149">
        <v>45918</v>
      </c>
      <c r="E149" t="s">
        <v>1509</v>
      </c>
      <c r="F149" t="s">
        <v>417</v>
      </c>
      <c r="G149">
        <v>25709</v>
      </c>
      <c r="H149" s="43" t="s">
        <v>574</v>
      </c>
      <c r="I149" t="s">
        <v>280</v>
      </c>
      <c r="J149">
        <v>3</v>
      </c>
      <c r="K149">
        <v>4</v>
      </c>
      <c r="L149">
        <v>17</v>
      </c>
      <c r="M149" t="s">
        <v>571</v>
      </c>
      <c r="N149">
        <v>45909</v>
      </c>
      <c r="O149" t="s">
        <v>13</v>
      </c>
      <c r="P149" t="s">
        <v>272</v>
      </c>
      <c r="R149" t="s">
        <v>275</v>
      </c>
      <c r="T149" t="s">
        <v>575</v>
      </c>
      <c r="U149">
        <v>45909</v>
      </c>
      <c r="V149" t="s">
        <v>565</v>
      </c>
      <c r="W149" t="s">
        <v>287</v>
      </c>
      <c r="Y149" t="s">
        <v>441</v>
      </c>
      <c r="Z149" t="s">
        <v>576</v>
      </c>
    </row>
    <row r="150" spans="1:26">
      <c r="A150">
        <v>6</v>
      </c>
      <c r="B150" t="s">
        <v>379</v>
      </c>
      <c r="C150">
        <v>45905</v>
      </c>
      <c r="D150">
        <v>45918</v>
      </c>
      <c r="E150" t="s">
        <v>1509</v>
      </c>
      <c r="F150" t="s">
        <v>272</v>
      </c>
      <c r="G150">
        <v>49940</v>
      </c>
      <c r="H150" t="s">
        <v>536</v>
      </c>
      <c r="I150" t="s">
        <v>274</v>
      </c>
      <c r="J150">
        <v>8</v>
      </c>
      <c r="K150">
        <v>2</v>
      </c>
      <c r="L150">
        <v>8</v>
      </c>
      <c r="M150" t="s">
        <v>561</v>
      </c>
    </row>
    <row r="151" spans="1:26">
      <c r="A151">
        <v>7</v>
      </c>
      <c r="B151" t="s">
        <v>379</v>
      </c>
      <c r="C151">
        <v>45905</v>
      </c>
      <c r="D151">
        <v>45918</v>
      </c>
      <c r="E151" t="s">
        <v>1509</v>
      </c>
      <c r="F151" t="s">
        <v>287</v>
      </c>
      <c r="G151">
        <v>48712</v>
      </c>
      <c r="H151" t="s">
        <v>577</v>
      </c>
      <c r="I151" t="s">
        <v>280</v>
      </c>
      <c r="J151">
        <v>5</v>
      </c>
      <c r="K151">
        <v>5</v>
      </c>
      <c r="L151">
        <v>20</v>
      </c>
      <c r="M151" t="s">
        <v>571</v>
      </c>
      <c r="N151" t="s">
        <v>561</v>
      </c>
      <c r="O151" t="s">
        <v>275</v>
      </c>
      <c r="P151" t="s">
        <v>292</v>
      </c>
      <c r="R151" t="s">
        <v>275</v>
      </c>
      <c r="T151" t="s">
        <v>578</v>
      </c>
      <c r="U151" t="s">
        <v>571</v>
      </c>
      <c r="V151" t="s">
        <v>561</v>
      </c>
      <c r="W151" t="s">
        <v>441</v>
      </c>
      <c r="Y151" t="s">
        <v>441</v>
      </c>
      <c r="Z151" t="s">
        <v>561</v>
      </c>
    </row>
    <row r="152" spans="1:26">
      <c r="A152">
        <v>8</v>
      </c>
      <c r="B152" t="s">
        <v>379</v>
      </c>
      <c r="C152">
        <v>45905</v>
      </c>
      <c r="D152">
        <v>45918</v>
      </c>
      <c r="E152" t="s">
        <v>1509</v>
      </c>
      <c r="F152" t="s">
        <v>417</v>
      </c>
      <c r="G152">
        <v>25250</v>
      </c>
      <c r="H152" s="43" t="s">
        <v>542</v>
      </c>
      <c r="I152" t="s">
        <v>529</v>
      </c>
      <c r="J152">
        <v>3</v>
      </c>
      <c r="K152">
        <v>3</v>
      </c>
      <c r="L152">
        <v>12</v>
      </c>
      <c r="M152" t="s">
        <v>579</v>
      </c>
    </row>
    <row r="153" spans="1:26">
      <c r="A153">
        <v>1</v>
      </c>
      <c r="B153" t="s">
        <v>379</v>
      </c>
      <c r="C153">
        <v>45919</v>
      </c>
      <c r="D153">
        <v>45932</v>
      </c>
      <c r="E153" t="s">
        <v>162</v>
      </c>
      <c r="F153" t="s">
        <v>272</v>
      </c>
      <c r="G153">
        <v>50206</v>
      </c>
      <c r="H153" t="s">
        <v>540</v>
      </c>
      <c r="I153" t="s">
        <v>280</v>
      </c>
      <c r="J153">
        <v>8</v>
      </c>
      <c r="K153">
        <v>8</v>
      </c>
      <c r="L153">
        <v>40</v>
      </c>
      <c r="M153" t="s">
        <v>541</v>
      </c>
      <c r="N153" t="s">
        <v>541</v>
      </c>
      <c r="O153" t="s">
        <v>541</v>
      </c>
      <c r="P153" t="s">
        <v>541</v>
      </c>
      <c r="Q153" t="s">
        <v>541</v>
      </c>
      <c r="R153" t="s">
        <v>541</v>
      </c>
      <c r="S153" t="s">
        <v>541</v>
      </c>
      <c r="T153" t="s">
        <v>541</v>
      </c>
      <c r="U153" t="s">
        <v>541</v>
      </c>
      <c r="V153" t="s">
        <v>541</v>
      </c>
      <c r="W153" t="s">
        <v>541</v>
      </c>
      <c r="Y153" t="s">
        <v>541</v>
      </c>
      <c r="Z153" t="s">
        <v>541</v>
      </c>
    </row>
    <row r="154" spans="1:26">
      <c r="A154">
        <v>2</v>
      </c>
      <c r="B154" t="s">
        <v>379</v>
      </c>
      <c r="C154">
        <v>45919</v>
      </c>
      <c r="D154">
        <v>42279</v>
      </c>
      <c r="E154" t="s">
        <v>162</v>
      </c>
      <c r="F154" t="s">
        <v>417</v>
      </c>
      <c r="G154">
        <v>25250</v>
      </c>
      <c r="H154" s="43" t="s">
        <v>542</v>
      </c>
      <c r="I154" t="s">
        <v>280</v>
      </c>
      <c r="J154">
        <v>2</v>
      </c>
      <c r="K154">
        <v>4</v>
      </c>
      <c r="L154">
        <v>18</v>
      </c>
      <c r="M154">
        <v>45923</v>
      </c>
      <c r="N154">
        <v>45924</v>
      </c>
      <c r="O154" t="s">
        <v>287</v>
      </c>
      <c r="P154" t="s">
        <v>272</v>
      </c>
      <c r="R154" t="s">
        <v>275</v>
      </c>
      <c r="T154" t="s">
        <v>543</v>
      </c>
      <c r="U154">
        <v>45924</v>
      </c>
      <c r="V154">
        <v>45924</v>
      </c>
      <c r="W154" t="s">
        <v>441</v>
      </c>
      <c r="Y154" t="s">
        <v>441</v>
      </c>
      <c r="Z154">
        <v>45924</v>
      </c>
    </row>
    <row r="155" spans="1:26">
      <c r="A155">
        <v>3</v>
      </c>
      <c r="B155" t="s">
        <v>379</v>
      </c>
      <c r="C155">
        <v>45919</v>
      </c>
      <c r="D155">
        <v>45932</v>
      </c>
      <c r="E155" t="s">
        <v>162</v>
      </c>
      <c r="F155" t="s">
        <v>417</v>
      </c>
      <c r="G155">
        <v>50180</v>
      </c>
      <c r="H155" s="43" t="s">
        <v>544</v>
      </c>
      <c r="I155" t="s">
        <v>280</v>
      </c>
      <c r="J155">
        <v>3</v>
      </c>
      <c r="K155">
        <v>4</v>
      </c>
      <c r="L155">
        <v>15</v>
      </c>
      <c r="M155">
        <v>45923</v>
      </c>
      <c r="N155">
        <v>45924</v>
      </c>
      <c r="O155" t="s">
        <v>275</v>
      </c>
      <c r="P155" t="s">
        <v>545</v>
      </c>
      <c r="R155" t="s">
        <v>275</v>
      </c>
      <c r="T155" t="s">
        <v>546</v>
      </c>
      <c r="U155">
        <v>45924</v>
      </c>
      <c r="V155">
        <v>45924</v>
      </c>
      <c r="W155" t="s">
        <v>287</v>
      </c>
      <c r="Y155" t="s">
        <v>466</v>
      </c>
      <c r="Z155">
        <v>45924</v>
      </c>
    </row>
    <row r="156" spans="1:26">
      <c r="A156">
        <v>4</v>
      </c>
      <c r="B156" t="s">
        <v>379</v>
      </c>
      <c r="C156">
        <v>45919</v>
      </c>
      <c r="D156">
        <v>45932</v>
      </c>
      <c r="E156" t="s">
        <v>162</v>
      </c>
      <c r="F156" t="s">
        <v>287</v>
      </c>
      <c r="G156">
        <v>25967</v>
      </c>
      <c r="H156" t="s">
        <v>547</v>
      </c>
      <c r="I156" t="s">
        <v>280</v>
      </c>
      <c r="J156">
        <v>8</v>
      </c>
      <c r="K156">
        <v>8</v>
      </c>
      <c r="L156">
        <v>40</v>
      </c>
      <c r="M156">
        <v>45919</v>
      </c>
      <c r="N156">
        <v>45923</v>
      </c>
      <c r="O156" t="s">
        <v>275</v>
      </c>
      <c r="P156" t="s">
        <v>272</v>
      </c>
      <c r="R156" t="s">
        <v>275</v>
      </c>
      <c r="T156" t="s">
        <v>543</v>
      </c>
      <c r="U156">
        <v>45923</v>
      </c>
      <c r="V156">
        <v>45924</v>
      </c>
      <c r="W156" t="s">
        <v>441</v>
      </c>
      <c r="Y156" t="s">
        <v>441</v>
      </c>
      <c r="Z156">
        <v>45924</v>
      </c>
    </row>
    <row r="157" spans="1:26">
      <c r="A157">
        <v>5</v>
      </c>
      <c r="B157" t="s">
        <v>379</v>
      </c>
      <c r="C157">
        <v>45919</v>
      </c>
      <c r="D157">
        <v>45932</v>
      </c>
      <c r="E157" t="s">
        <v>162</v>
      </c>
      <c r="F157" t="s">
        <v>417</v>
      </c>
      <c r="G157">
        <v>50203</v>
      </c>
      <c r="H157" s="43" t="s">
        <v>548</v>
      </c>
      <c r="I157" t="s">
        <v>280</v>
      </c>
      <c r="J157">
        <v>5</v>
      </c>
      <c r="K157">
        <v>8</v>
      </c>
      <c r="L157">
        <v>31</v>
      </c>
      <c r="M157">
        <v>45924</v>
      </c>
      <c r="N157">
        <v>45926</v>
      </c>
      <c r="O157" t="s">
        <v>275</v>
      </c>
      <c r="P157" t="s">
        <v>272</v>
      </c>
      <c r="R157" t="s">
        <v>275</v>
      </c>
      <c r="T157" t="s">
        <v>549</v>
      </c>
      <c r="U157">
        <v>45926</v>
      </c>
      <c r="V157">
        <v>45926</v>
      </c>
      <c r="W157" t="s">
        <v>287</v>
      </c>
      <c r="Y157" t="s">
        <v>466</v>
      </c>
      <c r="Z157">
        <v>45926</v>
      </c>
    </row>
    <row r="158" spans="1:26">
      <c r="A158">
        <v>6</v>
      </c>
      <c r="B158" t="s">
        <v>379</v>
      </c>
      <c r="C158">
        <v>45919</v>
      </c>
      <c r="D158">
        <v>45932</v>
      </c>
      <c r="E158" t="s">
        <v>1510</v>
      </c>
      <c r="F158" t="s">
        <v>272</v>
      </c>
      <c r="G158">
        <v>49940</v>
      </c>
      <c r="H158" t="s">
        <v>536</v>
      </c>
      <c r="I158" t="s">
        <v>274</v>
      </c>
      <c r="J158">
        <v>8</v>
      </c>
      <c r="L158">
        <v>24</v>
      </c>
      <c r="M158">
        <v>45919</v>
      </c>
    </row>
    <row r="159" spans="1:26">
      <c r="A159">
        <v>7</v>
      </c>
      <c r="B159" t="s">
        <v>379</v>
      </c>
      <c r="C159">
        <v>45919</v>
      </c>
      <c r="D159">
        <v>45932</v>
      </c>
      <c r="E159" t="s">
        <v>1510</v>
      </c>
      <c r="F159" t="s">
        <v>275</v>
      </c>
      <c r="G159">
        <v>50168</v>
      </c>
      <c r="H159" t="s">
        <v>531</v>
      </c>
      <c r="I159" t="s">
        <v>274</v>
      </c>
      <c r="J159">
        <v>5</v>
      </c>
      <c r="L159">
        <v>6</v>
      </c>
      <c r="M159">
        <v>45924</v>
      </c>
    </row>
    <row r="160" spans="1:26">
      <c r="A160">
        <v>8</v>
      </c>
      <c r="B160" t="s">
        <v>379</v>
      </c>
      <c r="C160">
        <v>45919</v>
      </c>
      <c r="D160">
        <v>45932</v>
      </c>
      <c r="E160" t="s">
        <v>1510</v>
      </c>
      <c r="F160" t="s">
        <v>417</v>
      </c>
      <c r="G160">
        <v>50241</v>
      </c>
      <c r="H160" s="43" t="s">
        <v>551</v>
      </c>
      <c r="I160" t="s">
        <v>506</v>
      </c>
      <c r="J160">
        <v>3</v>
      </c>
      <c r="M160">
        <v>45929</v>
      </c>
      <c r="N160" t="s">
        <v>552</v>
      </c>
      <c r="O160" t="s">
        <v>275</v>
      </c>
      <c r="P160" t="s">
        <v>417</v>
      </c>
      <c r="R160" t="s">
        <v>275</v>
      </c>
      <c r="T160" t="s">
        <v>553</v>
      </c>
      <c r="U160">
        <v>45931</v>
      </c>
      <c r="W160" t="s">
        <v>287</v>
      </c>
      <c r="Y160" t="s">
        <v>466</v>
      </c>
    </row>
    <row r="161" spans="1:26">
      <c r="A161">
        <v>9</v>
      </c>
      <c r="B161" t="s">
        <v>379</v>
      </c>
      <c r="C161">
        <v>45919</v>
      </c>
      <c r="D161">
        <v>45932</v>
      </c>
      <c r="E161" t="s">
        <v>1510</v>
      </c>
      <c r="F161" t="s">
        <v>275</v>
      </c>
      <c r="G161">
        <v>50151</v>
      </c>
      <c r="H161" t="s">
        <v>516</v>
      </c>
      <c r="I161" t="s">
        <v>274</v>
      </c>
      <c r="J161">
        <v>8</v>
      </c>
      <c r="M161">
        <v>45919</v>
      </c>
    </row>
    <row r="162" spans="1:26">
      <c r="A162">
        <v>1</v>
      </c>
      <c r="B162" t="s">
        <v>379</v>
      </c>
      <c r="C162">
        <v>45933</v>
      </c>
      <c r="D162">
        <v>45946</v>
      </c>
      <c r="E162" t="s">
        <v>166</v>
      </c>
      <c r="F162" t="s">
        <v>275</v>
      </c>
      <c r="G162">
        <v>50168</v>
      </c>
      <c r="H162" t="s">
        <v>531</v>
      </c>
      <c r="I162" t="s">
        <v>280</v>
      </c>
      <c r="J162">
        <v>5</v>
      </c>
      <c r="K162">
        <v>5</v>
      </c>
      <c r="L162">
        <v>16</v>
      </c>
      <c r="M162">
        <v>45933</v>
      </c>
      <c r="N162">
        <v>45940</v>
      </c>
      <c r="O162" t="s">
        <v>275</v>
      </c>
      <c r="P162" t="s">
        <v>272</v>
      </c>
      <c r="R162" t="s">
        <v>287</v>
      </c>
      <c r="T162" t="s">
        <v>532</v>
      </c>
      <c r="U162">
        <v>45940</v>
      </c>
      <c r="V162">
        <v>45943</v>
      </c>
      <c r="W162" t="s">
        <v>287</v>
      </c>
      <c r="Y162" t="s">
        <v>518</v>
      </c>
      <c r="Z162">
        <v>45943</v>
      </c>
    </row>
    <row r="163" spans="1:26">
      <c r="A163">
        <v>2</v>
      </c>
      <c r="B163" t="s">
        <v>379</v>
      </c>
      <c r="C163">
        <v>45933</v>
      </c>
      <c r="D163">
        <v>45946</v>
      </c>
      <c r="E163" t="s">
        <v>166</v>
      </c>
      <c r="F163" t="s">
        <v>417</v>
      </c>
      <c r="G163">
        <v>50241</v>
      </c>
      <c r="H163" s="43" t="s">
        <v>533</v>
      </c>
      <c r="I163" t="s">
        <v>280</v>
      </c>
      <c r="J163">
        <v>3</v>
      </c>
      <c r="K163">
        <v>3</v>
      </c>
      <c r="L163">
        <v>12</v>
      </c>
      <c r="M163">
        <v>45943</v>
      </c>
      <c r="N163">
        <v>45944</v>
      </c>
      <c r="O163" t="s">
        <v>417</v>
      </c>
      <c r="P163" t="s">
        <v>275</v>
      </c>
      <c r="R163" t="s">
        <v>287</v>
      </c>
      <c r="T163" t="s">
        <v>534</v>
      </c>
      <c r="U163">
        <v>45944</v>
      </c>
      <c r="V163">
        <v>45944</v>
      </c>
      <c r="W163" t="s">
        <v>287</v>
      </c>
      <c r="Y163" t="s">
        <v>414</v>
      </c>
      <c r="Z163">
        <v>45944</v>
      </c>
    </row>
    <row r="164" spans="1:26">
      <c r="A164">
        <v>3</v>
      </c>
      <c r="B164" t="s">
        <v>379</v>
      </c>
      <c r="C164">
        <v>45933</v>
      </c>
      <c r="D164">
        <v>45946</v>
      </c>
      <c r="E164" t="s">
        <v>1511</v>
      </c>
      <c r="F164" t="s">
        <v>272</v>
      </c>
      <c r="G164">
        <v>49940</v>
      </c>
      <c r="H164" t="s">
        <v>536</v>
      </c>
      <c r="I164" t="s">
        <v>280</v>
      </c>
      <c r="J164">
        <v>5</v>
      </c>
      <c r="K164">
        <v>7</v>
      </c>
      <c r="L164">
        <v>28</v>
      </c>
      <c r="M164">
        <v>45933</v>
      </c>
      <c r="N164">
        <v>45940</v>
      </c>
      <c r="O164" t="s">
        <v>272</v>
      </c>
      <c r="P164" t="s">
        <v>272</v>
      </c>
      <c r="R164" t="s">
        <v>283</v>
      </c>
      <c r="T164" t="s">
        <v>525</v>
      </c>
      <c r="U164">
        <v>45940</v>
      </c>
      <c r="V164">
        <v>45945</v>
      </c>
      <c r="W164" t="s">
        <v>283</v>
      </c>
      <c r="Y164" t="s">
        <v>283</v>
      </c>
      <c r="Z164">
        <v>45945</v>
      </c>
    </row>
    <row r="165" spans="1:26">
      <c r="A165">
        <v>4</v>
      </c>
      <c r="B165" t="s">
        <v>379</v>
      </c>
      <c r="C165">
        <v>45933</v>
      </c>
      <c r="D165">
        <v>45946</v>
      </c>
      <c r="E165" t="s">
        <v>1511</v>
      </c>
      <c r="F165" t="s">
        <v>417</v>
      </c>
      <c r="G165">
        <v>50133</v>
      </c>
      <c r="H165" t="s">
        <v>537</v>
      </c>
      <c r="I165" t="s">
        <v>274</v>
      </c>
      <c r="J165">
        <v>8</v>
      </c>
      <c r="M165">
        <v>45933</v>
      </c>
    </row>
    <row r="166" spans="1:26">
      <c r="A166">
        <v>5</v>
      </c>
      <c r="B166" t="s">
        <v>379</v>
      </c>
      <c r="C166">
        <v>45933</v>
      </c>
      <c r="D166">
        <v>45946</v>
      </c>
      <c r="E166" t="s">
        <v>1511</v>
      </c>
      <c r="F166" t="s">
        <v>287</v>
      </c>
      <c r="G166">
        <v>50146</v>
      </c>
      <c r="H166" t="s">
        <v>538</v>
      </c>
      <c r="I166" t="s">
        <v>274</v>
      </c>
      <c r="J166">
        <v>13</v>
      </c>
      <c r="M166">
        <v>45933</v>
      </c>
    </row>
    <row r="167" spans="1:26">
      <c r="A167">
        <v>1</v>
      </c>
      <c r="B167" t="s">
        <v>379</v>
      </c>
      <c r="C167">
        <v>45947</v>
      </c>
      <c r="D167">
        <v>45960</v>
      </c>
      <c r="E167" t="s">
        <v>170</v>
      </c>
      <c r="F167" t="s">
        <v>275</v>
      </c>
      <c r="G167">
        <v>50151</v>
      </c>
      <c r="H167" t="s">
        <v>516</v>
      </c>
      <c r="I167" t="s">
        <v>280</v>
      </c>
      <c r="J167">
        <v>5</v>
      </c>
      <c r="K167">
        <v>8</v>
      </c>
      <c r="L167">
        <v>33</v>
      </c>
      <c r="M167">
        <v>45951</v>
      </c>
      <c r="N167">
        <v>45957</v>
      </c>
      <c r="O167" t="s">
        <v>13</v>
      </c>
      <c r="P167" t="s">
        <v>329</v>
      </c>
      <c r="T167" t="s">
        <v>517</v>
      </c>
      <c r="U167">
        <v>45957</v>
      </c>
      <c r="V167">
        <v>45957</v>
      </c>
      <c r="W167" t="s">
        <v>287</v>
      </c>
      <c r="Y167" t="s">
        <v>518</v>
      </c>
      <c r="Z167">
        <v>45957</v>
      </c>
    </row>
    <row r="168" spans="1:26">
      <c r="A168">
        <v>2</v>
      </c>
      <c r="B168" t="s">
        <v>379</v>
      </c>
      <c r="C168">
        <v>45947</v>
      </c>
      <c r="D168">
        <v>45960</v>
      </c>
      <c r="E168" t="s">
        <v>170</v>
      </c>
      <c r="F168" t="s">
        <v>417</v>
      </c>
      <c r="G168">
        <v>50133</v>
      </c>
      <c r="H168" s="43" t="s">
        <v>508</v>
      </c>
      <c r="I168" t="s">
        <v>381</v>
      </c>
      <c r="J168">
        <v>5</v>
      </c>
      <c r="K168">
        <v>5</v>
      </c>
      <c r="L168">
        <v>30</v>
      </c>
      <c r="M168">
        <v>45952</v>
      </c>
      <c r="N168">
        <v>45959</v>
      </c>
      <c r="O168" t="s">
        <v>13</v>
      </c>
      <c r="P168" t="s">
        <v>519</v>
      </c>
      <c r="R168" t="s">
        <v>287</v>
      </c>
      <c r="T168" t="s">
        <v>520</v>
      </c>
      <c r="U168">
        <v>45959</v>
      </c>
      <c r="V168">
        <v>45959</v>
      </c>
      <c r="W168" t="s">
        <v>287</v>
      </c>
      <c r="Y168" t="s">
        <v>518</v>
      </c>
      <c r="Z168">
        <v>45959</v>
      </c>
    </row>
    <row r="169" spans="1:26">
      <c r="A169">
        <v>3</v>
      </c>
      <c r="B169" t="s">
        <v>379</v>
      </c>
      <c r="C169">
        <v>45947</v>
      </c>
      <c r="D169">
        <v>45960</v>
      </c>
      <c r="E169" s="43" t="s">
        <v>522</v>
      </c>
      <c r="F169" t="s">
        <v>287</v>
      </c>
      <c r="G169">
        <v>50146</v>
      </c>
      <c r="H169" t="s">
        <v>523</v>
      </c>
      <c r="I169" t="s">
        <v>274</v>
      </c>
      <c r="J169">
        <v>13</v>
      </c>
      <c r="M169">
        <v>45947</v>
      </c>
    </row>
    <row r="170" spans="1:26">
      <c r="A170">
        <v>4</v>
      </c>
      <c r="B170" t="s">
        <v>379</v>
      </c>
      <c r="C170">
        <v>45947</v>
      </c>
      <c r="D170">
        <v>45960</v>
      </c>
      <c r="E170" s="43" t="s">
        <v>522</v>
      </c>
      <c r="F170" t="s">
        <v>272</v>
      </c>
      <c r="G170">
        <v>50474</v>
      </c>
      <c r="H170" t="s">
        <v>524</v>
      </c>
      <c r="I170" t="s">
        <v>280</v>
      </c>
      <c r="J170">
        <v>13</v>
      </c>
      <c r="K170">
        <v>10</v>
      </c>
      <c r="L170">
        <v>40</v>
      </c>
      <c r="M170">
        <v>45947</v>
      </c>
      <c r="N170">
        <v>45959</v>
      </c>
      <c r="O170" t="s">
        <v>13</v>
      </c>
      <c r="P170" t="s">
        <v>448</v>
      </c>
      <c r="R170" t="s">
        <v>409</v>
      </c>
      <c r="T170" t="s">
        <v>525</v>
      </c>
      <c r="U170">
        <v>45959</v>
      </c>
      <c r="V170">
        <v>45960</v>
      </c>
      <c r="W170" t="s">
        <v>409</v>
      </c>
      <c r="Y170" t="s">
        <v>448</v>
      </c>
    </row>
    <row r="171" spans="1:26">
      <c r="A171">
        <v>1</v>
      </c>
      <c r="B171" t="s">
        <v>379</v>
      </c>
      <c r="C171">
        <v>45961</v>
      </c>
      <c r="D171">
        <v>45974</v>
      </c>
      <c r="E171" s="43" t="s">
        <v>504</v>
      </c>
      <c r="F171" t="s">
        <v>272</v>
      </c>
      <c r="G171">
        <v>50670</v>
      </c>
      <c r="H171" t="s">
        <v>462</v>
      </c>
      <c r="I171" t="s">
        <v>280</v>
      </c>
      <c r="J171">
        <v>8</v>
      </c>
      <c r="K171">
        <v>8</v>
      </c>
      <c r="L171">
        <v>32</v>
      </c>
      <c r="M171">
        <v>45967</v>
      </c>
      <c r="N171">
        <v>45993</v>
      </c>
      <c r="O171" t="s">
        <v>272</v>
      </c>
      <c r="R171" t="s">
        <v>409</v>
      </c>
      <c r="T171" t="s">
        <v>501</v>
      </c>
      <c r="U171">
        <v>45993</v>
      </c>
      <c r="V171">
        <v>46000</v>
      </c>
      <c r="W171" t="s">
        <v>283</v>
      </c>
      <c r="Y171" t="s">
        <v>283</v>
      </c>
      <c r="Z171">
        <v>46000</v>
      </c>
    </row>
    <row r="172" spans="1:26">
      <c r="A172">
        <v>2</v>
      </c>
      <c r="B172" t="s">
        <v>379</v>
      </c>
      <c r="C172">
        <v>45961</v>
      </c>
      <c r="D172">
        <v>45974</v>
      </c>
      <c r="E172" t="s">
        <v>175</v>
      </c>
      <c r="F172" t="s">
        <v>275</v>
      </c>
      <c r="G172">
        <v>50132</v>
      </c>
      <c r="H172" t="s">
        <v>488</v>
      </c>
      <c r="I172" t="s">
        <v>506</v>
      </c>
      <c r="J172">
        <v>8</v>
      </c>
      <c r="K172">
        <v>10</v>
      </c>
      <c r="L172">
        <v>40</v>
      </c>
      <c r="M172">
        <v>45961</v>
      </c>
      <c r="N172">
        <v>45968</v>
      </c>
      <c r="O172" t="s">
        <v>13</v>
      </c>
      <c r="P172" t="s">
        <v>329</v>
      </c>
      <c r="R172" t="s">
        <v>287</v>
      </c>
      <c r="T172" t="s">
        <v>489</v>
      </c>
      <c r="U172">
        <v>45965</v>
      </c>
      <c r="V172">
        <v>45974</v>
      </c>
      <c r="W172" t="s">
        <v>287</v>
      </c>
      <c r="Y172" t="s">
        <v>490</v>
      </c>
      <c r="Z172">
        <v>45974</v>
      </c>
    </row>
    <row r="173" spans="1:26">
      <c r="A173">
        <v>3</v>
      </c>
      <c r="B173" t="s">
        <v>379</v>
      </c>
      <c r="C173">
        <v>45961</v>
      </c>
      <c r="D173">
        <v>45974</v>
      </c>
      <c r="E173" t="s">
        <v>175</v>
      </c>
      <c r="F173" t="s">
        <v>417</v>
      </c>
      <c r="G173">
        <v>50133</v>
      </c>
      <c r="H173" s="43" t="s">
        <v>508</v>
      </c>
      <c r="I173" t="s">
        <v>280</v>
      </c>
      <c r="J173">
        <v>2</v>
      </c>
      <c r="K173">
        <v>2</v>
      </c>
      <c r="L173">
        <v>6</v>
      </c>
      <c r="M173">
        <v>45961</v>
      </c>
      <c r="N173">
        <v>45961</v>
      </c>
      <c r="P173" t="s">
        <v>329</v>
      </c>
      <c r="R173" t="s">
        <v>275</v>
      </c>
      <c r="T173" t="s">
        <v>509</v>
      </c>
      <c r="U173">
        <v>45961</v>
      </c>
      <c r="V173">
        <v>45964</v>
      </c>
      <c r="W173" t="s">
        <v>287</v>
      </c>
      <c r="Y173" t="s">
        <v>490</v>
      </c>
      <c r="Z173">
        <v>45964</v>
      </c>
    </row>
    <row r="174" spans="1:26">
      <c r="A174">
        <v>4</v>
      </c>
      <c r="B174" t="s">
        <v>379</v>
      </c>
      <c r="C174">
        <v>45961</v>
      </c>
      <c r="D174">
        <v>45974</v>
      </c>
      <c r="E174" t="s">
        <v>175</v>
      </c>
      <c r="F174" t="s">
        <v>287</v>
      </c>
      <c r="G174">
        <v>50146</v>
      </c>
      <c r="H174" t="s">
        <v>510</v>
      </c>
      <c r="I174" t="s">
        <v>280</v>
      </c>
      <c r="J174">
        <v>4</v>
      </c>
      <c r="K174">
        <v>4</v>
      </c>
      <c r="L174">
        <v>24</v>
      </c>
      <c r="M174">
        <v>45961</v>
      </c>
      <c r="N174">
        <v>45969</v>
      </c>
      <c r="P174" t="s">
        <v>329</v>
      </c>
      <c r="R174" t="s">
        <v>275</v>
      </c>
      <c r="T174" t="s">
        <v>511</v>
      </c>
      <c r="U174">
        <v>45969</v>
      </c>
      <c r="V174">
        <v>45969</v>
      </c>
      <c r="W174" t="s">
        <v>512</v>
      </c>
      <c r="Y174" t="s">
        <v>466</v>
      </c>
      <c r="Z174">
        <v>45969</v>
      </c>
    </row>
    <row r="175" spans="1:26">
      <c r="A175">
        <v>5</v>
      </c>
      <c r="B175" t="s">
        <v>379</v>
      </c>
      <c r="C175">
        <v>45961</v>
      </c>
      <c r="D175">
        <v>45974</v>
      </c>
      <c r="E175" t="s">
        <v>175</v>
      </c>
      <c r="F175" t="s">
        <v>417</v>
      </c>
      <c r="G175">
        <v>50602</v>
      </c>
      <c r="H175" s="43" t="s">
        <v>513</v>
      </c>
      <c r="I175" t="s">
        <v>280</v>
      </c>
      <c r="J175">
        <v>3</v>
      </c>
      <c r="K175">
        <v>3</v>
      </c>
      <c r="L175">
        <v>12</v>
      </c>
      <c r="M175">
        <v>45964</v>
      </c>
      <c r="N175">
        <v>45966</v>
      </c>
      <c r="P175" t="s">
        <v>272</v>
      </c>
      <c r="R175" t="s">
        <v>287</v>
      </c>
      <c r="T175" t="s">
        <v>514</v>
      </c>
      <c r="U175">
        <v>45967</v>
      </c>
      <c r="V175">
        <v>45968</v>
      </c>
      <c r="W175" t="s">
        <v>287</v>
      </c>
      <c r="Y175" t="s">
        <v>441</v>
      </c>
      <c r="Z175">
        <v>45968</v>
      </c>
    </row>
    <row r="176" spans="1:26">
      <c r="A176">
        <v>6</v>
      </c>
      <c r="B176" t="s">
        <v>379</v>
      </c>
      <c r="C176">
        <v>45961</v>
      </c>
      <c r="D176">
        <v>45974</v>
      </c>
      <c r="E176" s="43" t="s">
        <v>504</v>
      </c>
      <c r="F176" t="s">
        <v>417</v>
      </c>
      <c r="G176">
        <v>50465</v>
      </c>
      <c r="H176" s="43" t="s">
        <v>491</v>
      </c>
      <c r="I176" t="s">
        <v>280</v>
      </c>
      <c r="J176">
        <v>13</v>
      </c>
      <c r="K176">
        <v>13</v>
      </c>
      <c r="L176">
        <v>52</v>
      </c>
      <c r="M176">
        <v>45967</v>
      </c>
      <c r="N176">
        <v>46000</v>
      </c>
      <c r="O176" t="s">
        <v>13</v>
      </c>
      <c r="P176" t="s">
        <v>329</v>
      </c>
      <c r="R176" t="s">
        <v>287</v>
      </c>
      <c r="U176">
        <v>46000</v>
      </c>
      <c r="V176">
        <v>46001</v>
      </c>
      <c r="W176" t="s">
        <v>287</v>
      </c>
      <c r="Y176" t="s">
        <v>441</v>
      </c>
      <c r="Z176">
        <v>46001</v>
      </c>
    </row>
    <row r="177" spans="1:26">
      <c r="A177">
        <v>1</v>
      </c>
      <c r="B177" t="s">
        <v>379</v>
      </c>
      <c r="C177">
        <v>45975</v>
      </c>
      <c r="D177">
        <v>46002</v>
      </c>
      <c r="E177" t="s">
        <v>179</v>
      </c>
      <c r="F177" t="s">
        <v>275</v>
      </c>
      <c r="G177">
        <v>50774</v>
      </c>
      <c r="H177" s="43" t="s">
        <v>479</v>
      </c>
      <c r="I177" t="s">
        <v>280</v>
      </c>
      <c r="J177">
        <v>2</v>
      </c>
      <c r="K177">
        <v>2</v>
      </c>
      <c r="L177">
        <v>8</v>
      </c>
      <c r="M177">
        <v>45975</v>
      </c>
      <c r="N177">
        <v>45978</v>
      </c>
      <c r="O177" t="s">
        <v>13</v>
      </c>
      <c r="P177" t="s">
        <v>329</v>
      </c>
      <c r="R177" t="s">
        <v>287</v>
      </c>
      <c r="T177" t="s">
        <v>480</v>
      </c>
      <c r="U177">
        <v>45978</v>
      </c>
      <c r="V177">
        <v>45978</v>
      </c>
      <c r="W177" t="s">
        <v>287</v>
      </c>
      <c r="Y177" t="s">
        <v>466</v>
      </c>
      <c r="Z177">
        <v>45978</v>
      </c>
    </row>
    <row r="178" spans="1:26">
      <c r="A178">
        <v>2</v>
      </c>
      <c r="B178" t="s">
        <v>379</v>
      </c>
      <c r="C178">
        <v>45975</v>
      </c>
      <c r="D178">
        <v>46002</v>
      </c>
      <c r="E178" t="s">
        <v>179</v>
      </c>
      <c r="F178" t="s">
        <v>482</v>
      </c>
      <c r="G178" t="s">
        <v>483</v>
      </c>
      <c r="H178" t="s">
        <v>484</v>
      </c>
      <c r="I178" t="s">
        <v>280</v>
      </c>
      <c r="J178">
        <v>13</v>
      </c>
      <c r="K178">
        <v>13</v>
      </c>
      <c r="L178">
        <v>52</v>
      </c>
      <c r="M178">
        <v>45975</v>
      </c>
      <c r="N178">
        <v>46001</v>
      </c>
      <c r="O178" t="s">
        <v>13</v>
      </c>
      <c r="P178" t="s">
        <v>448</v>
      </c>
      <c r="R178" t="s">
        <v>448</v>
      </c>
      <c r="T178" t="s">
        <v>448</v>
      </c>
    </row>
    <row r="179" spans="1:26">
      <c r="A179">
        <v>3</v>
      </c>
      <c r="B179" t="s">
        <v>379</v>
      </c>
      <c r="C179">
        <v>45975</v>
      </c>
      <c r="D179">
        <v>46002</v>
      </c>
      <c r="E179" t="s">
        <v>179</v>
      </c>
      <c r="F179" t="s">
        <v>287</v>
      </c>
      <c r="G179">
        <v>50463</v>
      </c>
      <c r="H179" t="s">
        <v>486</v>
      </c>
      <c r="I179" t="s">
        <v>280</v>
      </c>
      <c r="J179">
        <v>8</v>
      </c>
      <c r="K179">
        <v>8</v>
      </c>
      <c r="L179">
        <v>32</v>
      </c>
      <c r="M179">
        <v>45975</v>
      </c>
      <c r="N179">
        <v>45995</v>
      </c>
      <c r="O179" t="s">
        <v>13</v>
      </c>
      <c r="P179" t="s">
        <v>329</v>
      </c>
      <c r="R179" t="s">
        <v>448</v>
      </c>
      <c r="T179" t="s">
        <v>487</v>
      </c>
      <c r="U179">
        <v>45995</v>
      </c>
      <c r="V179">
        <v>45995</v>
      </c>
      <c r="W179" t="s">
        <v>287</v>
      </c>
      <c r="Y179" t="s">
        <v>466</v>
      </c>
      <c r="Z179">
        <v>45995</v>
      </c>
    </row>
    <row r="180" spans="1:26">
      <c r="A180">
        <v>4</v>
      </c>
      <c r="B180" t="s">
        <v>379</v>
      </c>
      <c r="C180">
        <v>45975</v>
      </c>
      <c r="D180">
        <v>46002</v>
      </c>
      <c r="E180" t="s">
        <v>179</v>
      </c>
      <c r="F180" t="s">
        <v>275</v>
      </c>
      <c r="G180">
        <v>50132</v>
      </c>
      <c r="H180" t="s">
        <v>488</v>
      </c>
      <c r="I180" t="s">
        <v>280</v>
      </c>
      <c r="J180">
        <v>3</v>
      </c>
      <c r="K180">
        <v>3</v>
      </c>
      <c r="L180">
        <v>12</v>
      </c>
      <c r="M180">
        <v>45965</v>
      </c>
      <c r="N180">
        <v>45974</v>
      </c>
      <c r="O180" t="s">
        <v>13</v>
      </c>
      <c r="P180" t="s">
        <v>337</v>
      </c>
      <c r="R180" t="s">
        <v>275</v>
      </c>
      <c r="T180" t="s">
        <v>489</v>
      </c>
      <c r="U180">
        <v>45965</v>
      </c>
      <c r="V180">
        <v>45974</v>
      </c>
      <c r="W180" t="s">
        <v>287</v>
      </c>
      <c r="Y180" t="s">
        <v>490</v>
      </c>
      <c r="Z180">
        <v>45974</v>
      </c>
    </row>
    <row r="181" spans="1:26">
      <c r="A181">
        <v>5</v>
      </c>
      <c r="B181" t="s">
        <v>379</v>
      </c>
      <c r="C181">
        <v>45975</v>
      </c>
      <c r="D181">
        <v>46002</v>
      </c>
      <c r="E181" t="s">
        <v>179</v>
      </c>
      <c r="F181" t="s">
        <v>417</v>
      </c>
      <c r="G181">
        <v>50465</v>
      </c>
      <c r="H181" s="43" t="s">
        <v>491</v>
      </c>
      <c r="I181" t="s">
        <v>280</v>
      </c>
      <c r="J181">
        <v>13</v>
      </c>
      <c r="K181">
        <v>13</v>
      </c>
      <c r="L181">
        <v>52</v>
      </c>
      <c r="M181">
        <v>45995</v>
      </c>
      <c r="N181">
        <v>45996</v>
      </c>
      <c r="O181" t="s">
        <v>13</v>
      </c>
      <c r="P181" t="s">
        <v>329</v>
      </c>
      <c r="R181" t="s">
        <v>275</v>
      </c>
      <c r="T181" t="s">
        <v>492</v>
      </c>
      <c r="U181">
        <v>45996</v>
      </c>
      <c r="V181">
        <v>45996</v>
      </c>
      <c r="W181" t="s">
        <v>287</v>
      </c>
      <c r="Y181" t="s">
        <v>466</v>
      </c>
      <c r="Z181">
        <v>45996</v>
      </c>
    </row>
    <row r="182" spans="1:26">
      <c r="A182">
        <v>6</v>
      </c>
      <c r="B182" t="s">
        <v>379</v>
      </c>
      <c r="C182">
        <v>45975</v>
      </c>
      <c r="D182">
        <v>46002</v>
      </c>
      <c r="E182" t="s">
        <v>1512</v>
      </c>
      <c r="F182" t="s">
        <v>275</v>
      </c>
      <c r="G182">
        <v>50896</v>
      </c>
      <c r="H182" t="s">
        <v>494</v>
      </c>
      <c r="I182" t="s">
        <v>280</v>
      </c>
      <c r="J182">
        <v>3</v>
      </c>
      <c r="K182">
        <v>3</v>
      </c>
      <c r="L182">
        <v>12</v>
      </c>
      <c r="M182">
        <v>45980</v>
      </c>
      <c r="N182">
        <v>45982</v>
      </c>
      <c r="O182" t="s">
        <v>13</v>
      </c>
      <c r="P182" t="s">
        <v>329</v>
      </c>
      <c r="R182" t="s">
        <v>287</v>
      </c>
      <c r="T182" t="s">
        <v>495</v>
      </c>
      <c r="U182">
        <v>45985</v>
      </c>
      <c r="V182">
        <v>45986</v>
      </c>
      <c r="W182" t="s">
        <v>287</v>
      </c>
      <c r="Y182" t="s">
        <v>490</v>
      </c>
      <c r="Z182">
        <v>45986</v>
      </c>
    </row>
    <row r="183" spans="1:26">
      <c r="A183">
        <v>7</v>
      </c>
      <c r="B183" t="s">
        <v>379</v>
      </c>
      <c r="C183">
        <v>45975</v>
      </c>
      <c r="D183">
        <v>46002</v>
      </c>
      <c r="E183" t="s">
        <v>1512</v>
      </c>
      <c r="F183" t="s">
        <v>275</v>
      </c>
      <c r="G183">
        <v>26326</v>
      </c>
      <c r="H183" t="s">
        <v>496</v>
      </c>
      <c r="I183" t="s">
        <v>280</v>
      </c>
      <c r="J183">
        <v>3</v>
      </c>
      <c r="K183">
        <v>3</v>
      </c>
      <c r="L183">
        <v>12</v>
      </c>
      <c r="M183">
        <v>45985</v>
      </c>
      <c r="N183">
        <v>45988</v>
      </c>
      <c r="O183" t="s">
        <v>13</v>
      </c>
      <c r="P183" t="s">
        <v>329</v>
      </c>
      <c r="R183" t="s">
        <v>287</v>
      </c>
      <c r="T183" t="s">
        <v>497</v>
      </c>
      <c r="U183">
        <v>46018</v>
      </c>
      <c r="V183">
        <v>45992</v>
      </c>
      <c r="W183" t="s">
        <v>287</v>
      </c>
      <c r="Y183" t="s">
        <v>466</v>
      </c>
      <c r="Z183">
        <v>45992</v>
      </c>
    </row>
    <row r="184" spans="1:26">
      <c r="A184">
        <v>8</v>
      </c>
      <c r="B184" t="s">
        <v>379</v>
      </c>
      <c r="C184">
        <v>45975</v>
      </c>
      <c r="D184">
        <v>46002</v>
      </c>
      <c r="E184" t="s">
        <v>1512</v>
      </c>
      <c r="F184" t="s">
        <v>275</v>
      </c>
      <c r="G184">
        <v>26420</v>
      </c>
      <c r="H184" t="s">
        <v>498</v>
      </c>
      <c r="I184" t="s">
        <v>280</v>
      </c>
      <c r="J184">
        <v>1</v>
      </c>
      <c r="K184">
        <v>1</v>
      </c>
      <c r="L184">
        <v>4</v>
      </c>
      <c r="M184">
        <v>45999</v>
      </c>
      <c r="N184">
        <v>45999</v>
      </c>
      <c r="O184" t="s">
        <v>13</v>
      </c>
      <c r="P184" t="s">
        <v>337</v>
      </c>
      <c r="R184" t="s">
        <v>287</v>
      </c>
      <c r="T184" t="s">
        <v>499</v>
      </c>
      <c r="U184">
        <v>45999</v>
      </c>
      <c r="V184">
        <v>45999</v>
      </c>
      <c r="W184" t="s">
        <v>287</v>
      </c>
      <c r="Y184" t="s">
        <v>466</v>
      </c>
      <c r="Z184">
        <v>45999</v>
      </c>
    </row>
    <row r="185" spans="1:26">
      <c r="A185">
        <v>9</v>
      </c>
      <c r="B185" t="s">
        <v>379</v>
      </c>
      <c r="C185">
        <v>45975</v>
      </c>
      <c r="D185">
        <v>46002</v>
      </c>
      <c r="E185" t="s">
        <v>1512</v>
      </c>
      <c r="F185" t="s">
        <v>272</v>
      </c>
      <c r="G185">
        <v>50670</v>
      </c>
      <c r="H185" t="s">
        <v>462</v>
      </c>
      <c r="I185" t="s">
        <v>274</v>
      </c>
      <c r="J185">
        <v>8</v>
      </c>
      <c r="K185">
        <v>8</v>
      </c>
      <c r="L185">
        <v>32</v>
      </c>
      <c r="M185">
        <v>45978</v>
      </c>
      <c r="N185">
        <v>45999</v>
      </c>
      <c r="O185" t="s">
        <v>13</v>
      </c>
      <c r="P185" t="s">
        <v>500</v>
      </c>
      <c r="R185" t="s">
        <v>384</v>
      </c>
      <c r="T185" t="s">
        <v>501</v>
      </c>
      <c r="U185">
        <v>46000</v>
      </c>
      <c r="W185" t="s">
        <v>283</v>
      </c>
      <c r="Y185" t="s">
        <v>384</v>
      </c>
    </row>
    <row r="186" spans="1:26">
      <c r="A186">
        <v>10</v>
      </c>
      <c r="B186" t="s">
        <v>379</v>
      </c>
      <c r="C186">
        <v>45975</v>
      </c>
      <c r="D186">
        <v>46002</v>
      </c>
      <c r="E186" t="s">
        <v>1512</v>
      </c>
      <c r="F186" t="s">
        <v>275</v>
      </c>
      <c r="G186">
        <v>50838</v>
      </c>
      <c r="H186" t="s">
        <v>503</v>
      </c>
      <c r="I186" t="s">
        <v>274</v>
      </c>
      <c r="J186">
        <v>8</v>
      </c>
      <c r="M186">
        <v>45992</v>
      </c>
    </row>
    <row r="187" spans="1:26">
      <c r="A187">
        <v>1</v>
      </c>
      <c r="B187" t="s">
        <v>379</v>
      </c>
      <c r="C187">
        <v>46003</v>
      </c>
      <c r="D187">
        <v>46030</v>
      </c>
      <c r="E187" t="s">
        <v>183</v>
      </c>
      <c r="F187" t="s">
        <v>272</v>
      </c>
      <c r="G187">
        <v>50670</v>
      </c>
      <c r="H187" t="s">
        <v>462</v>
      </c>
      <c r="I187" t="s">
        <v>280</v>
      </c>
      <c r="J187">
        <v>1</v>
      </c>
      <c r="K187">
        <v>1</v>
      </c>
      <c r="L187">
        <v>4</v>
      </c>
      <c r="M187">
        <v>46003</v>
      </c>
      <c r="N187">
        <v>46009</v>
      </c>
      <c r="O187" t="s">
        <v>272</v>
      </c>
      <c r="R187" t="s">
        <v>283</v>
      </c>
      <c r="T187" t="s">
        <v>463</v>
      </c>
      <c r="U187">
        <v>46009</v>
      </c>
      <c r="V187">
        <v>46009</v>
      </c>
      <c r="W187" t="s">
        <v>283</v>
      </c>
      <c r="Y187" t="s">
        <v>448</v>
      </c>
    </row>
    <row r="188" spans="1:26">
      <c r="A188">
        <v>2</v>
      </c>
      <c r="B188" t="s">
        <v>379</v>
      </c>
      <c r="C188">
        <v>46003</v>
      </c>
      <c r="D188">
        <v>46030</v>
      </c>
      <c r="E188" t="s">
        <v>183</v>
      </c>
      <c r="F188" t="s">
        <v>275</v>
      </c>
      <c r="G188">
        <v>50839</v>
      </c>
      <c r="H188" t="s">
        <v>464</v>
      </c>
      <c r="I188" t="s">
        <v>280</v>
      </c>
      <c r="J188">
        <v>8</v>
      </c>
      <c r="K188">
        <v>8</v>
      </c>
      <c r="L188">
        <v>41</v>
      </c>
      <c r="M188">
        <v>46003</v>
      </c>
      <c r="N188">
        <v>46024</v>
      </c>
      <c r="O188" t="s">
        <v>13</v>
      </c>
      <c r="P188" t="s">
        <v>329</v>
      </c>
      <c r="R188" t="s">
        <v>287</v>
      </c>
      <c r="T188" t="s">
        <v>465</v>
      </c>
      <c r="U188">
        <v>46027</v>
      </c>
      <c r="V188">
        <v>46027</v>
      </c>
      <c r="W188" t="s">
        <v>287</v>
      </c>
      <c r="Y188" t="s">
        <v>466</v>
      </c>
      <c r="Z188">
        <v>46027</v>
      </c>
    </row>
    <row r="189" spans="1:26">
      <c r="A189">
        <v>3</v>
      </c>
      <c r="B189" t="s">
        <v>379</v>
      </c>
      <c r="C189">
        <v>46003</v>
      </c>
      <c r="D189">
        <v>46030</v>
      </c>
      <c r="E189" t="s">
        <v>183</v>
      </c>
      <c r="F189" t="s">
        <v>417</v>
      </c>
      <c r="G189">
        <v>49084</v>
      </c>
      <c r="H189" t="s">
        <v>467</v>
      </c>
      <c r="I189" t="s">
        <v>280</v>
      </c>
      <c r="J189">
        <v>8</v>
      </c>
      <c r="K189">
        <v>15</v>
      </c>
      <c r="L189">
        <v>70</v>
      </c>
      <c r="M189">
        <v>46003</v>
      </c>
      <c r="N189">
        <v>46027</v>
      </c>
      <c r="O189" t="s">
        <v>13</v>
      </c>
      <c r="P189" t="s">
        <v>275</v>
      </c>
      <c r="R189" t="s">
        <v>275</v>
      </c>
      <c r="T189" t="s">
        <v>468</v>
      </c>
      <c r="U189">
        <v>46027</v>
      </c>
      <c r="V189">
        <v>46027</v>
      </c>
      <c r="W189" t="s">
        <v>287</v>
      </c>
      <c r="Y189" t="s">
        <v>469</v>
      </c>
      <c r="Z189">
        <v>46027</v>
      </c>
    </row>
    <row r="190" spans="1:26">
      <c r="A190">
        <v>4</v>
      </c>
      <c r="B190" t="s">
        <v>379</v>
      </c>
      <c r="C190">
        <v>46003</v>
      </c>
      <c r="D190">
        <v>46030</v>
      </c>
      <c r="E190" t="s">
        <v>183</v>
      </c>
      <c r="F190" t="s">
        <v>470</v>
      </c>
      <c r="G190">
        <v>50980</v>
      </c>
      <c r="H190" t="s">
        <v>471</v>
      </c>
      <c r="I190" t="s">
        <v>280</v>
      </c>
      <c r="J190">
        <v>8</v>
      </c>
      <c r="K190">
        <v>22</v>
      </c>
      <c r="L190">
        <v>90</v>
      </c>
      <c r="M190">
        <v>46003</v>
      </c>
      <c r="N190">
        <v>46029</v>
      </c>
      <c r="O190" t="s">
        <v>13</v>
      </c>
      <c r="P190" t="s">
        <v>329</v>
      </c>
      <c r="R190" t="s">
        <v>275</v>
      </c>
      <c r="T190" t="s">
        <v>472</v>
      </c>
      <c r="U190">
        <v>46029</v>
      </c>
      <c r="V190">
        <v>46029</v>
      </c>
      <c r="W190" t="s">
        <v>287</v>
      </c>
      <c r="Y190" t="s">
        <v>466</v>
      </c>
      <c r="Z190">
        <v>46030</v>
      </c>
    </row>
    <row r="191" spans="1:26">
      <c r="A191">
        <v>5</v>
      </c>
      <c r="B191" t="s">
        <v>379</v>
      </c>
      <c r="C191">
        <v>46003</v>
      </c>
      <c r="D191">
        <v>46030</v>
      </c>
      <c r="E191" s="43" t="s">
        <v>474</v>
      </c>
      <c r="F191" t="s">
        <v>272</v>
      </c>
      <c r="G191">
        <v>51122</v>
      </c>
      <c r="H191" t="s">
        <v>459</v>
      </c>
      <c r="I191" t="s">
        <v>428</v>
      </c>
      <c r="J191">
        <v>8</v>
      </c>
      <c r="K191">
        <v>8</v>
      </c>
      <c r="L191">
        <v>36</v>
      </c>
      <c r="M191">
        <v>46022</v>
      </c>
      <c r="O191" t="s">
        <v>13</v>
      </c>
      <c r="P191" t="s">
        <v>272</v>
      </c>
      <c r="R191" t="s">
        <v>283</v>
      </c>
      <c r="T191" t="s">
        <v>460</v>
      </c>
    </row>
    <row r="192" spans="1:26">
      <c r="A192">
        <v>6</v>
      </c>
      <c r="B192" t="s">
        <v>379</v>
      </c>
      <c r="C192">
        <v>46003</v>
      </c>
      <c r="D192">
        <v>46030</v>
      </c>
      <c r="E192" s="43" t="s">
        <v>474</v>
      </c>
      <c r="F192" t="s">
        <v>272</v>
      </c>
      <c r="G192">
        <v>51384</v>
      </c>
      <c r="H192" t="s">
        <v>457</v>
      </c>
      <c r="I192" t="s">
        <v>274</v>
      </c>
      <c r="J192">
        <v>8</v>
      </c>
      <c r="K192">
        <v>8</v>
      </c>
      <c r="L192">
        <v>40</v>
      </c>
      <c r="M192">
        <v>46028</v>
      </c>
    </row>
    <row r="193" spans="1:26">
      <c r="A193">
        <v>1</v>
      </c>
      <c r="B193" t="s">
        <v>379</v>
      </c>
      <c r="C193">
        <v>46031</v>
      </c>
      <c r="D193">
        <v>46044</v>
      </c>
      <c r="E193" t="s">
        <v>187</v>
      </c>
      <c r="F193" t="s">
        <v>275</v>
      </c>
      <c r="G193">
        <v>50838</v>
      </c>
      <c r="H193" t="s">
        <v>453</v>
      </c>
      <c r="I193" t="s">
        <v>280</v>
      </c>
      <c r="J193">
        <v>8</v>
      </c>
      <c r="K193">
        <v>6</v>
      </c>
      <c r="L193">
        <v>29</v>
      </c>
      <c r="M193">
        <v>46031</v>
      </c>
      <c r="N193">
        <v>46042</v>
      </c>
      <c r="O193" t="s">
        <v>13</v>
      </c>
      <c r="P193" t="s">
        <v>329</v>
      </c>
      <c r="T193" t="s">
        <v>454</v>
      </c>
      <c r="U193">
        <v>46042</v>
      </c>
      <c r="V193">
        <v>46042</v>
      </c>
      <c r="W193" t="s">
        <v>287</v>
      </c>
      <c r="Y193" t="s">
        <v>322</v>
      </c>
      <c r="Z193">
        <v>46042</v>
      </c>
    </row>
    <row r="194" spans="1:26">
      <c r="A194">
        <v>2</v>
      </c>
      <c r="B194" t="s">
        <v>379</v>
      </c>
      <c r="C194">
        <v>46031</v>
      </c>
      <c r="D194">
        <v>46044</v>
      </c>
      <c r="E194" s="43" t="s">
        <v>456</v>
      </c>
      <c r="F194" t="s">
        <v>272</v>
      </c>
      <c r="G194">
        <v>51384</v>
      </c>
      <c r="H194" t="s">
        <v>457</v>
      </c>
      <c r="I194" t="s">
        <v>274</v>
      </c>
      <c r="J194">
        <v>8</v>
      </c>
      <c r="K194">
        <v>8</v>
      </c>
      <c r="L194">
        <v>32</v>
      </c>
      <c r="M194">
        <v>46028</v>
      </c>
      <c r="N194">
        <v>46043</v>
      </c>
      <c r="O194" t="s">
        <v>13</v>
      </c>
      <c r="P194" t="s">
        <v>272</v>
      </c>
      <c r="T194" t="s">
        <v>426</v>
      </c>
      <c r="U194">
        <v>46043</v>
      </c>
      <c r="W194" t="s">
        <v>283</v>
      </c>
      <c r="Y194" t="s">
        <v>283</v>
      </c>
    </row>
    <row r="195" spans="1:26">
      <c r="A195">
        <v>3</v>
      </c>
      <c r="B195" t="s">
        <v>379</v>
      </c>
      <c r="C195">
        <v>46031</v>
      </c>
      <c r="D195">
        <v>46044</v>
      </c>
      <c r="E195" t="s">
        <v>187</v>
      </c>
      <c r="F195" t="s">
        <v>272</v>
      </c>
      <c r="G195">
        <v>51122</v>
      </c>
      <c r="H195" t="s">
        <v>459</v>
      </c>
      <c r="I195" t="s">
        <v>280</v>
      </c>
      <c r="J195">
        <v>8</v>
      </c>
      <c r="K195">
        <v>8</v>
      </c>
      <c r="L195">
        <v>32</v>
      </c>
      <c r="M195">
        <v>46031</v>
      </c>
      <c r="N195">
        <v>46042</v>
      </c>
      <c r="O195" t="s">
        <v>13</v>
      </c>
      <c r="P195" t="s">
        <v>272</v>
      </c>
      <c r="T195" t="s">
        <v>460</v>
      </c>
      <c r="U195">
        <v>46031</v>
      </c>
      <c r="V195">
        <v>46043</v>
      </c>
      <c r="W195" t="s">
        <v>283</v>
      </c>
      <c r="Y195" t="s">
        <v>283</v>
      </c>
      <c r="Z195">
        <v>46043</v>
      </c>
    </row>
    <row r="196" spans="1:26">
      <c r="A196">
        <v>4</v>
      </c>
      <c r="B196" t="s">
        <v>379</v>
      </c>
      <c r="C196">
        <v>46031</v>
      </c>
      <c r="D196">
        <v>46044</v>
      </c>
      <c r="E196" s="43" t="s">
        <v>456</v>
      </c>
      <c r="F196" t="s">
        <v>287</v>
      </c>
      <c r="G196">
        <v>51377</v>
      </c>
      <c r="H196" t="s">
        <v>443</v>
      </c>
      <c r="I196" t="s">
        <v>274</v>
      </c>
      <c r="J196">
        <v>13</v>
      </c>
      <c r="M196">
        <v>46031</v>
      </c>
    </row>
    <row r="197" spans="1:26">
      <c r="A197">
        <v>5</v>
      </c>
      <c r="B197" t="s">
        <v>379</v>
      </c>
      <c r="C197">
        <v>46031</v>
      </c>
      <c r="D197">
        <v>46044</v>
      </c>
      <c r="E197" s="43" t="s">
        <v>456</v>
      </c>
      <c r="F197" t="s">
        <v>417</v>
      </c>
      <c r="G197">
        <v>51359</v>
      </c>
      <c r="H197" t="s">
        <v>446</v>
      </c>
      <c r="I197" t="s">
        <v>274</v>
      </c>
      <c r="J197">
        <v>8</v>
      </c>
      <c r="K197">
        <v>11</v>
      </c>
      <c r="L197">
        <v>52</v>
      </c>
      <c r="M197">
        <v>46037</v>
      </c>
    </row>
    <row r="198" spans="1:26">
      <c r="A198">
        <v>1</v>
      </c>
      <c r="B198" t="s">
        <v>379</v>
      </c>
      <c r="C198">
        <v>46045</v>
      </c>
      <c r="D198">
        <v>46058</v>
      </c>
      <c r="E198" t="s">
        <v>191</v>
      </c>
      <c r="F198" t="s">
        <v>275</v>
      </c>
      <c r="G198">
        <v>51246</v>
      </c>
      <c r="H198" t="s">
        <v>438</v>
      </c>
      <c r="I198" t="s">
        <v>280</v>
      </c>
      <c r="J198">
        <v>8</v>
      </c>
      <c r="K198">
        <v>6</v>
      </c>
      <c r="L198">
        <v>24</v>
      </c>
      <c r="M198">
        <v>46045</v>
      </c>
      <c r="N198">
        <v>46056</v>
      </c>
      <c r="O198" t="s">
        <v>13</v>
      </c>
      <c r="P198" t="s">
        <v>272</v>
      </c>
      <c r="T198" t="s">
        <v>439</v>
      </c>
      <c r="U198">
        <v>46056</v>
      </c>
      <c r="V198">
        <v>46056</v>
      </c>
      <c r="W198" t="s">
        <v>440</v>
      </c>
      <c r="Y198" t="s">
        <v>441</v>
      </c>
      <c r="Z198">
        <v>46056</v>
      </c>
    </row>
    <row r="199" spans="1:26">
      <c r="A199">
        <v>2</v>
      </c>
      <c r="B199" t="s">
        <v>379</v>
      </c>
      <c r="C199">
        <v>46045</v>
      </c>
      <c r="D199">
        <v>46058</v>
      </c>
      <c r="E199" t="s">
        <v>191</v>
      </c>
      <c r="F199" t="s">
        <v>287</v>
      </c>
      <c r="G199">
        <v>51377</v>
      </c>
      <c r="H199" t="s">
        <v>443</v>
      </c>
      <c r="I199" t="s">
        <v>280</v>
      </c>
      <c r="J199">
        <v>8</v>
      </c>
      <c r="K199">
        <v>8</v>
      </c>
      <c r="L199">
        <v>36</v>
      </c>
      <c r="M199">
        <v>46031</v>
      </c>
      <c r="N199">
        <v>46051</v>
      </c>
      <c r="O199" t="s">
        <v>13</v>
      </c>
      <c r="P199" t="s">
        <v>329</v>
      </c>
      <c r="T199" t="s">
        <v>444</v>
      </c>
      <c r="U199">
        <v>46051</v>
      </c>
      <c r="V199">
        <v>46052</v>
      </c>
      <c r="W199" t="s">
        <v>322</v>
      </c>
      <c r="Y199" t="s">
        <v>322</v>
      </c>
      <c r="Z199">
        <v>46052</v>
      </c>
    </row>
    <row r="200" spans="1:26">
      <c r="A200">
        <v>3</v>
      </c>
      <c r="B200" t="s">
        <v>379</v>
      </c>
      <c r="C200">
        <v>46045</v>
      </c>
      <c r="D200">
        <v>46058</v>
      </c>
      <c r="E200" t="s">
        <v>191</v>
      </c>
      <c r="F200" t="s">
        <v>417</v>
      </c>
      <c r="G200">
        <v>51359</v>
      </c>
      <c r="H200" t="s">
        <v>446</v>
      </c>
      <c r="I200" t="s">
        <v>280</v>
      </c>
      <c r="J200">
        <v>3</v>
      </c>
      <c r="K200">
        <v>8</v>
      </c>
      <c r="L200">
        <v>12</v>
      </c>
      <c r="M200">
        <v>46023</v>
      </c>
      <c r="N200">
        <v>46050</v>
      </c>
      <c r="O200" t="s">
        <v>13</v>
      </c>
      <c r="P200" t="s">
        <v>329</v>
      </c>
      <c r="T200" t="s">
        <v>447</v>
      </c>
      <c r="U200">
        <v>46050</v>
      </c>
      <c r="V200" t="s">
        <v>448</v>
      </c>
      <c r="W200" t="s">
        <v>448</v>
      </c>
      <c r="Y200" t="s">
        <v>448</v>
      </c>
      <c r="Z200" t="s">
        <v>448</v>
      </c>
    </row>
    <row r="201" spans="1:26">
      <c r="A201">
        <v>4</v>
      </c>
      <c r="B201" t="s">
        <v>379</v>
      </c>
      <c r="C201">
        <v>46045</v>
      </c>
      <c r="D201">
        <v>46058</v>
      </c>
      <c r="E201" s="43" t="s">
        <v>450</v>
      </c>
      <c r="F201" t="s">
        <v>417</v>
      </c>
      <c r="G201">
        <v>51380</v>
      </c>
      <c r="H201" t="s">
        <v>418</v>
      </c>
      <c r="I201" t="s">
        <v>274</v>
      </c>
      <c r="J201">
        <v>8</v>
      </c>
      <c r="M201">
        <v>46050</v>
      </c>
    </row>
    <row r="202" spans="1:26">
      <c r="A202">
        <v>5</v>
      </c>
      <c r="B202" t="s">
        <v>379</v>
      </c>
      <c r="C202">
        <v>46045</v>
      </c>
      <c r="D202">
        <v>46058</v>
      </c>
      <c r="E202" s="43" t="s">
        <v>450</v>
      </c>
      <c r="F202" t="s">
        <v>272</v>
      </c>
      <c r="G202">
        <v>51384</v>
      </c>
      <c r="H202" t="s">
        <v>425</v>
      </c>
      <c r="I202" t="s">
        <v>274</v>
      </c>
      <c r="J202">
        <v>8</v>
      </c>
      <c r="M202">
        <v>46028</v>
      </c>
      <c r="T202" t="s">
        <v>426</v>
      </c>
      <c r="U202">
        <v>46043</v>
      </c>
      <c r="W202" t="s">
        <v>283</v>
      </c>
      <c r="Y202" t="s">
        <v>283</v>
      </c>
    </row>
    <row r="203" spans="1:26">
      <c r="A203">
        <v>1</v>
      </c>
      <c r="B203" t="s">
        <v>379</v>
      </c>
      <c r="C203">
        <v>46059</v>
      </c>
      <c r="D203">
        <v>46072</v>
      </c>
      <c r="E203" t="s">
        <v>195</v>
      </c>
      <c r="F203" t="s">
        <v>275</v>
      </c>
    </row>
    <row r="204" spans="1:26">
      <c r="A204">
        <v>2</v>
      </c>
      <c r="B204" t="s">
        <v>379</v>
      </c>
      <c r="C204">
        <v>46059</v>
      </c>
      <c r="D204">
        <v>46072</v>
      </c>
      <c r="E204" s="43" t="s">
        <v>424</v>
      </c>
      <c r="F204" t="s">
        <v>272</v>
      </c>
      <c r="G204">
        <v>51384</v>
      </c>
      <c r="H204" t="s">
        <v>425</v>
      </c>
      <c r="I204" t="s">
        <v>274</v>
      </c>
      <c r="J204">
        <v>13</v>
      </c>
    </row>
    <row r="205" spans="1:26">
      <c r="A205">
        <v>3</v>
      </c>
      <c r="B205" t="s">
        <v>379</v>
      </c>
      <c r="C205">
        <v>46059</v>
      </c>
      <c r="D205">
        <v>46072</v>
      </c>
      <c r="E205" t="s">
        <v>195</v>
      </c>
      <c r="F205" t="s">
        <v>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2024-02-15T13:13:42Z</dcterms:created>
  <dcterms:modified xsi:type="dcterms:W3CDTF">2026-05-17T10:32:57Z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2026-03-05T04:26:24Z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811b7bff-4f9e-4d8d-9542-d262da7bfb7d</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